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Victor y Fede\GESTION\"/>
    </mc:Choice>
  </mc:AlternateContent>
  <bookViews>
    <workbookView xWindow="28680" yWindow="-120" windowWidth="29040" windowHeight="15720" activeTab="1"/>
  </bookViews>
  <sheets>
    <sheet name="MERCADO (DATOS)" sheetId="10" r:id="rId1"/>
    <sheet name="MERCADO" sheetId="1" r:id="rId2"/>
    <sheet name="EUROSTOXX" sheetId="2" r:id="rId3"/>
    <sheet name="NASDAQ" sheetId="4" r:id="rId4"/>
    <sheet name="S&amp;P" sheetId="3" r:id="rId5"/>
    <sheet name="ESTRATEGIAS" sheetId="5" r:id="rId6"/>
    <sheet name="BUSCA ACCIONES" sheetId="7" r:id="rId7"/>
  </sheets>
  <externalReferences>
    <externalReference r:id="rId8"/>
  </externalReferences>
  <definedNames>
    <definedName name="_bdm.5796990F4917432FBCD1658015653CC1.edm" localSheetId="0" hidden="1">#REF!</definedName>
    <definedName name="_bdm.5796990F4917432FBCD1658015653CC1.edm" hidden="1">#REF!</definedName>
    <definedName name="Query_SuperExcel" localSheetId="6">'BUSCA ACCIONES'!$A$4:$F$17</definedName>
  </definedNames>
  <calcPr calcId="162913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7" l="1"/>
  <c r="A2" i="7"/>
  <c r="E5043" i="5" a="1"/>
  <c r="E5043" i="5" s="1"/>
  <c r="H37" i="5"/>
  <c r="K36" i="5"/>
  <c r="J36" i="5"/>
  <c r="I36" i="5"/>
  <c r="H36" i="5"/>
  <c r="G36" i="5"/>
  <c r="F36" i="5"/>
  <c r="E36" i="5"/>
  <c r="K35" i="5"/>
  <c r="J35" i="5"/>
  <c r="I35" i="5"/>
  <c r="H35" i="5"/>
  <c r="G35" i="5"/>
  <c r="F35" i="5"/>
  <c r="E35" i="5"/>
  <c r="K34" i="5"/>
  <c r="J34" i="5"/>
  <c r="I34" i="5"/>
  <c r="H34" i="5"/>
  <c r="G34" i="5"/>
  <c r="F34" i="5"/>
  <c r="E34" i="5"/>
  <c r="K33" i="5"/>
  <c r="J33" i="5"/>
  <c r="I33" i="5"/>
  <c r="H33" i="5"/>
  <c r="G33" i="5"/>
  <c r="F33" i="5"/>
  <c r="E33" i="5"/>
  <c r="K32" i="5"/>
  <c r="J32" i="5"/>
  <c r="I32" i="5"/>
  <c r="H32" i="5"/>
  <c r="G32" i="5"/>
  <c r="F32" i="5"/>
  <c r="E32" i="5"/>
  <c r="K31" i="5"/>
  <c r="J31" i="5"/>
  <c r="I31" i="5"/>
  <c r="H31" i="5"/>
  <c r="G31" i="5"/>
  <c r="F31" i="5"/>
  <c r="E31" i="5"/>
  <c r="K30" i="5"/>
  <c r="J30" i="5"/>
  <c r="I30" i="5"/>
  <c r="H30" i="5"/>
  <c r="G30" i="5"/>
  <c r="F30" i="5"/>
  <c r="E30" i="5"/>
  <c r="K29" i="5"/>
  <c r="J29" i="5"/>
  <c r="I29" i="5"/>
  <c r="H29" i="5"/>
  <c r="G29" i="5"/>
  <c r="F29" i="5"/>
  <c r="E29" i="5"/>
  <c r="K28" i="5"/>
  <c r="H27" i="1"/>
  <c r="I27" i="5"/>
  <c r="G27" i="5"/>
  <c r="F28" i="5"/>
  <c r="O9" i="10"/>
  <c r="O11" i="10"/>
  <c r="H45" i="10"/>
  <c r="J27" i="10"/>
  <c r="H29" i="10"/>
  <c r="H31" i="1"/>
  <c r="D5" i="5"/>
  <c r="N9" i="10"/>
  <c r="N11" i="1"/>
  <c r="J13" i="10"/>
  <c r="G28" i="5"/>
  <c r="J27" i="5"/>
  <c r="H27" i="5"/>
  <c r="O8" i="1"/>
  <c r="O10" i="1"/>
  <c r="H15" i="10"/>
  <c r="H31" i="10"/>
  <c r="H17" i="1"/>
  <c r="H43" i="1"/>
  <c r="N8" i="1"/>
  <c r="N10" i="1"/>
  <c r="N11" i="10"/>
  <c r="H27" i="10"/>
  <c r="H41" i="10"/>
  <c r="J12" i="10"/>
  <c r="E28" i="5"/>
  <c r="H28" i="5"/>
  <c r="I28" i="5"/>
  <c r="O8" i="10"/>
  <c r="O10" i="10"/>
  <c r="J26" i="10"/>
  <c r="H43" i="10"/>
  <c r="H29" i="1"/>
  <c r="H15" i="1"/>
  <c r="N8" i="10"/>
  <c r="N10" i="10"/>
  <c r="H41" i="1"/>
  <c r="H13" i="10"/>
  <c r="I15" i="2"/>
  <c r="F27" i="5"/>
  <c r="J28" i="5"/>
  <c r="E27" i="5"/>
  <c r="O9" i="1"/>
  <c r="O11" i="1"/>
  <c r="J41" i="10"/>
  <c r="J40" i="10"/>
  <c r="H17" i="10"/>
  <c r="H45" i="1"/>
  <c r="G8" i="5"/>
  <c r="N9" i="1"/>
  <c r="H13" i="1"/>
  <c r="I15" i="4" a="1"/>
  <c r="I15" i="3"/>
  <c r="I15" i="4" l="1"/>
  <c r="K27" i="5"/>
  <c r="K37" i="5" s="1"/>
  <c r="L37" i="5" s="1"/>
  <c r="J24" i="5" l="1"/>
  <c r="I24" i="5"/>
  <c r="H24" i="5"/>
  <c r="G24" i="5"/>
  <c r="F24" i="5"/>
  <c r="E24" i="5"/>
  <c r="G7" i="5" l="1"/>
  <c r="E37" i="5" l="1"/>
  <c r="G3" i="5" s="1"/>
  <c r="G16" i="5"/>
  <c r="E5" i="5"/>
  <c r="D7" i="5"/>
  <c r="G4" i="5"/>
  <c r="G11" i="5" s="1"/>
  <c r="C11" i="5" s="1"/>
  <c r="E51" i="3"/>
  <c r="B51" i="3"/>
  <c r="T49" i="3"/>
  <c r="S49" i="3"/>
  <c r="T48" i="3"/>
  <c r="S48" i="3"/>
  <c r="T47" i="3"/>
  <c r="S47" i="3"/>
  <c r="T46" i="3"/>
  <c r="S46" i="3"/>
  <c r="T45" i="3"/>
  <c r="S45" i="3"/>
  <c r="T44" i="3"/>
  <c r="S44" i="3"/>
  <c r="T43" i="3"/>
  <c r="S43" i="3"/>
  <c r="T42" i="3"/>
  <c r="S42" i="3"/>
  <c r="T41" i="3"/>
  <c r="S41" i="3"/>
  <c r="T40" i="3"/>
  <c r="S40" i="3"/>
  <c r="T39" i="3"/>
  <c r="S39" i="3"/>
  <c r="T38" i="3"/>
  <c r="S38" i="3"/>
  <c r="T37" i="3"/>
  <c r="S37" i="3"/>
  <c r="T36" i="3"/>
  <c r="S36" i="3"/>
  <c r="T35" i="3"/>
  <c r="S35" i="3"/>
  <c r="T34" i="3"/>
  <c r="S34" i="3"/>
  <c r="T33" i="3"/>
  <c r="S33" i="3"/>
  <c r="T32" i="3"/>
  <c r="S32" i="3"/>
  <c r="T31" i="3"/>
  <c r="S31" i="3"/>
  <c r="T30" i="3"/>
  <c r="S30" i="3"/>
  <c r="T29" i="3"/>
  <c r="S29" i="3"/>
  <c r="T28" i="3"/>
  <c r="S28" i="3"/>
  <c r="T27" i="3"/>
  <c r="S27" i="3"/>
  <c r="T26" i="3"/>
  <c r="S26" i="3"/>
  <c r="T25" i="3"/>
  <c r="S25" i="3"/>
  <c r="T24" i="3"/>
  <c r="S24" i="3"/>
  <c r="Q24" i="3"/>
  <c r="M24" i="3" s="1"/>
  <c r="T23" i="3"/>
  <c r="S23" i="3"/>
  <c r="Q23" i="3"/>
  <c r="M23" i="3" s="1"/>
  <c r="T22" i="3"/>
  <c r="S22" i="3"/>
  <c r="Q22" i="3"/>
  <c r="M22" i="3" s="1"/>
  <c r="T21" i="3"/>
  <c r="S21" i="3"/>
  <c r="Q21" i="3"/>
  <c r="M21" i="3" s="1"/>
  <c r="T20" i="3"/>
  <c r="S20" i="3"/>
  <c r="Q20" i="3"/>
  <c r="M20" i="3" s="1"/>
  <c r="T19" i="3"/>
  <c r="S19" i="3"/>
  <c r="Q19" i="3"/>
  <c r="M19" i="3" s="1"/>
  <c r="T18" i="3"/>
  <c r="S18" i="3"/>
  <c r="T17" i="3"/>
  <c r="S17" i="3"/>
  <c r="T16" i="3"/>
  <c r="S16" i="3"/>
  <c r="T15" i="3"/>
  <c r="S15" i="3"/>
  <c r="K23" i="3"/>
  <c r="K19" i="3"/>
  <c r="K22" i="3"/>
  <c r="K20" i="3"/>
  <c r="K21" i="3"/>
  <c r="K24" i="3"/>
  <c r="M25" i="3" l="1"/>
  <c r="D41" i="5"/>
  <c r="D5030" i="5"/>
  <c r="D5014" i="5"/>
  <c r="D5039" i="5"/>
  <c r="D5023" i="5"/>
  <c r="D5040" i="5"/>
  <c r="D5024" i="5"/>
  <c r="D5008" i="5"/>
  <c r="D4992" i="5"/>
  <c r="D5037" i="5"/>
  <c r="D5021" i="5"/>
  <c r="D5005" i="5"/>
  <c r="D4989" i="5"/>
  <c r="D4990" i="5"/>
  <c r="D4942" i="5"/>
  <c r="D4926" i="5"/>
  <c r="D4910" i="5"/>
  <c r="D4894" i="5"/>
  <c r="D4878" i="5"/>
  <c r="D4987" i="5"/>
  <c r="D4976" i="5"/>
  <c r="D4968" i="5"/>
  <c r="D4960" i="5"/>
  <c r="D4947" i="5"/>
  <c r="D4956" i="5"/>
  <c r="D4940" i="5"/>
  <c r="D4924" i="5"/>
  <c r="D4981" i="5"/>
  <c r="D4941" i="5"/>
  <c r="D4909" i="5"/>
  <c r="D4891" i="5"/>
  <c r="D4872" i="5"/>
  <c r="D4859" i="5"/>
  <c r="D4963" i="5"/>
  <c r="D4919" i="5"/>
  <c r="D4896" i="5"/>
  <c r="D4873" i="5"/>
  <c r="D4977" i="5"/>
  <c r="D4945" i="5"/>
  <c r="D4917" i="5"/>
  <c r="D4899" i="5"/>
  <c r="D4876" i="5"/>
  <c r="D4983" i="5"/>
  <c r="D4953" i="5"/>
  <c r="D4913" i="5"/>
  <c r="D4895" i="5"/>
  <c r="D4871" i="5"/>
  <c r="D4851" i="5"/>
  <c r="D4835" i="5"/>
  <c r="D4818" i="5"/>
  <c r="D4802" i="5"/>
  <c r="D4795" i="5"/>
  <c r="D4854" i="5"/>
  <c r="D4838" i="5"/>
  <c r="D4823" i="5"/>
  <c r="D4807" i="5"/>
  <c r="D4853" i="5"/>
  <c r="D4837" i="5"/>
  <c r="D4820" i="5"/>
  <c r="D4804" i="5"/>
  <c r="D4848" i="5"/>
  <c r="D4832" i="5"/>
  <c r="D4817" i="5"/>
  <c r="D4801" i="5"/>
  <c r="D4777" i="5"/>
  <c r="D4761" i="5"/>
  <c r="D4745" i="5"/>
  <c r="D4710" i="5"/>
  <c r="D4694" i="5"/>
  <c r="D4678" i="5"/>
  <c r="D4662" i="5"/>
  <c r="D4655" i="5"/>
  <c r="D4651" i="5"/>
  <c r="D4647" i="5"/>
  <c r="D4780" i="5"/>
  <c r="D4764" i="5"/>
  <c r="D4748" i="5"/>
  <c r="D4737" i="5"/>
  <c r="D4729" i="5"/>
  <c r="D4719" i="5"/>
  <c r="D4703" i="5"/>
  <c r="D4687" i="5"/>
  <c r="D4671" i="5"/>
  <c r="D4791" i="5"/>
  <c r="D4775" i="5"/>
  <c r="D4759" i="5"/>
  <c r="D4743" i="5"/>
  <c r="D4708" i="5"/>
  <c r="D4692" i="5"/>
  <c r="D4676" i="5"/>
  <c r="D4660" i="5"/>
  <c r="D4778" i="5"/>
  <c r="D4762" i="5"/>
  <c r="D4746" i="5"/>
  <c r="D4736" i="5"/>
  <c r="D4728" i="5"/>
  <c r="D4717" i="5"/>
  <c r="D4701" i="5"/>
  <c r="D4685" i="5"/>
  <c r="D4669" i="5"/>
  <c r="D4633" i="5"/>
  <c r="D4617" i="5"/>
  <c r="D4601" i="5"/>
  <c r="D4585" i="5"/>
  <c r="D4569" i="5"/>
  <c r="D4553" i="5"/>
  <c r="D4537" i="5"/>
  <c r="D4521" i="5"/>
  <c r="D4505" i="5"/>
  <c r="D4489" i="5"/>
  <c r="D4473" i="5"/>
  <c r="D4457" i="5"/>
  <c r="D4441" i="5"/>
  <c r="D4425" i="5"/>
  <c r="D4640" i="5"/>
  <c r="D4626" i="5"/>
  <c r="D4610" i="5"/>
  <c r="D4594" i="5"/>
  <c r="D4578" i="5"/>
  <c r="D4562" i="5"/>
  <c r="D4546" i="5"/>
  <c r="D4530" i="5"/>
  <c r="D4514" i="5"/>
  <c r="D4498" i="5"/>
  <c r="D4482" i="5"/>
  <c r="D4466" i="5"/>
  <c r="D4450" i="5"/>
  <c r="D4434" i="5"/>
  <c r="D4627" i="5"/>
  <c r="D4611" i="5"/>
  <c r="D4595" i="5"/>
  <c r="D4579" i="5"/>
  <c r="D4563" i="5"/>
  <c r="D4547" i="5"/>
  <c r="D4531" i="5"/>
  <c r="D4515" i="5"/>
  <c r="D4499" i="5"/>
  <c r="D4483" i="5"/>
  <c r="D4467" i="5"/>
  <c r="D4451" i="5"/>
  <c r="D4435" i="5"/>
  <c r="D4643" i="5"/>
  <c r="D4632" i="5"/>
  <c r="D4616" i="5"/>
  <c r="D4600" i="5"/>
  <c r="D4584" i="5"/>
  <c r="D4568" i="5"/>
  <c r="D4552" i="5"/>
  <c r="D4536" i="5"/>
  <c r="D4520" i="5"/>
  <c r="D4504" i="5"/>
  <c r="D4488" i="5"/>
  <c r="D4472" i="5"/>
  <c r="D4456" i="5"/>
  <c r="D4440" i="5"/>
  <c r="D4424" i="5"/>
  <c r="D4419" i="5"/>
  <c r="D4406" i="5"/>
  <c r="D4390" i="5"/>
  <c r="D4407" i="5"/>
  <c r="D4391" i="5"/>
  <c r="D4408" i="5"/>
  <c r="D4392" i="5"/>
  <c r="D4385" i="5"/>
  <c r="D4381" i="5"/>
  <c r="D4377" i="5"/>
  <c r="D4405" i="5"/>
  <c r="D4389" i="5"/>
  <c r="D4228" i="5"/>
  <c r="D4212" i="5"/>
  <c r="D4196" i="5"/>
  <c r="D4180" i="5"/>
  <c r="D4164" i="5"/>
  <c r="D4148" i="5"/>
  <c r="D4132" i="5"/>
  <c r="D4116" i="5"/>
  <c r="D4100" i="5"/>
  <c r="D4084" i="5"/>
  <c r="D4373" i="5"/>
  <c r="D4365" i="5"/>
  <c r="D4357" i="5"/>
  <c r="D4349" i="5"/>
  <c r="D4341" i="5"/>
  <c r="D4333" i="5"/>
  <c r="D4325" i="5"/>
  <c r="D4317" i="5"/>
  <c r="D4309" i="5"/>
  <c r="D4301" i="5"/>
  <c r="D4293" i="5"/>
  <c r="D4285" i="5"/>
  <c r="D4277" i="5"/>
  <c r="D4269" i="5"/>
  <c r="D4238" i="5"/>
  <c r="D4222" i="5"/>
  <c r="D4206" i="5"/>
  <c r="D4190" i="5"/>
  <c r="D4174" i="5"/>
  <c r="D4158" i="5"/>
  <c r="D4142" i="5"/>
  <c r="D4126" i="5"/>
  <c r="D4110" i="5"/>
  <c r="D4094" i="5"/>
  <c r="D4078" i="5"/>
  <c r="D4370" i="5"/>
  <c r="D4362" i="5"/>
  <c r="D4354" i="5"/>
  <c r="D4346" i="5"/>
  <c r="D4338" i="5"/>
  <c r="D4330" i="5"/>
  <c r="D4322" i="5"/>
  <c r="D4314" i="5"/>
  <c r="D4306" i="5"/>
  <c r="D4298" i="5"/>
  <c r="D4290" i="5"/>
  <c r="D4282" i="5"/>
  <c r="D4274" i="5"/>
  <c r="D4266" i="5"/>
  <c r="D4258" i="5"/>
  <c r="D4250" i="5"/>
  <c r="D4242" i="5"/>
  <c r="D4227" i="5"/>
  <c r="D4257" i="5"/>
  <c r="D4211" i="5"/>
  <c r="D4179" i="5"/>
  <c r="D4147" i="5"/>
  <c r="D4115" i="5"/>
  <c r="D4083" i="5"/>
  <c r="D3918" i="5"/>
  <c r="D3902" i="5"/>
  <c r="D3886" i="5"/>
  <c r="D4213" i="5"/>
  <c r="D4181" i="5"/>
  <c r="D4149" i="5"/>
  <c r="D4117" i="5"/>
  <c r="D4085" i="5"/>
  <c r="D4068" i="5"/>
  <c r="D4060" i="5"/>
  <c r="D4052" i="5"/>
  <c r="D4261" i="5"/>
  <c r="D4217" i="5"/>
  <c r="D4183" i="5"/>
  <c r="D4151" i="5"/>
  <c r="D4119" i="5"/>
  <c r="D4087" i="5"/>
  <c r="D3920" i="5"/>
  <c r="D3904" i="5"/>
  <c r="D4243" i="5"/>
  <c r="D4201" i="5"/>
  <c r="D4169" i="5"/>
  <c r="D4137" i="5"/>
  <c r="D4105" i="5"/>
  <c r="D4073" i="5"/>
  <c r="D4065" i="5"/>
  <c r="D4057" i="5"/>
  <c r="D4049" i="5"/>
  <c r="D4041" i="5"/>
  <c r="D4033" i="5"/>
  <c r="D4025" i="5"/>
  <c r="D4040" i="5"/>
  <c r="D4013" i="5"/>
  <c r="D3997" i="5"/>
  <c r="D3981" i="5"/>
  <c r="D3965" i="5"/>
  <c r="D3949" i="5"/>
  <c r="D3933" i="5"/>
  <c r="D3905" i="5"/>
  <c r="D3881" i="5"/>
  <c r="D3865" i="5"/>
  <c r="D3849" i="5"/>
  <c r="D3833" i="5"/>
  <c r="D3817" i="5"/>
  <c r="D3801" i="5"/>
  <c r="D3785" i="5"/>
  <c r="D3769" i="5"/>
  <c r="D3753" i="5"/>
  <c r="D3737" i="5"/>
  <c r="D3721" i="5"/>
  <c r="D3705" i="5"/>
  <c r="D3689" i="5"/>
  <c r="D4030" i="5"/>
  <c r="D4008" i="5"/>
  <c r="D3992" i="5"/>
  <c r="D3976" i="5"/>
  <c r="D3960" i="5"/>
  <c r="D3944" i="5"/>
  <c r="D3923" i="5"/>
  <c r="D3892" i="5"/>
  <c r="D3874" i="5"/>
  <c r="D3858" i="5"/>
  <c r="D3842" i="5"/>
  <c r="D3826" i="5"/>
  <c r="D3810" i="5"/>
  <c r="D3794" i="5"/>
  <c r="D3778" i="5"/>
  <c r="D3762" i="5"/>
  <c r="D3746" i="5"/>
  <c r="D3730" i="5"/>
  <c r="D4044" i="5"/>
  <c r="D4015" i="5"/>
  <c r="D3999" i="5"/>
  <c r="D3983" i="5"/>
  <c r="D3967" i="5"/>
  <c r="D3951" i="5"/>
  <c r="D3935" i="5"/>
  <c r="D3909" i="5"/>
  <c r="D3888" i="5"/>
  <c r="D3871" i="5"/>
  <c r="D3855" i="5"/>
  <c r="D3839" i="5"/>
  <c r="D3823" i="5"/>
  <c r="D3807" i="5"/>
  <c r="D3791" i="5"/>
  <c r="D3775" i="5"/>
  <c r="D3759" i="5"/>
  <c r="D3743" i="5"/>
  <c r="D3727" i="5"/>
  <c r="D4018" i="5"/>
  <c r="D4002" i="5"/>
  <c r="D3986" i="5"/>
  <c r="D3970" i="5"/>
  <c r="D3954" i="5"/>
  <c r="D3938" i="5"/>
  <c r="D3919" i="5"/>
  <c r="D3891" i="5"/>
  <c r="D3872" i="5"/>
  <c r="D3856" i="5"/>
  <c r="D3840" i="5"/>
  <c r="D3824" i="5"/>
  <c r="D3808" i="5"/>
  <c r="D3792" i="5"/>
  <c r="D3776" i="5"/>
  <c r="D3760" i="5"/>
  <c r="D3744" i="5"/>
  <c r="D3728" i="5"/>
  <c r="D3712" i="5"/>
  <c r="D3696" i="5"/>
  <c r="D3680" i="5"/>
  <c r="D3664" i="5"/>
  <c r="D3648" i="5"/>
  <c r="D3723" i="5"/>
  <c r="D3691" i="5"/>
  <c r="D3666" i="5"/>
  <c r="D3643" i="5"/>
  <c r="D3625" i="5"/>
  <c r="D3609" i="5"/>
  <c r="D3593" i="5"/>
  <c r="D3577" i="5"/>
  <c r="D3561" i="5"/>
  <c r="D3545" i="5"/>
  <c r="D3529" i="5"/>
  <c r="D3513" i="5"/>
  <c r="D3497" i="5"/>
  <c r="D3481" i="5"/>
  <c r="D3465" i="5"/>
  <c r="D3449" i="5"/>
  <c r="D3433" i="5"/>
  <c r="D3417" i="5"/>
  <c r="D3401" i="5"/>
  <c r="D3385" i="5"/>
  <c r="D3369" i="5"/>
  <c r="D3690" i="5"/>
  <c r="D3669" i="5"/>
  <c r="D3646" i="5"/>
  <c r="D3630" i="5"/>
  <c r="D3614" i="5"/>
  <c r="D3598" i="5"/>
  <c r="D3582" i="5"/>
  <c r="D3566" i="5"/>
  <c r="D3550" i="5"/>
  <c r="D3534" i="5"/>
  <c r="D3518" i="5"/>
  <c r="D3502" i="5"/>
  <c r="D3486" i="5"/>
  <c r="D3470" i="5"/>
  <c r="D3454" i="5"/>
  <c r="D3438" i="5"/>
  <c r="D3422" i="5"/>
  <c r="D3406" i="5"/>
  <c r="D3390" i="5"/>
  <c r="D3374" i="5"/>
  <c r="D3695" i="5"/>
  <c r="D3665" i="5"/>
  <c r="D3642" i="5"/>
  <c r="D3623" i="5"/>
  <c r="D3607" i="5"/>
  <c r="D3591" i="5"/>
  <c r="D3575" i="5"/>
  <c r="D3559" i="5"/>
  <c r="D3543" i="5"/>
  <c r="D3527" i="5"/>
  <c r="D3511" i="5"/>
  <c r="D3495" i="5"/>
  <c r="D3479" i="5"/>
  <c r="D3463" i="5"/>
  <c r="D3447" i="5"/>
  <c r="D3431" i="5"/>
  <c r="D3415" i="5"/>
  <c r="D3399" i="5"/>
  <c r="D3383" i="5"/>
  <c r="D3719" i="5"/>
  <c r="D3686" i="5"/>
  <c r="D3663" i="5"/>
  <c r="D3645" i="5"/>
  <c r="D3624" i="5"/>
  <c r="D3608" i="5"/>
  <c r="D3592" i="5"/>
  <c r="D3576" i="5"/>
  <c r="D3560" i="5"/>
  <c r="D3544" i="5"/>
  <c r="D3528" i="5"/>
  <c r="D3512" i="5"/>
  <c r="D3496" i="5"/>
  <c r="D3480" i="5"/>
  <c r="D3464" i="5"/>
  <c r="D3448" i="5"/>
  <c r="D3432" i="5"/>
  <c r="D3416" i="5"/>
  <c r="D3400" i="5"/>
  <c r="D3384" i="5"/>
  <c r="D3368" i="5"/>
  <c r="D3364" i="5"/>
  <c r="D3360" i="5"/>
  <c r="D3356" i="5"/>
  <c r="D3352" i="5"/>
  <c r="D3348" i="5"/>
  <c r="D3344" i="5"/>
  <c r="D3340" i="5"/>
  <c r="D3331" i="5"/>
  <c r="D3315" i="5"/>
  <c r="D3299" i="5"/>
  <c r="D3259" i="5"/>
  <c r="D3243" i="5"/>
  <c r="D3227" i="5"/>
  <c r="D3211" i="5"/>
  <c r="D3195" i="5"/>
  <c r="D3179" i="5"/>
  <c r="D3163" i="5"/>
  <c r="D3147" i="5"/>
  <c r="D3131" i="5"/>
  <c r="D3115" i="5"/>
  <c r="D3099" i="5"/>
  <c r="D3083" i="5"/>
  <c r="D3067" i="5"/>
  <c r="D3051" i="5"/>
  <c r="D3035" i="5"/>
  <c r="D3019" i="5"/>
  <c r="D3322" i="5"/>
  <c r="D3306" i="5"/>
  <c r="D3292" i="5"/>
  <c r="D3284" i="5"/>
  <c r="D3276" i="5"/>
  <c r="D3268" i="5"/>
  <c r="D3252" i="5"/>
  <c r="D3236" i="5"/>
  <c r="D3220" i="5"/>
  <c r="D3204" i="5"/>
  <c r="D3188" i="5"/>
  <c r="D3172" i="5"/>
  <c r="D3156" i="5"/>
  <c r="D3140" i="5"/>
  <c r="D3124" i="5"/>
  <c r="D3108" i="5"/>
  <c r="D3092" i="5"/>
  <c r="D3076" i="5"/>
  <c r="D3060" i="5"/>
  <c r="D3044" i="5"/>
  <c r="D3028" i="5"/>
  <c r="D3333" i="5"/>
  <c r="D3317" i="5"/>
  <c r="D3301" i="5"/>
  <c r="D3257" i="5"/>
  <c r="D3241" i="5"/>
  <c r="D3225" i="5"/>
  <c r="D3209" i="5"/>
  <c r="D3193" i="5"/>
  <c r="D3177" i="5"/>
  <c r="D3161" i="5"/>
  <c r="D3145" i="5"/>
  <c r="D3129" i="5"/>
  <c r="D3113" i="5"/>
  <c r="D3097" i="5"/>
  <c r="D3081" i="5"/>
  <c r="D3065" i="5"/>
  <c r="D3049" i="5"/>
  <c r="D3033" i="5"/>
  <c r="D3336" i="5"/>
  <c r="D3320" i="5"/>
  <c r="D3304" i="5"/>
  <c r="D3291" i="5"/>
  <c r="D3283" i="5"/>
  <c r="D3275" i="5"/>
  <c r="D3266" i="5"/>
  <c r="D3250" i="5"/>
  <c r="D3234" i="5"/>
  <c r="D3218" i="5"/>
  <c r="D3202" i="5"/>
  <c r="D3186" i="5"/>
  <c r="D3170" i="5"/>
  <c r="D3154" i="5"/>
  <c r="D3138" i="5"/>
  <c r="D3122" i="5"/>
  <c r="D3106" i="5"/>
  <c r="D3090" i="5"/>
  <c r="D3074" i="5"/>
  <c r="D3058" i="5"/>
  <c r="D3042" i="5"/>
  <c r="D3026" i="5"/>
  <c r="D3016" i="5"/>
  <c r="D3012" i="5"/>
  <c r="D3008" i="5"/>
  <c r="D3004" i="5"/>
  <c r="D3000" i="5"/>
  <c r="D2996" i="5"/>
  <c r="D2992" i="5"/>
  <c r="D2988" i="5"/>
  <c r="D2984" i="5"/>
  <c r="D2972" i="5"/>
  <c r="D2956" i="5"/>
  <c r="D2940" i="5"/>
  <c r="D2924" i="5"/>
  <c r="D2908" i="5"/>
  <c r="D2892" i="5"/>
  <c r="D2876" i="5"/>
  <c r="D2860" i="5"/>
  <c r="D2844" i="5"/>
  <c r="D2828" i="5"/>
  <c r="D2812" i="5"/>
  <c r="D2796" i="5"/>
  <c r="D2780" i="5"/>
  <c r="D2764" i="5"/>
  <c r="D2534" i="5"/>
  <c r="D2518" i="5"/>
  <c r="D2502" i="5"/>
  <c r="D2486" i="5"/>
  <c r="D2470" i="5"/>
  <c r="D2454" i="5"/>
  <c r="D2438" i="5"/>
  <c r="D2422" i="5"/>
  <c r="D2406" i="5"/>
  <c r="D2390" i="5"/>
  <c r="D2374" i="5"/>
  <c r="D2358" i="5"/>
  <c r="D2342" i="5"/>
  <c r="D2326" i="5"/>
  <c r="D2310" i="5"/>
  <c r="D2294" i="5"/>
  <c r="D2278" i="5"/>
  <c r="D2262" i="5"/>
  <c r="D2246" i="5"/>
  <c r="D2230" i="5"/>
  <c r="D2214" i="5"/>
  <c r="D2207" i="5"/>
  <c r="D2203" i="5"/>
  <c r="D2199" i="5"/>
  <c r="D2979" i="5"/>
  <c r="D2963" i="5"/>
  <c r="D2947" i="5"/>
  <c r="D2931" i="5"/>
  <c r="D2915" i="5"/>
  <c r="D2899" i="5"/>
  <c r="D2883" i="5"/>
  <c r="D2867" i="5"/>
  <c r="D2851" i="5"/>
  <c r="D2835" i="5"/>
  <c r="D2819" i="5"/>
  <c r="D2803" i="5"/>
  <c r="D2787" i="5"/>
  <c r="D2771" i="5"/>
  <c r="D2759" i="5"/>
  <c r="D2751" i="5"/>
  <c r="D2743" i="5"/>
  <c r="D2735" i="5"/>
  <c r="D2727" i="5"/>
  <c r="D2719" i="5"/>
  <c r="D2711" i="5"/>
  <c r="D2703" i="5"/>
  <c r="D2695" i="5"/>
  <c r="D2687" i="5"/>
  <c r="D2679" i="5"/>
  <c r="D2671" i="5"/>
  <c r="D2663" i="5"/>
  <c r="D2655" i="5"/>
  <c r="D2647" i="5"/>
  <c r="D2639" i="5"/>
  <c r="D2631" i="5"/>
  <c r="D2623" i="5"/>
  <c r="D2615" i="5"/>
  <c r="D2607" i="5"/>
  <c r="D2599" i="5"/>
  <c r="D2591" i="5"/>
  <c r="D2583" i="5"/>
  <c r="D2575" i="5"/>
  <c r="D2567" i="5"/>
  <c r="D2559" i="5"/>
  <c r="D2551" i="5"/>
  <c r="D2539" i="5"/>
  <c r="D2970" i="5"/>
  <c r="D2954" i="5"/>
  <c r="D2938" i="5"/>
  <c r="D2922" i="5"/>
  <c r="D2906" i="5"/>
  <c r="D2890" i="5"/>
  <c r="D2874" i="5"/>
  <c r="D2858" i="5"/>
  <c r="D2842" i="5"/>
  <c r="D2826" i="5"/>
  <c r="D2810" i="5"/>
  <c r="D2794" i="5"/>
  <c r="D2778" i="5"/>
  <c r="D2544" i="5"/>
  <c r="D2528" i="5"/>
  <c r="D2512" i="5"/>
  <c r="D2496" i="5"/>
  <c r="D2480" i="5"/>
  <c r="D2464" i="5"/>
  <c r="D2448" i="5"/>
  <c r="D2432" i="5"/>
  <c r="D2416" i="5"/>
  <c r="D2400" i="5"/>
  <c r="D2384" i="5"/>
  <c r="D2368" i="5"/>
  <c r="D2352" i="5"/>
  <c r="D2336" i="5"/>
  <c r="D2320" i="5"/>
  <c r="D2304" i="5"/>
  <c r="D2288" i="5"/>
  <c r="D2272" i="5"/>
  <c r="D2256" i="5"/>
  <c r="D2240" i="5"/>
  <c r="D2224" i="5"/>
  <c r="D2981" i="5"/>
  <c r="D2965" i="5"/>
  <c r="D2949" i="5"/>
  <c r="D2933" i="5"/>
  <c r="D2917" i="5"/>
  <c r="D2901" i="5"/>
  <c r="D2885" i="5"/>
  <c r="D2869" i="5"/>
  <c r="D2853" i="5"/>
  <c r="D2837" i="5"/>
  <c r="D2821" i="5"/>
  <c r="D2805" i="5"/>
  <c r="D2789" i="5"/>
  <c r="D2773" i="5"/>
  <c r="D2760" i="5"/>
  <c r="D2752" i="5"/>
  <c r="D2744" i="5"/>
  <c r="D2736" i="5"/>
  <c r="D2728" i="5"/>
  <c r="D2720" i="5"/>
  <c r="D2712" i="5"/>
  <c r="D2704" i="5"/>
  <c r="D2696" i="5"/>
  <c r="B2696" i="5" s="1"/>
  <c r="D2688" i="5"/>
  <c r="D2680" i="5"/>
  <c r="D2672" i="5"/>
  <c r="D2664" i="5"/>
  <c r="D2656" i="5"/>
  <c r="D2648" i="5"/>
  <c r="D2640" i="5"/>
  <c r="D2632" i="5"/>
  <c r="D2624" i="5"/>
  <c r="D2616" i="5"/>
  <c r="D2608" i="5"/>
  <c r="D2600" i="5"/>
  <c r="D2592" i="5"/>
  <c r="D2584" i="5"/>
  <c r="D2576" i="5"/>
  <c r="D2568" i="5"/>
  <c r="B2568" i="5" s="1"/>
  <c r="D2560" i="5"/>
  <c r="D2552" i="5"/>
  <c r="D2541" i="5"/>
  <c r="D2525" i="5"/>
  <c r="D2509" i="5"/>
  <c r="D2493" i="5"/>
  <c r="D2477" i="5"/>
  <c r="D2461" i="5"/>
  <c r="D2445" i="5"/>
  <c r="D2429" i="5"/>
  <c r="D2413" i="5"/>
  <c r="D2519" i="5"/>
  <c r="D2455" i="5"/>
  <c r="D2403" i="5"/>
  <c r="D2371" i="5"/>
  <c r="D2339" i="5"/>
  <c r="D2307" i="5"/>
  <c r="D2275" i="5"/>
  <c r="D2243" i="5"/>
  <c r="D2211" i="5"/>
  <c r="D2183" i="5"/>
  <c r="D2167" i="5"/>
  <c r="D2151" i="5"/>
  <c r="D2135" i="5"/>
  <c r="D2119" i="5"/>
  <c r="D2103" i="5"/>
  <c r="D2087" i="5"/>
  <c r="D2071" i="5"/>
  <c r="D2055" i="5"/>
  <c r="D2039" i="5"/>
  <c r="D2023" i="5"/>
  <c r="D2007" i="5"/>
  <c r="D1991" i="5"/>
  <c r="D2507" i="5"/>
  <c r="D2443" i="5"/>
  <c r="D2389" i="5"/>
  <c r="D2357" i="5"/>
  <c r="D2325" i="5"/>
  <c r="D2293" i="5"/>
  <c r="D2261" i="5"/>
  <c r="D2229" i="5"/>
  <c r="D2188" i="5"/>
  <c r="D2172" i="5"/>
  <c r="D2156" i="5"/>
  <c r="D2140" i="5"/>
  <c r="D2124" i="5"/>
  <c r="D2108" i="5"/>
  <c r="D2092" i="5"/>
  <c r="D2076" i="5"/>
  <c r="D2060" i="5"/>
  <c r="D2044" i="5"/>
  <c r="D2028" i="5"/>
  <c r="D2012" i="5"/>
  <c r="D2495" i="5"/>
  <c r="D2431" i="5"/>
  <c r="D2383" i="5"/>
  <c r="D2351" i="5"/>
  <c r="D2319" i="5"/>
  <c r="D2287" i="5"/>
  <c r="D2255" i="5"/>
  <c r="D2223" i="5"/>
  <c r="D2185" i="5"/>
  <c r="D2169" i="5"/>
  <c r="D2153" i="5"/>
  <c r="D2137" i="5"/>
  <c r="D2121" i="5"/>
  <c r="D2105" i="5"/>
  <c r="D2089" i="5"/>
  <c r="D2073" i="5"/>
  <c r="D2057" i="5"/>
  <c r="D2041" i="5"/>
  <c r="D2025" i="5"/>
  <c r="D2009" i="5"/>
  <c r="D2483" i="5"/>
  <c r="D2419" i="5"/>
  <c r="D2377" i="5"/>
  <c r="D2345" i="5"/>
  <c r="D2313" i="5"/>
  <c r="D2281" i="5"/>
  <c r="D2249" i="5"/>
  <c r="D2217" i="5"/>
  <c r="D2182" i="5"/>
  <c r="D2166" i="5"/>
  <c r="D2150" i="5"/>
  <c r="D2134" i="5"/>
  <c r="D2118" i="5"/>
  <c r="D2102" i="5"/>
  <c r="D2086" i="5"/>
  <c r="D2070" i="5"/>
  <c r="D2054" i="5"/>
  <c r="D2038" i="5"/>
  <c r="D2022" i="5"/>
  <c r="D2006" i="5"/>
  <c r="D1990" i="5"/>
  <c r="D1974" i="5"/>
  <c r="D1958" i="5"/>
  <c r="D2001" i="5"/>
  <c r="D1969" i="5"/>
  <c r="D1951" i="5"/>
  <c r="D1932" i="5"/>
  <c r="D1916" i="5"/>
  <c r="D1900" i="5"/>
  <c r="D1884" i="5"/>
  <c r="D1868" i="5"/>
  <c r="D1852" i="5"/>
  <c r="D1836" i="5"/>
  <c r="D1820" i="5"/>
  <c r="D1804" i="5"/>
  <c r="D1788" i="5"/>
  <c r="D1772" i="5"/>
  <c r="D1756" i="5"/>
  <c r="D1740" i="5"/>
  <c r="D1724" i="5"/>
  <c r="D1708" i="5"/>
  <c r="D1692" i="5"/>
  <c r="D1676" i="5"/>
  <c r="D1660" i="5"/>
  <c r="D1644" i="5"/>
  <c r="D1628" i="5"/>
  <c r="D1612" i="5"/>
  <c r="D1596" i="5"/>
  <c r="D1580" i="5"/>
  <c r="D1564" i="5"/>
  <c r="D1554" i="5"/>
  <c r="D1550" i="5"/>
  <c r="D1546" i="5"/>
  <c r="D1542" i="5"/>
  <c r="D1538" i="5"/>
  <c r="D1534" i="5"/>
  <c r="D1530" i="5"/>
  <c r="D1526" i="5"/>
  <c r="D1522" i="5"/>
  <c r="D1518" i="5"/>
  <c r="D1514" i="5"/>
  <c r="D1510" i="5"/>
  <c r="D2000" i="5"/>
  <c r="D1972" i="5"/>
  <c r="D1949" i="5"/>
  <c r="D1933" i="5"/>
  <c r="D1917" i="5"/>
  <c r="D1901" i="5"/>
  <c r="D1885" i="5"/>
  <c r="D1869" i="5"/>
  <c r="D1853" i="5"/>
  <c r="D1837" i="5"/>
  <c r="D1821" i="5"/>
  <c r="D1805" i="5"/>
  <c r="D1789" i="5"/>
  <c r="D1773" i="5"/>
  <c r="D1757" i="5"/>
  <c r="D1741" i="5"/>
  <c r="D1725" i="5"/>
  <c r="D1709" i="5"/>
  <c r="D1693" i="5"/>
  <c r="D1677" i="5"/>
  <c r="D1661" i="5"/>
  <c r="D1645" i="5"/>
  <c r="D1629" i="5"/>
  <c r="D1613" i="5"/>
  <c r="D1597" i="5"/>
  <c r="D1581" i="5"/>
  <c r="D1565" i="5"/>
  <c r="D1997" i="5"/>
  <c r="D1975" i="5"/>
  <c r="D1952" i="5"/>
  <c r="D1934" i="5"/>
  <c r="D1918" i="5"/>
  <c r="D1902" i="5"/>
  <c r="D1886" i="5"/>
  <c r="D1870" i="5"/>
  <c r="D1854" i="5"/>
  <c r="D1838" i="5"/>
  <c r="D1822" i="5"/>
  <c r="D1806" i="5"/>
  <c r="D1790" i="5"/>
  <c r="D1774" i="5"/>
  <c r="D1758" i="5"/>
  <c r="D1742" i="5"/>
  <c r="D1726" i="5"/>
  <c r="D1710" i="5"/>
  <c r="D1694" i="5"/>
  <c r="D1678" i="5"/>
  <c r="D1662" i="5"/>
  <c r="D1646" i="5"/>
  <c r="D1630" i="5"/>
  <c r="D1614" i="5"/>
  <c r="D1598" i="5"/>
  <c r="D1582" i="5"/>
  <c r="D1566" i="5"/>
  <c r="D1996" i="5"/>
  <c r="D1971" i="5"/>
  <c r="D1948" i="5"/>
  <c r="D1931" i="5"/>
  <c r="D1915" i="5"/>
  <c r="D1899" i="5"/>
  <c r="D1883" i="5"/>
  <c r="D1867" i="5"/>
  <c r="D1851" i="5"/>
  <c r="D1835" i="5"/>
  <c r="D1819" i="5"/>
  <c r="D1803" i="5"/>
  <c r="D1787" i="5"/>
  <c r="D1771" i="5"/>
  <c r="D1755" i="5"/>
  <c r="D1739" i="5"/>
  <c r="D1723" i="5"/>
  <c r="D1707" i="5"/>
  <c r="D1691" i="5"/>
  <c r="D1675" i="5"/>
  <c r="D1659" i="5"/>
  <c r="D1643" i="5"/>
  <c r="D1627" i="5"/>
  <c r="D1611" i="5"/>
  <c r="D1595" i="5"/>
  <c r="D1579" i="5"/>
  <c r="D1563" i="5"/>
  <c r="D1496" i="5"/>
  <c r="D1480" i="5"/>
  <c r="D1464" i="5"/>
  <c r="D1448" i="5"/>
  <c r="D1432" i="5"/>
  <c r="D1416" i="5"/>
  <c r="D1400" i="5"/>
  <c r="D1384" i="5"/>
  <c r="D1368" i="5"/>
  <c r="D1352" i="5"/>
  <c r="D1336" i="5"/>
  <c r="D1320" i="5"/>
  <c r="D1304" i="5"/>
  <c r="D1288" i="5"/>
  <c r="D1272" i="5"/>
  <c r="D1256" i="5"/>
  <c r="D1240" i="5"/>
  <c r="D1224" i="5"/>
  <c r="D1208" i="5"/>
  <c r="D1192" i="5"/>
  <c r="D1176" i="5"/>
  <c r="D1160" i="5"/>
  <c r="D1144" i="5"/>
  <c r="D1128" i="5"/>
  <c r="D1112" i="5"/>
  <c r="D1096" i="5"/>
  <c r="D1080" i="5"/>
  <c r="D1064" i="5"/>
  <c r="D1048" i="5"/>
  <c r="D1032" i="5"/>
  <c r="D1016" i="5"/>
  <c r="D1000" i="5"/>
  <c r="D984" i="5"/>
  <c r="D968" i="5"/>
  <c r="D952" i="5"/>
  <c r="D939" i="5"/>
  <c r="D931" i="5"/>
  <c r="D923" i="5"/>
  <c r="D915" i="5"/>
  <c r="D907" i="5"/>
  <c r="D899" i="5"/>
  <c r="D891" i="5"/>
  <c r="D883" i="5"/>
  <c r="D875" i="5"/>
  <c r="D867" i="5"/>
  <c r="D859" i="5"/>
  <c r="D851" i="5"/>
  <c r="D843" i="5"/>
  <c r="D835" i="5"/>
  <c r="D827" i="5"/>
  <c r="D819" i="5"/>
  <c r="D811" i="5"/>
  <c r="D796" i="5"/>
  <c r="D780" i="5"/>
  <c r="D764" i="5"/>
  <c r="D736" i="5"/>
  <c r="D700" i="5"/>
  <c r="D664" i="5"/>
  <c r="D632" i="5"/>
  <c r="D596" i="5"/>
  <c r="D564" i="5"/>
  <c r="D532" i="5"/>
  <c r="D467" i="5"/>
  <c r="D455" i="5"/>
  <c r="D443" i="5"/>
  <c r="D432" i="5"/>
  <c r="D420" i="5"/>
  <c r="D408" i="5"/>
  <c r="D397" i="5"/>
  <c r="D384" i="5"/>
  <c r="D373" i="5"/>
  <c r="D361" i="5"/>
  <c r="D349" i="5"/>
  <c r="D338" i="5"/>
  <c r="D326" i="5"/>
  <c r="D314" i="5"/>
  <c r="D304" i="5"/>
  <c r="D293" i="5"/>
  <c r="D281" i="5"/>
  <c r="D267" i="5"/>
  <c r="D252" i="5"/>
  <c r="D235" i="5"/>
  <c r="D219" i="5"/>
  <c r="D203" i="5"/>
  <c r="D189" i="5"/>
  <c r="D172" i="5"/>
  <c r="D156" i="5"/>
  <c r="D141" i="5"/>
  <c r="D125" i="5"/>
  <c r="D109" i="5"/>
  <c r="D94" i="5"/>
  <c r="D79" i="5"/>
  <c r="D64" i="5"/>
  <c r="D47" i="5"/>
  <c r="D1491" i="5"/>
  <c r="D1475" i="5"/>
  <c r="D1459" i="5"/>
  <c r="D1443" i="5"/>
  <c r="D1427" i="5"/>
  <c r="D1411" i="5"/>
  <c r="D1395" i="5"/>
  <c r="D1379" i="5"/>
  <c r="D1363" i="5"/>
  <c r="D1347" i="5"/>
  <c r="D1331" i="5"/>
  <c r="D1315" i="5"/>
  <c r="D1299" i="5"/>
  <c r="D1283" i="5"/>
  <c r="D1267" i="5"/>
  <c r="D1251" i="5"/>
  <c r="D1235" i="5"/>
  <c r="D1219" i="5"/>
  <c r="D1203" i="5"/>
  <c r="D1187" i="5"/>
  <c r="D1171" i="5"/>
  <c r="D1155" i="5"/>
  <c r="D1139" i="5"/>
  <c r="D1123" i="5"/>
  <c r="D1107" i="5"/>
  <c r="D1091" i="5"/>
  <c r="D1075" i="5"/>
  <c r="D1059" i="5"/>
  <c r="D1043" i="5"/>
  <c r="D1027" i="5"/>
  <c r="D1011" i="5"/>
  <c r="D995" i="5"/>
  <c r="D979" i="5"/>
  <c r="D963" i="5"/>
  <c r="D947" i="5"/>
  <c r="D801" i="5"/>
  <c r="D785" i="5"/>
  <c r="D769" i="5"/>
  <c r="D753" i="5"/>
  <c r="D737" i="5"/>
  <c r="D721" i="5"/>
  <c r="D705" i="5"/>
  <c r="D689" i="5"/>
  <c r="D673" i="5"/>
  <c r="D657" i="5"/>
  <c r="D641" i="5"/>
  <c r="D625" i="5"/>
  <c r="D609" i="5"/>
  <c r="D593" i="5"/>
  <c r="D577" i="5"/>
  <c r="D561" i="5"/>
  <c r="D545" i="5"/>
  <c r="D529" i="5"/>
  <c r="D513" i="5"/>
  <c r="D509" i="5"/>
  <c r="D505" i="5"/>
  <c r="D501" i="5"/>
  <c r="D497" i="5"/>
  <c r="D493" i="5"/>
  <c r="D489" i="5"/>
  <c r="D485" i="5"/>
  <c r="D481" i="5"/>
  <c r="D477" i="5"/>
  <c r="D469" i="5"/>
  <c r="D457" i="5"/>
  <c r="D444" i="5"/>
  <c r="D431" i="5"/>
  <c r="D418" i="5"/>
  <c r="D405" i="5"/>
  <c r="D392" i="5"/>
  <c r="D379" i="5"/>
  <c r="D366" i="5"/>
  <c r="D353" i="5"/>
  <c r="D341" i="5"/>
  <c r="D328" i="5"/>
  <c r="D315" i="5"/>
  <c r="D302" i="5"/>
  <c r="D289" i="5"/>
  <c r="D276" i="5"/>
  <c r="D260" i="5"/>
  <c r="D242" i="5"/>
  <c r="D226" i="5"/>
  <c r="D209" i="5"/>
  <c r="D191" i="5"/>
  <c r="D175" i="5"/>
  <c r="D157" i="5"/>
  <c r="D140" i="5"/>
  <c r="D123" i="5"/>
  <c r="D105" i="5"/>
  <c r="D89" i="5"/>
  <c r="D72" i="5"/>
  <c r="D54" i="5"/>
  <c r="D1502" i="5"/>
  <c r="D1486" i="5"/>
  <c r="D1470" i="5"/>
  <c r="D1454" i="5"/>
  <c r="D1438" i="5"/>
  <c r="D1422" i="5"/>
  <c r="D1406" i="5"/>
  <c r="D1390" i="5"/>
  <c r="D1374" i="5"/>
  <c r="D1358" i="5"/>
  <c r="D1342" i="5"/>
  <c r="D1326" i="5"/>
  <c r="D1310" i="5"/>
  <c r="D1294" i="5"/>
  <c r="D1278" i="5"/>
  <c r="D1262" i="5"/>
  <c r="D1246" i="5"/>
  <c r="D1230" i="5"/>
  <c r="D1214" i="5"/>
  <c r="D1198" i="5"/>
  <c r="D1182" i="5"/>
  <c r="D1166" i="5"/>
  <c r="D1150" i="5"/>
  <c r="D1134" i="5"/>
  <c r="D1118" i="5"/>
  <c r="D1102" i="5"/>
  <c r="D1086" i="5"/>
  <c r="D1070" i="5"/>
  <c r="D1054" i="5"/>
  <c r="D1038" i="5"/>
  <c r="D1022" i="5"/>
  <c r="D1006" i="5"/>
  <c r="D990" i="5"/>
  <c r="D974" i="5"/>
  <c r="D958" i="5"/>
  <c r="D942" i="5"/>
  <c r="D934" i="5"/>
  <c r="D926" i="5"/>
  <c r="D918" i="5"/>
  <c r="D910" i="5"/>
  <c r="D902" i="5"/>
  <c r="D894" i="5"/>
  <c r="D886" i="5"/>
  <c r="D878" i="5"/>
  <c r="D870" i="5"/>
  <c r="D862" i="5"/>
  <c r="D854" i="5"/>
  <c r="D846" i="5"/>
  <c r="D838" i="5"/>
  <c r="D830" i="5"/>
  <c r="D822" i="5"/>
  <c r="D814" i="5"/>
  <c r="D802" i="5"/>
  <c r="D786" i="5"/>
  <c r="D770" i="5"/>
  <c r="D754" i="5"/>
  <c r="D738" i="5"/>
  <c r="D722" i="5"/>
  <c r="D706" i="5"/>
  <c r="D690" i="5"/>
  <c r="D674" i="5"/>
  <c r="D658" i="5"/>
  <c r="D642" i="5"/>
  <c r="D626" i="5"/>
  <c r="D610" i="5"/>
  <c r="D594" i="5"/>
  <c r="D578" i="5"/>
  <c r="D562" i="5"/>
  <c r="D546" i="5"/>
  <c r="D530" i="5"/>
  <c r="D514" i="5"/>
  <c r="D262" i="5"/>
  <c r="D245" i="5"/>
  <c r="D229" i="5"/>
  <c r="D212" i="5"/>
  <c r="D195" i="5"/>
  <c r="D178" i="5"/>
  <c r="D162" i="5"/>
  <c r="D146" i="5"/>
  <c r="D128" i="5"/>
  <c r="D112" i="5"/>
  <c r="D96" i="5"/>
  <c r="D78" i="5"/>
  <c r="D61" i="5"/>
  <c r="D46" i="5"/>
  <c r="D1493" i="5"/>
  <c r="D1477" i="5"/>
  <c r="D1461" i="5"/>
  <c r="D1445" i="5"/>
  <c r="D1429" i="5"/>
  <c r="D1413" i="5"/>
  <c r="D1397" i="5"/>
  <c r="D1381" i="5"/>
  <c r="D1365" i="5"/>
  <c r="D1349" i="5"/>
  <c r="D1333" i="5"/>
  <c r="D1317" i="5"/>
  <c r="D1301" i="5"/>
  <c r="D1285" i="5"/>
  <c r="D1269" i="5"/>
  <c r="D1253" i="5"/>
  <c r="D1237" i="5"/>
  <c r="D1221" i="5"/>
  <c r="D1205" i="5"/>
  <c r="D1189" i="5"/>
  <c r="D1173" i="5"/>
  <c r="D1157" i="5"/>
  <c r="D1141" i="5"/>
  <c r="D1125" i="5"/>
  <c r="D1109" i="5"/>
  <c r="D1093" i="5"/>
  <c r="D1077" i="5"/>
  <c r="D1061" i="5"/>
  <c r="D1045" i="5"/>
  <c r="D1029" i="5"/>
  <c r="D1013" i="5"/>
  <c r="D997" i="5"/>
  <c r="D981" i="5"/>
  <c r="D965" i="5"/>
  <c r="D949" i="5"/>
  <c r="D799" i="5"/>
  <c r="D783" i="5"/>
  <c r="D767" i="5"/>
  <c r="D751" i="5"/>
  <c r="D735" i="5"/>
  <c r="D719" i="5"/>
  <c r="D703" i="5"/>
  <c r="D687" i="5"/>
  <c r="D671" i="5"/>
  <c r="D655" i="5"/>
  <c r="D639" i="5"/>
  <c r="D623" i="5"/>
  <c r="D607" i="5"/>
  <c r="D591" i="5"/>
  <c r="D575" i="5"/>
  <c r="D559" i="5"/>
  <c r="D543" i="5"/>
  <c r="D527" i="5"/>
  <c r="D43" i="5"/>
  <c r="D14" i="5" s="1"/>
  <c r="D732" i="5"/>
  <c r="D704" i="5"/>
  <c r="D672" i="5"/>
  <c r="D644" i="5"/>
  <c r="D616" i="5"/>
  <c r="D584" i="5"/>
  <c r="D552" i="5"/>
  <c r="D520" i="5"/>
  <c r="D468" i="5"/>
  <c r="D456" i="5"/>
  <c r="D445" i="5"/>
  <c r="B445" i="5" s="1"/>
  <c r="D433" i="5"/>
  <c r="D422" i="5"/>
  <c r="D410" i="5"/>
  <c r="D399" i="5"/>
  <c r="D388" i="5"/>
  <c r="D377" i="5"/>
  <c r="D365" i="5"/>
  <c r="D354" i="5"/>
  <c r="D342" i="5"/>
  <c r="D330" i="5"/>
  <c r="D319" i="5"/>
  <c r="D307" i="5"/>
  <c r="D294" i="5"/>
  <c r="D282" i="5"/>
  <c r="D268" i="5"/>
  <c r="D253" i="5"/>
  <c r="D240" i="5"/>
  <c r="D224" i="5"/>
  <c r="D210" i="5"/>
  <c r="D194" i="5"/>
  <c r="D181" i="5"/>
  <c r="D167" i="5"/>
  <c r="D151" i="5"/>
  <c r="D136" i="5"/>
  <c r="D122" i="5"/>
  <c r="D107" i="5"/>
  <c r="D92" i="5"/>
  <c r="D77" i="5"/>
  <c r="D63" i="5"/>
  <c r="D48" i="5"/>
  <c r="B48" i="5" s="1"/>
  <c r="D5042" i="5"/>
  <c r="D5026" i="5"/>
  <c r="D5010" i="5"/>
  <c r="D5035" i="5"/>
  <c r="D5019" i="5"/>
  <c r="D5036" i="5"/>
  <c r="D5020" i="5"/>
  <c r="D5004" i="5"/>
  <c r="D4988" i="5"/>
  <c r="B4988" i="5" s="1"/>
  <c r="D5033" i="5"/>
  <c r="D5017" i="5"/>
  <c r="D5001" i="5"/>
  <c r="D4985" i="5"/>
  <c r="D4954" i="5"/>
  <c r="D4938" i="5"/>
  <c r="D4922" i="5"/>
  <c r="D4906" i="5"/>
  <c r="D4890" i="5"/>
  <c r="D4874" i="5"/>
  <c r="D4982" i="5"/>
  <c r="D4974" i="5"/>
  <c r="D4966" i="5"/>
  <c r="D4958" i="5"/>
  <c r="D5002" i="5"/>
  <c r="D4952" i="5"/>
  <c r="D4936" i="5"/>
  <c r="D4920" i="5"/>
  <c r="D4973" i="5"/>
  <c r="D4933" i="5"/>
  <c r="D4907" i="5"/>
  <c r="D4884" i="5"/>
  <c r="D4868" i="5"/>
  <c r="D4858" i="5"/>
  <c r="D4943" i="5"/>
  <c r="D4912" i="5"/>
  <c r="D4889" i="5"/>
  <c r="D4869" i="5"/>
  <c r="D4969" i="5"/>
  <c r="D4937" i="5"/>
  <c r="D4915" i="5"/>
  <c r="D4892" i="5"/>
  <c r="D4870" i="5"/>
  <c r="D4975" i="5"/>
  <c r="D4939" i="5"/>
  <c r="D4911" i="5"/>
  <c r="D4888" i="5"/>
  <c r="D4867" i="5"/>
  <c r="D4847" i="5"/>
  <c r="D4831" i="5"/>
  <c r="D4814" i="5"/>
  <c r="D4798" i="5"/>
  <c r="D4794" i="5"/>
  <c r="D4850" i="5"/>
  <c r="D4834" i="5"/>
  <c r="D4819" i="5"/>
  <c r="D4803" i="5"/>
  <c r="B4803" i="5" s="1"/>
  <c r="D4849" i="5"/>
  <c r="D4833" i="5"/>
  <c r="D4816" i="5"/>
  <c r="D4800" i="5"/>
  <c r="D4844" i="5"/>
  <c r="D4828" i="5"/>
  <c r="D4813" i="5"/>
  <c r="D4789" i="5"/>
  <c r="D4773" i="5"/>
  <c r="D4757" i="5"/>
  <c r="D4722" i="5"/>
  <c r="D4706" i="5"/>
  <c r="D4690" i="5"/>
  <c r="D4674" i="5"/>
  <c r="D4658" i="5"/>
  <c r="D4654" i="5"/>
  <c r="D4650" i="5"/>
  <c r="D4646" i="5"/>
  <c r="D4776" i="5"/>
  <c r="D4760" i="5"/>
  <c r="D4744" i="5"/>
  <c r="D4735" i="5"/>
  <c r="D4727" i="5"/>
  <c r="D4715" i="5"/>
  <c r="D4699" i="5"/>
  <c r="D4683" i="5"/>
  <c r="D4667" i="5"/>
  <c r="D4787" i="5"/>
  <c r="D4771" i="5"/>
  <c r="D4755" i="5"/>
  <c r="D4720" i="5"/>
  <c r="D4704" i="5"/>
  <c r="D4688" i="5"/>
  <c r="D4672" i="5"/>
  <c r="D4790" i="5"/>
  <c r="D4774" i="5"/>
  <c r="D4758" i="5"/>
  <c r="D4742" i="5"/>
  <c r="D4734" i="5"/>
  <c r="D4726" i="5"/>
  <c r="D4713" i="5"/>
  <c r="D4697" i="5"/>
  <c r="D4681" i="5"/>
  <c r="D4665" i="5"/>
  <c r="D4629" i="5"/>
  <c r="D4613" i="5"/>
  <c r="D4597" i="5"/>
  <c r="D4581" i="5"/>
  <c r="D4565" i="5"/>
  <c r="D4549" i="5"/>
  <c r="D4533" i="5"/>
  <c r="D4517" i="5"/>
  <c r="D4501" i="5"/>
  <c r="D4485" i="5"/>
  <c r="D4469" i="5"/>
  <c r="D4453" i="5"/>
  <c r="D4437" i="5"/>
  <c r="D4421" i="5"/>
  <c r="D4638" i="5"/>
  <c r="D4622" i="5"/>
  <c r="D4606" i="5"/>
  <c r="D4590" i="5"/>
  <c r="D4574" i="5"/>
  <c r="D4558" i="5"/>
  <c r="D4542" i="5"/>
  <c r="D4526" i="5"/>
  <c r="D4510" i="5"/>
  <c r="D4494" i="5"/>
  <c r="D4478" i="5"/>
  <c r="D4462" i="5"/>
  <c r="D4446" i="5"/>
  <c r="D4430" i="5"/>
  <c r="D4623" i="5"/>
  <c r="D4607" i="5"/>
  <c r="D4591" i="5"/>
  <c r="D4575" i="5"/>
  <c r="D4559" i="5"/>
  <c r="D4543" i="5"/>
  <c r="D4527" i="5"/>
  <c r="D4511" i="5"/>
  <c r="D4495" i="5"/>
  <c r="D4479" i="5"/>
  <c r="D4463" i="5"/>
  <c r="D4447" i="5"/>
  <c r="D4431" i="5"/>
  <c r="D4641" i="5"/>
  <c r="D4628" i="5"/>
  <c r="D4612" i="5"/>
  <c r="D4596" i="5"/>
  <c r="D4580" i="5"/>
  <c r="D4564" i="5"/>
  <c r="D4548" i="5"/>
  <c r="D4532" i="5"/>
  <c r="D4516" i="5"/>
  <c r="D4500" i="5"/>
  <c r="D4484" i="5"/>
  <c r="D4468" i="5"/>
  <c r="D4452" i="5"/>
  <c r="D4436" i="5"/>
  <c r="D4420" i="5"/>
  <c r="D4417" i="5"/>
  <c r="D4402" i="5"/>
  <c r="D4423" i="5"/>
  <c r="D4403" i="5"/>
  <c r="D4422" i="5"/>
  <c r="D4404" i="5"/>
  <c r="D4388" i="5"/>
  <c r="D4384" i="5"/>
  <c r="D4380" i="5"/>
  <c r="D4376" i="5"/>
  <c r="D4401" i="5"/>
  <c r="D4240" i="5"/>
  <c r="D4224" i="5"/>
  <c r="D4208" i="5"/>
  <c r="D4192" i="5"/>
  <c r="D4176" i="5"/>
  <c r="D4160" i="5"/>
  <c r="D4144" i="5"/>
  <c r="D4128" i="5"/>
  <c r="D4112" i="5"/>
  <c r="D4096" i="5"/>
  <c r="D4080" i="5"/>
  <c r="D4371" i="5"/>
  <c r="D4363" i="5"/>
  <c r="D4355" i="5"/>
  <c r="D4347" i="5"/>
  <c r="D4339" i="5"/>
  <c r="D4331" i="5"/>
  <c r="D4323" i="5"/>
  <c r="D4315" i="5"/>
  <c r="D4307" i="5"/>
  <c r="D4299" i="5"/>
  <c r="D4291" i="5"/>
  <c r="D4283" i="5"/>
  <c r="D4275" i="5"/>
  <c r="D4267" i="5"/>
  <c r="D4234" i="5"/>
  <c r="D4218" i="5"/>
  <c r="D4202" i="5"/>
  <c r="D4186" i="5"/>
  <c r="D4170" i="5"/>
  <c r="D4154" i="5"/>
  <c r="D4138" i="5"/>
  <c r="B4138" i="5" s="1"/>
  <c r="D4122" i="5"/>
  <c r="D4106" i="5"/>
  <c r="D4090" i="5"/>
  <c r="D4074" i="5"/>
  <c r="D4368" i="5"/>
  <c r="D4360" i="5"/>
  <c r="D4352" i="5"/>
  <c r="D4344" i="5"/>
  <c r="D4336" i="5"/>
  <c r="D4328" i="5"/>
  <c r="D4320" i="5"/>
  <c r="D4312" i="5"/>
  <c r="D4304" i="5"/>
  <c r="D4296" i="5"/>
  <c r="D4288" i="5"/>
  <c r="D4280" i="5"/>
  <c r="D4272" i="5"/>
  <c r="D4264" i="5"/>
  <c r="D4256" i="5"/>
  <c r="D4248" i="5"/>
  <c r="D4239" i="5"/>
  <c r="D4223" i="5"/>
  <c r="D4249" i="5"/>
  <c r="D4203" i="5"/>
  <c r="D4171" i="5"/>
  <c r="D4139" i="5"/>
  <c r="D4107" i="5"/>
  <c r="D4075" i="5"/>
  <c r="D3914" i="5"/>
  <c r="D3898" i="5"/>
  <c r="D4255" i="5"/>
  <c r="D4205" i="5"/>
  <c r="D4173" i="5"/>
  <c r="D4141" i="5"/>
  <c r="D4109" i="5"/>
  <c r="D4077" i="5"/>
  <c r="D4066" i="5"/>
  <c r="D4058" i="5"/>
  <c r="D4050" i="5"/>
  <c r="D4253" i="5"/>
  <c r="D4207" i="5"/>
  <c r="B4207" i="5" s="1"/>
  <c r="D4175" i="5"/>
  <c r="D4143" i="5"/>
  <c r="D4111" i="5"/>
  <c r="D4079" i="5"/>
  <c r="D3916" i="5"/>
  <c r="D3900" i="5"/>
  <c r="D4237" i="5"/>
  <c r="D4193" i="5"/>
  <c r="D4161" i="5"/>
  <c r="D4129" i="5"/>
  <c r="D4097" i="5"/>
  <c r="D4071" i="5"/>
  <c r="D4063" i="5"/>
  <c r="D4055" i="5"/>
  <c r="D4047" i="5"/>
  <c r="D4039" i="5"/>
  <c r="D4031" i="5"/>
  <c r="D4023" i="5"/>
  <c r="D4032" i="5"/>
  <c r="D4009" i="5"/>
  <c r="D3993" i="5"/>
  <c r="D3977" i="5"/>
  <c r="D3961" i="5"/>
  <c r="D3945" i="5"/>
  <c r="D3929" i="5"/>
  <c r="D3896" i="5"/>
  <c r="D3877" i="5"/>
  <c r="D3861" i="5"/>
  <c r="D3845" i="5"/>
  <c r="D3829" i="5"/>
  <c r="D3813" i="5"/>
  <c r="D3797" i="5"/>
  <c r="D3781" i="5"/>
  <c r="D3765" i="5"/>
  <c r="D3749" i="5"/>
  <c r="D3733" i="5"/>
  <c r="D3717" i="5"/>
  <c r="D3701" i="5"/>
  <c r="D3685" i="5"/>
  <c r="D4022" i="5"/>
  <c r="D4004" i="5"/>
  <c r="D3988" i="5"/>
  <c r="D3972" i="5"/>
  <c r="D3956" i="5"/>
  <c r="D3940" i="5"/>
  <c r="D3915" i="5"/>
  <c r="D3885" i="5"/>
  <c r="D3870" i="5"/>
  <c r="D3854" i="5"/>
  <c r="D3838" i="5"/>
  <c r="D3822" i="5"/>
  <c r="D3806" i="5"/>
  <c r="D3790" i="5"/>
  <c r="D3774" i="5"/>
  <c r="D3758" i="5"/>
  <c r="D3742" i="5"/>
  <c r="D3726" i="5"/>
  <c r="D4036" i="5"/>
  <c r="D4011" i="5"/>
  <c r="D3995" i="5"/>
  <c r="D3979" i="5"/>
  <c r="D3963" i="5"/>
  <c r="D3947" i="5"/>
  <c r="D3931" i="5"/>
  <c r="D3901" i="5"/>
  <c r="D3883" i="5"/>
  <c r="D3867" i="5"/>
  <c r="D3851" i="5"/>
  <c r="D3835" i="5"/>
  <c r="D3819" i="5"/>
  <c r="D3803" i="5"/>
  <c r="D3787" i="5"/>
  <c r="D3771" i="5"/>
  <c r="D3755" i="5"/>
  <c r="D3739" i="5"/>
  <c r="D4042" i="5"/>
  <c r="D4014" i="5"/>
  <c r="B4014" i="5" s="1"/>
  <c r="D3998" i="5"/>
  <c r="B3998" i="5" s="1"/>
  <c r="D3982" i="5"/>
  <c r="D3966" i="5"/>
  <c r="B3966" i="5" s="1"/>
  <c r="D3950" i="5"/>
  <c r="D3934" i="5"/>
  <c r="D3911" i="5"/>
  <c r="D3884" i="5"/>
  <c r="D3868" i="5"/>
  <c r="D3852" i="5"/>
  <c r="D3836" i="5"/>
  <c r="D3820" i="5"/>
  <c r="D3804" i="5"/>
  <c r="D3788" i="5"/>
  <c r="D3772" i="5"/>
  <c r="D3756" i="5"/>
  <c r="D3740" i="5"/>
  <c r="D3724" i="5"/>
  <c r="D3708" i="5"/>
  <c r="D3692" i="5"/>
  <c r="D3676" i="5"/>
  <c r="D3660" i="5"/>
  <c r="D3644" i="5"/>
  <c r="D3715" i="5"/>
  <c r="D3683" i="5"/>
  <c r="D3659" i="5"/>
  <c r="D3641" i="5"/>
  <c r="D3621" i="5"/>
  <c r="D3605" i="5"/>
  <c r="D3589" i="5"/>
  <c r="D3573" i="5"/>
  <c r="D3557" i="5"/>
  <c r="D3541" i="5"/>
  <c r="D3525" i="5"/>
  <c r="D3509" i="5"/>
  <c r="D3493" i="5"/>
  <c r="D3477" i="5"/>
  <c r="D3461" i="5"/>
  <c r="D3445" i="5"/>
  <c r="D3429" i="5"/>
  <c r="D3413" i="5"/>
  <c r="D3397" i="5"/>
  <c r="D3381" i="5"/>
  <c r="D3714" i="5"/>
  <c r="D3682" i="5"/>
  <c r="D3662" i="5"/>
  <c r="D3639" i="5"/>
  <c r="D3626" i="5"/>
  <c r="D3610" i="5"/>
  <c r="D3594" i="5"/>
  <c r="D3578" i="5"/>
  <c r="D3562" i="5"/>
  <c r="D3546" i="5"/>
  <c r="D3530" i="5"/>
  <c r="D3514" i="5"/>
  <c r="D3498" i="5"/>
  <c r="D3482" i="5"/>
  <c r="D3466" i="5"/>
  <c r="D3450" i="5"/>
  <c r="D3434" i="5"/>
  <c r="D3418" i="5"/>
  <c r="D3402" i="5"/>
  <c r="D3386" i="5"/>
  <c r="D3370" i="5"/>
  <c r="D3687" i="5"/>
  <c r="D3658" i="5"/>
  <c r="D3635" i="5"/>
  <c r="D3619" i="5"/>
  <c r="D3603" i="5"/>
  <c r="D3587" i="5"/>
  <c r="D3571" i="5"/>
  <c r="D3555" i="5"/>
  <c r="D3539" i="5"/>
  <c r="D3523" i="5"/>
  <c r="D3507" i="5"/>
  <c r="D3491" i="5"/>
  <c r="D3475" i="5"/>
  <c r="D3459" i="5"/>
  <c r="D3443" i="5"/>
  <c r="D3427" i="5"/>
  <c r="D3411" i="5"/>
  <c r="D3395" i="5"/>
  <c r="D3379" i="5"/>
  <c r="D3710" i="5"/>
  <c r="D3679" i="5"/>
  <c r="D3661" i="5"/>
  <c r="B3661" i="5" s="1"/>
  <c r="D3638" i="5"/>
  <c r="D3620" i="5"/>
  <c r="D3604" i="5"/>
  <c r="D3588" i="5"/>
  <c r="D3572" i="5"/>
  <c r="D3556" i="5"/>
  <c r="D3540" i="5"/>
  <c r="D3524" i="5"/>
  <c r="D3508" i="5"/>
  <c r="D3492" i="5"/>
  <c r="D3476" i="5"/>
  <c r="D3460" i="5"/>
  <c r="D3444" i="5"/>
  <c r="D3428" i="5"/>
  <c r="D3412" i="5"/>
  <c r="D3396" i="5"/>
  <c r="D3380" i="5"/>
  <c r="D3367" i="5"/>
  <c r="D3363" i="5"/>
  <c r="D3359" i="5"/>
  <c r="D3355" i="5"/>
  <c r="D3351" i="5"/>
  <c r="D3347" i="5"/>
  <c r="D3343" i="5"/>
  <c r="D3339" i="5"/>
  <c r="D3327" i="5"/>
  <c r="D3311" i="5"/>
  <c r="D3295" i="5"/>
  <c r="D3255" i="5"/>
  <c r="D3239" i="5"/>
  <c r="D3223" i="5"/>
  <c r="D3207" i="5"/>
  <c r="D3191" i="5"/>
  <c r="D3175" i="5"/>
  <c r="D3159" i="5"/>
  <c r="D3143" i="5"/>
  <c r="D3127" i="5"/>
  <c r="D3111" i="5"/>
  <c r="D3095" i="5"/>
  <c r="D3079" i="5"/>
  <c r="D3063" i="5"/>
  <c r="D3047" i="5"/>
  <c r="D3031" i="5"/>
  <c r="D3334" i="5"/>
  <c r="D3318" i="5"/>
  <c r="D3302" i="5"/>
  <c r="D3290" i="5"/>
  <c r="D3282" i="5"/>
  <c r="D3274" i="5"/>
  <c r="D3264" i="5"/>
  <c r="D3248" i="5"/>
  <c r="D3232" i="5"/>
  <c r="D3216" i="5"/>
  <c r="D3200" i="5"/>
  <c r="D3184" i="5"/>
  <c r="D3168" i="5"/>
  <c r="D3152" i="5"/>
  <c r="D3136" i="5"/>
  <c r="D3120" i="5"/>
  <c r="D3104" i="5"/>
  <c r="D3088" i="5"/>
  <c r="D3072" i="5"/>
  <c r="D3056" i="5"/>
  <c r="D3040" i="5"/>
  <c r="D3024" i="5"/>
  <c r="D3329" i="5"/>
  <c r="D3313" i="5"/>
  <c r="D3297" i="5"/>
  <c r="D3253" i="5"/>
  <c r="D3237" i="5"/>
  <c r="D3221" i="5"/>
  <c r="D3205" i="5"/>
  <c r="D3189" i="5"/>
  <c r="D3173" i="5"/>
  <c r="D3157" i="5"/>
  <c r="D3141" i="5"/>
  <c r="D3125" i="5"/>
  <c r="D3109" i="5"/>
  <c r="D3093" i="5"/>
  <c r="D3077" i="5"/>
  <c r="D3061" i="5"/>
  <c r="D3045" i="5"/>
  <c r="D3029" i="5"/>
  <c r="D3332" i="5"/>
  <c r="D3316" i="5"/>
  <c r="D3300" i="5"/>
  <c r="D3289" i="5"/>
  <c r="D3281" i="5"/>
  <c r="D3273" i="5"/>
  <c r="D3262" i="5"/>
  <c r="D3246" i="5"/>
  <c r="D3230" i="5"/>
  <c r="D3214" i="5"/>
  <c r="D3198" i="5"/>
  <c r="D3182" i="5"/>
  <c r="D3166" i="5"/>
  <c r="D3150" i="5"/>
  <c r="D3134" i="5"/>
  <c r="D3118" i="5"/>
  <c r="D3102" i="5"/>
  <c r="D3086" i="5"/>
  <c r="D3070" i="5"/>
  <c r="D3054" i="5"/>
  <c r="D3038" i="5"/>
  <c r="D3022" i="5"/>
  <c r="D3015" i="5"/>
  <c r="D3011" i="5"/>
  <c r="D3007" i="5"/>
  <c r="D3003" i="5"/>
  <c r="D2999" i="5"/>
  <c r="D2995" i="5"/>
  <c r="D2991" i="5"/>
  <c r="D2987" i="5"/>
  <c r="D2983" i="5"/>
  <c r="D2968" i="5"/>
  <c r="D2952" i="5"/>
  <c r="D2936" i="5"/>
  <c r="D2920" i="5"/>
  <c r="D2904" i="5"/>
  <c r="D2888" i="5"/>
  <c r="D2872" i="5"/>
  <c r="D2856" i="5"/>
  <c r="D2840" i="5"/>
  <c r="D2824" i="5"/>
  <c r="D2808" i="5"/>
  <c r="D2792" i="5"/>
  <c r="D2776" i="5"/>
  <c r="D2546" i="5"/>
  <c r="D2530" i="5"/>
  <c r="D2514" i="5"/>
  <c r="D2498" i="5"/>
  <c r="D2482" i="5"/>
  <c r="D2466" i="5"/>
  <c r="D2450" i="5"/>
  <c r="D2434" i="5"/>
  <c r="D2418" i="5"/>
  <c r="D2402" i="5"/>
  <c r="D2386" i="5"/>
  <c r="D2370" i="5"/>
  <c r="D2354" i="5"/>
  <c r="D2338" i="5"/>
  <c r="D2322" i="5"/>
  <c r="D2306" i="5"/>
  <c r="D2290" i="5"/>
  <c r="D2274" i="5"/>
  <c r="D2258" i="5"/>
  <c r="D2242" i="5"/>
  <c r="D2226" i="5"/>
  <c r="D2210" i="5"/>
  <c r="D2206" i="5"/>
  <c r="D2202" i="5"/>
  <c r="D2198" i="5"/>
  <c r="D2975" i="5"/>
  <c r="D2959" i="5"/>
  <c r="D2943" i="5"/>
  <c r="D2927" i="5"/>
  <c r="D2911" i="5"/>
  <c r="D2895" i="5"/>
  <c r="D2879" i="5"/>
  <c r="D2863" i="5"/>
  <c r="D2847" i="5"/>
  <c r="D2831" i="5"/>
  <c r="D2815" i="5"/>
  <c r="D2799" i="5"/>
  <c r="D2783" i="5"/>
  <c r="D2767" i="5"/>
  <c r="D2757" i="5"/>
  <c r="D2749" i="5"/>
  <c r="D2741" i="5"/>
  <c r="D2733" i="5"/>
  <c r="D2725" i="5"/>
  <c r="D2717" i="5"/>
  <c r="D2709" i="5"/>
  <c r="D2701" i="5"/>
  <c r="D2693" i="5"/>
  <c r="D2685" i="5"/>
  <c r="D2677" i="5"/>
  <c r="D2669" i="5"/>
  <c r="D2661" i="5"/>
  <c r="D2653" i="5"/>
  <c r="D2645" i="5"/>
  <c r="D2637" i="5"/>
  <c r="D2629" i="5"/>
  <c r="D2621" i="5"/>
  <c r="D2613" i="5"/>
  <c r="D2605" i="5"/>
  <c r="D2597" i="5"/>
  <c r="D2589" i="5"/>
  <c r="D2581" i="5"/>
  <c r="D2573" i="5"/>
  <c r="D2565" i="5"/>
  <c r="D2557" i="5"/>
  <c r="D2549" i="5"/>
  <c r="D2982" i="5"/>
  <c r="B2982" i="5" s="1"/>
  <c r="D2966" i="5"/>
  <c r="B2966" i="5" s="1"/>
  <c r="D2950" i="5"/>
  <c r="B2950" i="5" s="1"/>
  <c r="D2934" i="5"/>
  <c r="B2934" i="5" s="1"/>
  <c r="D2918" i="5"/>
  <c r="B2918" i="5" s="1"/>
  <c r="D2902" i="5"/>
  <c r="B2902" i="5" s="1"/>
  <c r="D2886" i="5"/>
  <c r="B2886" i="5" s="1"/>
  <c r="D2870" i="5"/>
  <c r="B2870" i="5" s="1"/>
  <c r="D2854" i="5"/>
  <c r="B2854" i="5" s="1"/>
  <c r="D2838" i="5"/>
  <c r="B2838" i="5" s="1"/>
  <c r="D2822" i="5"/>
  <c r="B2822" i="5" s="1"/>
  <c r="D2806" i="5"/>
  <c r="B2806" i="5" s="1"/>
  <c r="D2790" i="5"/>
  <c r="B2790" i="5" s="1"/>
  <c r="D2774" i="5"/>
  <c r="B2774" i="5" s="1"/>
  <c r="D2540" i="5"/>
  <c r="D2524" i="5"/>
  <c r="D2508" i="5"/>
  <c r="D2492" i="5"/>
  <c r="D2476" i="5"/>
  <c r="D2460" i="5"/>
  <c r="D2444" i="5"/>
  <c r="D2428" i="5"/>
  <c r="D2412" i="5"/>
  <c r="D2396" i="5"/>
  <c r="D2380" i="5"/>
  <c r="D2364" i="5"/>
  <c r="D2348" i="5"/>
  <c r="D2332" i="5"/>
  <c r="D2316" i="5"/>
  <c r="D2300" i="5"/>
  <c r="D2284" i="5"/>
  <c r="D2268" i="5"/>
  <c r="D2252" i="5"/>
  <c r="D2236" i="5"/>
  <c r="D2220" i="5"/>
  <c r="D2977" i="5"/>
  <c r="D2961" i="5"/>
  <c r="D2945" i="5"/>
  <c r="D2929" i="5"/>
  <c r="D2913" i="5"/>
  <c r="D2897" i="5"/>
  <c r="D2881" i="5"/>
  <c r="D2865" i="5"/>
  <c r="D2849" i="5"/>
  <c r="D2833" i="5"/>
  <c r="D2817" i="5"/>
  <c r="D2801" i="5"/>
  <c r="D2785" i="5"/>
  <c r="D2769" i="5"/>
  <c r="D2758" i="5"/>
  <c r="D2750" i="5"/>
  <c r="D2742" i="5"/>
  <c r="D2734" i="5"/>
  <c r="D2726" i="5"/>
  <c r="D2718" i="5"/>
  <c r="D2710" i="5"/>
  <c r="D2702" i="5"/>
  <c r="D2694" i="5"/>
  <c r="D2686" i="5"/>
  <c r="D2678" i="5"/>
  <c r="D2670" i="5"/>
  <c r="D2662" i="5"/>
  <c r="D2654" i="5"/>
  <c r="D2646" i="5"/>
  <c r="D2638" i="5"/>
  <c r="D2630" i="5"/>
  <c r="D2622" i="5"/>
  <c r="D2614" i="5"/>
  <c r="D2606" i="5"/>
  <c r="D2598" i="5"/>
  <c r="D2590" i="5"/>
  <c r="D2582" i="5"/>
  <c r="D2574" i="5"/>
  <c r="D2566" i="5"/>
  <c r="D2558" i="5"/>
  <c r="D2550" i="5"/>
  <c r="D2537" i="5"/>
  <c r="D2521" i="5"/>
  <c r="D2505" i="5"/>
  <c r="D2489" i="5"/>
  <c r="D2473" i="5"/>
  <c r="D2457" i="5"/>
  <c r="D2441" i="5"/>
  <c r="D2425" i="5"/>
  <c r="D2409" i="5"/>
  <c r="D2503" i="5"/>
  <c r="D2439" i="5"/>
  <c r="B2439" i="5" s="1"/>
  <c r="D2395" i="5"/>
  <c r="D2363" i="5"/>
  <c r="D2331" i="5"/>
  <c r="D2299" i="5"/>
  <c r="D2267" i="5"/>
  <c r="D2235" i="5"/>
  <c r="D2195" i="5"/>
  <c r="D2179" i="5"/>
  <c r="D2163" i="5"/>
  <c r="D2147" i="5"/>
  <c r="D2131" i="5"/>
  <c r="D2115" i="5"/>
  <c r="D2099" i="5"/>
  <c r="D2083" i="5"/>
  <c r="D2067" i="5"/>
  <c r="D2051" i="5"/>
  <c r="D2035" i="5"/>
  <c r="D2019" i="5"/>
  <c r="D2003" i="5"/>
  <c r="D1987" i="5"/>
  <c r="D2491" i="5"/>
  <c r="D2427" i="5"/>
  <c r="D2381" i="5"/>
  <c r="D2349" i="5"/>
  <c r="D2317" i="5"/>
  <c r="D2285" i="5"/>
  <c r="D2253" i="5"/>
  <c r="D2221" i="5"/>
  <c r="B2221" i="5" s="1"/>
  <c r="D2184" i="5"/>
  <c r="D2168" i="5"/>
  <c r="B2168" i="5" s="1"/>
  <c r="D2152" i="5"/>
  <c r="B2152" i="5" s="1"/>
  <c r="D2136" i="5"/>
  <c r="B2136" i="5" s="1"/>
  <c r="D2120" i="5"/>
  <c r="D2104" i="5"/>
  <c r="B2104" i="5" s="1"/>
  <c r="D2088" i="5"/>
  <c r="D2072" i="5"/>
  <c r="D2056" i="5"/>
  <c r="D2040" i="5"/>
  <c r="D2024" i="5"/>
  <c r="B2024" i="5" s="1"/>
  <c r="D2008" i="5"/>
  <c r="D2479" i="5"/>
  <c r="D2415" i="5"/>
  <c r="D2375" i="5"/>
  <c r="D2343" i="5"/>
  <c r="D2311" i="5"/>
  <c r="D2279" i="5"/>
  <c r="B2279" i="5" s="1"/>
  <c r="D2247" i="5"/>
  <c r="D2215" i="5"/>
  <c r="D2181" i="5"/>
  <c r="D2165" i="5"/>
  <c r="D2149" i="5"/>
  <c r="D2133" i="5"/>
  <c r="D2117" i="5"/>
  <c r="D2101" i="5"/>
  <c r="D2085" i="5"/>
  <c r="D2069" i="5"/>
  <c r="D2053" i="5"/>
  <c r="D2037" i="5"/>
  <c r="D2021" i="5"/>
  <c r="D2531" i="5"/>
  <c r="D2467" i="5"/>
  <c r="B2467" i="5" s="1"/>
  <c r="D2401" i="5"/>
  <c r="B2401" i="5" s="1"/>
  <c r="D2369" i="5"/>
  <c r="D2337" i="5"/>
  <c r="D2305" i="5"/>
  <c r="D2273" i="5"/>
  <c r="B2273" i="5" s="1"/>
  <c r="D2241" i="5"/>
  <c r="D2194" i="5"/>
  <c r="D2178" i="5"/>
  <c r="D2162" i="5"/>
  <c r="D2146" i="5"/>
  <c r="D2130" i="5"/>
  <c r="D2114" i="5"/>
  <c r="D2098" i="5"/>
  <c r="D2082" i="5"/>
  <c r="D2066" i="5"/>
  <c r="D2050" i="5"/>
  <c r="D2034" i="5"/>
  <c r="D2018" i="5"/>
  <c r="D2002" i="5"/>
  <c r="D1986" i="5"/>
  <c r="D1970" i="5"/>
  <c r="B1970" i="5" s="1"/>
  <c r="D1954" i="5"/>
  <c r="D1993" i="5"/>
  <c r="D1967" i="5"/>
  <c r="D1944" i="5"/>
  <c r="D1928" i="5"/>
  <c r="D1912" i="5"/>
  <c r="D1896" i="5"/>
  <c r="D1880" i="5"/>
  <c r="D1864" i="5"/>
  <c r="D1848" i="5"/>
  <c r="D1832" i="5"/>
  <c r="D1816" i="5"/>
  <c r="D1800" i="5"/>
  <c r="D1784" i="5"/>
  <c r="D1768" i="5"/>
  <c r="D1752" i="5"/>
  <c r="D1736" i="5"/>
  <c r="D1720" i="5"/>
  <c r="D1704" i="5"/>
  <c r="D1688" i="5"/>
  <c r="D1672" i="5"/>
  <c r="D1656" i="5"/>
  <c r="D1640" i="5"/>
  <c r="D1624" i="5"/>
  <c r="D1608" i="5"/>
  <c r="D1592" i="5"/>
  <c r="D1576" i="5"/>
  <c r="D1560" i="5"/>
  <c r="D1553" i="5"/>
  <c r="D1549" i="5"/>
  <c r="D1545" i="5"/>
  <c r="D1541" i="5"/>
  <c r="D1537" i="5"/>
  <c r="D1533" i="5"/>
  <c r="D1529" i="5"/>
  <c r="D1525" i="5"/>
  <c r="D1521" i="5"/>
  <c r="D1517" i="5"/>
  <c r="D1513" i="5"/>
  <c r="D1509" i="5"/>
  <c r="D1992" i="5"/>
  <c r="D1965" i="5"/>
  <c r="D1947" i="5"/>
  <c r="D1929" i="5"/>
  <c r="D1913" i="5"/>
  <c r="D1897" i="5"/>
  <c r="D1881" i="5"/>
  <c r="D1865" i="5"/>
  <c r="D1849" i="5"/>
  <c r="D1833" i="5"/>
  <c r="D1817" i="5"/>
  <c r="D1801" i="5"/>
  <c r="D1785" i="5"/>
  <c r="D1769" i="5"/>
  <c r="D1753" i="5"/>
  <c r="D1737" i="5"/>
  <c r="D1721" i="5"/>
  <c r="D1705" i="5"/>
  <c r="D1689" i="5"/>
  <c r="D1673" i="5"/>
  <c r="D1657" i="5"/>
  <c r="D1641" i="5"/>
  <c r="D1625" i="5"/>
  <c r="D1609" i="5"/>
  <c r="D1593" i="5"/>
  <c r="D1577" i="5"/>
  <c r="D1561" i="5"/>
  <c r="D1989" i="5"/>
  <c r="D1968" i="5"/>
  <c r="D1945" i="5"/>
  <c r="D1930" i="5"/>
  <c r="D1914" i="5"/>
  <c r="D1898" i="5"/>
  <c r="D1882" i="5"/>
  <c r="D1866" i="5"/>
  <c r="D1850" i="5"/>
  <c r="D1834" i="5"/>
  <c r="D1818" i="5"/>
  <c r="D1802" i="5"/>
  <c r="D1786" i="5"/>
  <c r="D1770" i="5"/>
  <c r="D1754" i="5"/>
  <c r="D1738" i="5"/>
  <c r="D1722" i="5"/>
  <c r="D1706" i="5"/>
  <c r="D1690" i="5"/>
  <c r="D1674" i="5"/>
  <c r="D1658" i="5"/>
  <c r="D1642" i="5"/>
  <c r="D1626" i="5"/>
  <c r="D1610" i="5"/>
  <c r="D1594" i="5"/>
  <c r="D1578" i="5"/>
  <c r="D1562" i="5"/>
  <c r="D1988" i="5"/>
  <c r="D1964" i="5"/>
  <c r="D1943" i="5"/>
  <c r="D1927" i="5"/>
  <c r="D1911" i="5"/>
  <c r="D1895" i="5"/>
  <c r="D1879" i="5"/>
  <c r="D1863" i="5"/>
  <c r="D1847" i="5"/>
  <c r="D1831" i="5"/>
  <c r="D1815" i="5"/>
  <c r="D1799" i="5"/>
  <c r="D1783" i="5"/>
  <c r="D1767" i="5"/>
  <c r="D1751" i="5"/>
  <c r="D1735" i="5"/>
  <c r="D1719" i="5"/>
  <c r="D1703" i="5"/>
  <c r="D1687" i="5"/>
  <c r="D1671" i="5"/>
  <c r="D1655" i="5"/>
  <c r="D1639" i="5"/>
  <c r="D1623" i="5"/>
  <c r="D1607" i="5"/>
  <c r="D1591" i="5"/>
  <c r="D1575" i="5"/>
  <c r="D1559" i="5"/>
  <c r="D1492" i="5"/>
  <c r="D1476" i="5"/>
  <c r="D1460" i="5"/>
  <c r="D1444" i="5"/>
  <c r="D1428" i="5"/>
  <c r="D1412" i="5"/>
  <c r="D1396" i="5"/>
  <c r="D1380" i="5"/>
  <c r="D1364" i="5"/>
  <c r="D1348" i="5"/>
  <c r="D1332" i="5"/>
  <c r="D1316" i="5"/>
  <c r="D1300" i="5"/>
  <c r="D1284" i="5"/>
  <c r="D1268" i="5"/>
  <c r="D1252" i="5"/>
  <c r="D1236" i="5"/>
  <c r="D1220" i="5"/>
  <c r="D1204" i="5"/>
  <c r="D1188" i="5"/>
  <c r="D1172" i="5"/>
  <c r="D1156" i="5"/>
  <c r="D1140" i="5"/>
  <c r="D1124" i="5"/>
  <c r="D1108" i="5"/>
  <c r="D1092" i="5"/>
  <c r="D1076" i="5"/>
  <c r="D1060" i="5"/>
  <c r="D1044" i="5"/>
  <c r="D1028" i="5"/>
  <c r="D1012" i="5"/>
  <c r="D996" i="5"/>
  <c r="D980" i="5"/>
  <c r="D964" i="5"/>
  <c r="D948" i="5"/>
  <c r="D937" i="5"/>
  <c r="D929" i="5"/>
  <c r="D921" i="5"/>
  <c r="D913" i="5"/>
  <c r="D905" i="5"/>
  <c r="D897" i="5"/>
  <c r="D889" i="5"/>
  <c r="D881" i="5"/>
  <c r="D873" i="5"/>
  <c r="D865" i="5"/>
  <c r="D857" i="5"/>
  <c r="D849" i="5"/>
  <c r="D841" i="5"/>
  <c r="D833" i="5"/>
  <c r="D825" i="5"/>
  <c r="D817" i="5"/>
  <c r="D808" i="5"/>
  <c r="D792" i="5"/>
  <c r="D776" i="5"/>
  <c r="D756" i="5"/>
  <c r="D724" i="5"/>
  <c r="D692" i="5"/>
  <c r="D656" i="5"/>
  <c r="D624" i="5"/>
  <c r="B624" i="5" s="1"/>
  <c r="D588" i="5"/>
  <c r="D556" i="5"/>
  <c r="D524" i="5"/>
  <c r="D464" i="5"/>
  <c r="D452" i="5"/>
  <c r="D441" i="5"/>
  <c r="D429" i="5"/>
  <c r="D417" i="5"/>
  <c r="D406" i="5"/>
  <c r="D394" i="5"/>
  <c r="D381" i="5"/>
  <c r="D370" i="5"/>
  <c r="D358" i="5"/>
  <c r="D346" i="5"/>
  <c r="D335" i="5"/>
  <c r="D323" i="5"/>
  <c r="D312" i="5"/>
  <c r="D301" i="5"/>
  <c r="D290" i="5"/>
  <c r="D278" i="5"/>
  <c r="D263" i="5"/>
  <c r="D248" i="5"/>
  <c r="D231" i="5"/>
  <c r="D215" i="5"/>
  <c r="D200" i="5"/>
  <c r="D184" i="5"/>
  <c r="D168" i="5"/>
  <c r="D152" i="5"/>
  <c r="D138" i="5"/>
  <c r="D121" i="5"/>
  <c r="D106" i="5"/>
  <c r="D90" i="5"/>
  <c r="D75" i="5"/>
  <c r="D59" i="5"/>
  <c r="D1503" i="5"/>
  <c r="D1487" i="5"/>
  <c r="D1471" i="5"/>
  <c r="D1455" i="5"/>
  <c r="D1439" i="5"/>
  <c r="D1423" i="5"/>
  <c r="D1407" i="5"/>
  <c r="D1391" i="5"/>
  <c r="D1375" i="5"/>
  <c r="D1359" i="5"/>
  <c r="D1343" i="5"/>
  <c r="D1327" i="5"/>
  <c r="D1311" i="5"/>
  <c r="D1295" i="5"/>
  <c r="D1279" i="5"/>
  <c r="D1263" i="5"/>
  <c r="D1247" i="5"/>
  <c r="D1231" i="5"/>
  <c r="D1215" i="5"/>
  <c r="D1199" i="5"/>
  <c r="D1183" i="5"/>
  <c r="D1167" i="5"/>
  <c r="D1151" i="5"/>
  <c r="D1135" i="5"/>
  <c r="D1119" i="5"/>
  <c r="D1103" i="5"/>
  <c r="D1087" i="5"/>
  <c r="D1071" i="5"/>
  <c r="D1055" i="5"/>
  <c r="D1039" i="5"/>
  <c r="D1023" i="5"/>
  <c r="D1007" i="5"/>
  <c r="D991" i="5"/>
  <c r="D975" i="5"/>
  <c r="D959" i="5"/>
  <c r="D943" i="5"/>
  <c r="D797" i="5"/>
  <c r="B797" i="5" s="1"/>
  <c r="D781" i="5"/>
  <c r="B781" i="5" s="1"/>
  <c r="D765" i="5"/>
  <c r="B765" i="5" s="1"/>
  <c r="D749" i="5"/>
  <c r="D733" i="5"/>
  <c r="D717" i="5"/>
  <c r="D701" i="5"/>
  <c r="D685" i="5"/>
  <c r="D669" i="5"/>
  <c r="D653" i="5"/>
  <c r="D637" i="5"/>
  <c r="D621" i="5"/>
  <c r="D605" i="5"/>
  <c r="D589" i="5"/>
  <c r="D573" i="5"/>
  <c r="D557" i="5"/>
  <c r="D541" i="5"/>
  <c r="D525" i="5"/>
  <c r="D512" i="5"/>
  <c r="D508" i="5"/>
  <c r="D504" i="5"/>
  <c r="D500" i="5"/>
  <c r="D496" i="5"/>
  <c r="D492" i="5"/>
  <c r="D488" i="5"/>
  <c r="D484" i="5"/>
  <c r="D480" i="5"/>
  <c r="D476" i="5"/>
  <c r="D466" i="5"/>
  <c r="D454" i="5"/>
  <c r="D440" i="5"/>
  <c r="D428" i="5"/>
  <c r="D415" i="5"/>
  <c r="D402" i="5"/>
  <c r="D389" i="5"/>
  <c r="D375" i="5"/>
  <c r="D363" i="5"/>
  <c r="D350" i="5"/>
  <c r="D337" i="5"/>
  <c r="D325" i="5"/>
  <c r="D311" i="5"/>
  <c r="D299" i="5"/>
  <c r="D286" i="5"/>
  <c r="D273" i="5"/>
  <c r="D255" i="5"/>
  <c r="D238" i="5"/>
  <c r="D222" i="5"/>
  <c r="D205" i="5"/>
  <c r="D187" i="5"/>
  <c r="D171" i="5"/>
  <c r="D153" i="5"/>
  <c r="D135" i="5"/>
  <c r="D119" i="5"/>
  <c r="D101" i="5"/>
  <c r="D84" i="5"/>
  <c r="D67" i="5"/>
  <c r="D50" i="5"/>
  <c r="D1498" i="5"/>
  <c r="D1482" i="5"/>
  <c r="D1466" i="5"/>
  <c r="D1450" i="5"/>
  <c r="D1434" i="5"/>
  <c r="D1418" i="5"/>
  <c r="D1402" i="5"/>
  <c r="D1386" i="5"/>
  <c r="D1370" i="5"/>
  <c r="D1354" i="5"/>
  <c r="D1338" i="5"/>
  <c r="D1322" i="5"/>
  <c r="D1306" i="5"/>
  <c r="D1290" i="5"/>
  <c r="D1274" i="5"/>
  <c r="D1258" i="5"/>
  <c r="D1242" i="5"/>
  <c r="D1226" i="5"/>
  <c r="D1210" i="5"/>
  <c r="D1194" i="5"/>
  <c r="D1178" i="5"/>
  <c r="D1162" i="5"/>
  <c r="D1146" i="5"/>
  <c r="D1130" i="5"/>
  <c r="D1114" i="5"/>
  <c r="D1098" i="5"/>
  <c r="D1082" i="5"/>
  <c r="D1066" i="5"/>
  <c r="D1050" i="5"/>
  <c r="D1034" i="5"/>
  <c r="D1018" i="5"/>
  <c r="D1002" i="5"/>
  <c r="D986" i="5"/>
  <c r="D970" i="5"/>
  <c r="D954" i="5"/>
  <c r="D940" i="5"/>
  <c r="D932" i="5"/>
  <c r="D924" i="5"/>
  <c r="D916" i="5"/>
  <c r="D908" i="5"/>
  <c r="D900" i="5"/>
  <c r="D892" i="5"/>
  <c r="D884" i="5"/>
  <c r="D876" i="5"/>
  <c r="D868" i="5"/>
  <c r="D860" i="5"/>
  <c r="D852" i="5"/>
  <c r="D844" i="5"/>
  <c r="D836" i="5"/>
  <c r="D828" i="5"/>
  <c r="D820" i="5"/>
  <c r="D812" i="5"/>
  <c r="D798" i="5"/>
  <c r="D782" i="5"/>
  <c r="D766" i="5"/>
  <c r="D750" i="5"/>
  <c r="D734" i="5"/>
  <c r="D718" i="5"/>
  <c r="D702" i="5"/>
  <c r="D686" i="5"/>
  <c r="D670" i="5"/>
  <c r="D654" i="5"/>
  <c r="D638" i="5"/>
  <c r="D622" i="5"/>
  <c r="D606" i="5"/>
  <c r="D590" i="5"/>
  <c r="D574" i="5"/>
  <c r="D558" i="5"/>
  <c r="D542" i="5"/>
  <c r="D526" i="5"/>
  <c r="D277" i="5"/>
  <c r="D258" i="5"/>
  <c r="D241" i="5"/>
  <c r="D225" i="5"/>
  <c r="D208" i="5"/>
  <c r="D190" i="5"/>
  <c r="D174" i="5"/>
  <c r="D158" i="5"/>
  <c r="D142" i="5"/>
  <c r="D124" i="5"/>
  <c r="D108" i="5"/>
  <c r="D91" i="5"/>
  <c r="D74" i="5"/>
  <c r="D57" i="5"/>
  <c r="D1505" i="5"/>
  <c r="D1489" i="5"/>
  <c r="D1473" i="5"/>
  <c r="D1457" i="5"/>
  <c r="D1441" i="5"/>
  <c r="D1425" i="5"/>
  <c r="D1409" i="5"/>
  <c r="D1393" i="5"/>
  <c r="D1377" i="5"/>
  <c r="D1361" i="5"/>
  <c r="D1345" i="5"/>
  <c r="D1329" i="5"/>
  <c r="D1313" i="5"/>
  <c r="D1297" i="5"/>
  <c r="D1281" i="5"/>
  <c r="D1265" i="5"/>
  <c r="D1249" i="5"/>
  <c r="D1233" i="5"/>
  <c r="D1217" i="5"/>
  <c r="D1201" i="5"/>
  <c r="D1185" i="5"/>
  <c r="D1169" i="5"/>
  <c r="D1153" i="5"/>
  <c r="D1137" i="5"/>
  <c r="D1121" i="5"/>
  <c r="D1105" i="5"/>
  <c r="D1089" i="5"/>
  <c r="D1073" i="5"/>
  <c r="D1057" i="5"/>
  <c r="D1041" i="5"/>
  <c r="D1025" i="5"/>
  <c r="D1009" i="5"/>
  <c r="D993" i="5"/>
  <c r="D977" i="5"/>
  <c r="D961" i="5"/>
  <c r="D945" i="5"/>
  <c r="D795" i="5"/>
  <c r="D779" i="5"/>
  <c r="D763" i="5"/>
  <c r="D747" i="5"/>
  <c r="D731" i="5"/>
  <c r="D715" i="5"/>
  <c r="D699" i="5"/>
  <c r="D683" i="5"/>
  <c r="D667" i="5"/>
  <c r="D651" i="5"/>
  <c r="D635" i="5"/>
  <c r="D619" i="5"/>
  <c r="D603" i="5"/>
  <c r="D587" i="5"/>
  <c r="D571" i="5"/>
  <c r="D555" i="5"/>
  <c r="D539" i="5"/>
  <c r="D523" i="5"/>
  <c r="D760" i="5"/>
  <c r="D728" i="5"/>
  <c r="D696" i="5"/>
  <c r="D668" i="5"/>
  <c r="D636" i="5"/>
  <c r="D608" i="5"/>
  <c r="D576" i="5"/>
  <c r="D544" i="5"/>
  <c r="D516" i="5"/>
  <c r="D465" i="5"/>
  <c r="D453" i="5"/>
  <c r="D442" i="5"/>
  <c r="D430" i="5"/>
  <c r="D419" i="5"/>
  <c r="D407" i="5"/>
  <c r="D396" i="5"/>
  <c r="D385" i="5"/>
  <c r="D374" i="5"/>
  <c r="D362" i="5"/>
  <c r="D351" i="5"/>
  <c r="D339" i="5"/>
  <c r="D327" i="5"/>
  <c r="D316" i="5"/>
  <c r="D303" i="5"/>
  <c r="D291" i="5"/>
  <c r="D279" i="5"/>
  <c r="D265" i="5"/>
  <c r="D250" i="5"/>
  <c r="D236" i="5"/>
  <c r="D221" i="5"/>
  <c r="D206" i="5"/>
  <c r="D192" i="5"/>
  <c r="D177" i="5"/>
  <c r="D163" i="5"/>
  <c r="D147" i="5"/>
  <c r="D133" i="5"/>
  <c r="D118" i="5"/>
  <c r="D103" i="5"/>
  <c r="D88" i="5"/>
  <c r="D73" i="5"/>
  <c r="D60" i="5"/>
  <c r="B60" i="5" s="1"/>
  <c r="D44" i="5"/>
  <c r="D5038" i="5"/>
  <c r="D5022" i="5"/>
  <c r="D5006" i="5"/>
  <c r="D5031" i="5"/>
  <c r="B5031" i="5" s="1"/>
  <c r="D5015" i="5"/>
  <c r="B5015" i="5" s="1"/>
  <c r="D5032" i="5"/>
  <c r="D5016" i="5"/>
  <c r="D5000" i="5"/>
  <c r="D4984" i="5"/>
  <c r="D5029" i="5"/>
  <c r="D5013" i="5"/>
  <c r="D4997" i="5"/>
  <c r="D5007" i="5"/>
  <c r="D4950" i="5"/>
  <c r="D4934" i="5"/>
  <c r="D4918" i="5"/>
  <c r="D4902" i="5"/>
  <c r="D4886" i="5"/>
  <c r="D5003" i="5"/>
  <c r="D4980" i="5"/>
  <c r="D4972" i="5"/>
  <c r="D4964" i="5"/>
  <c r="D4955" i="5"/>
  <c r="B4955" i="5" s="1"/>
  <c r="D4994" i="5"/>
  <c r="D4948" i="5"/>
  <c r="D4932" i="5"/>
  <c r="D4999" i="5"/>
  <c r="D4965" i="5"/>
  <c r="D4925" i="5"/>
  <c r="D4900" i="5"/>
  <c r="D4877" i="5"/>
  <c r="D4864" i="5"/>
  <c r="D4979" i="5"/>
  <c r="D4935" i="5"/>
  <c r="D4905" i="5"/>
  <c r="D4887" i="5"/>
  <c r="D4865" i="5"/>
  <c r="D4961" i="5"/>
  <c r="D4929" i="5"/>
  <c r="D4908" i="5"/>
  <c r="D4885" i="5"/>
  <c r="D4866" i="5"/>
  <c r="D4967" i="5"/>
  <c r="D4931" i="5"/>
  <c r="D4904" i="5"/>
  <c r="D4881" i="5"/>
  <c r="D4863" i="5"/>
  <c r="D4843" i="5"/>
  <c r="D4826" i="5"/>
  <c r="D4810" i="5"/>
  <c r="D4797" i="5"/>
  <c r="D4793" i="5"/>
  <c r="D4846" i="5"/>
  <c r="D4830" i="5"/>
  <c r="D4815" i="5"/>
  <c r="B4815" i="5" s="1"/>
  <c r="D4799" i="5"/>
  <c r="D4845" i="5"/>
  <c r="D4829" i="5"/>
  <c r="D4812" i="5"/>
  <c r="D4856" i="5"/>
  <c r="D4840" i="5"/>
  <c r="D4825" i="5"/>
  <c r="D4809" i="5"/>
  <c r="D4785" i="5"/>
  <c r="D4769" i="5"/>
  <c r="D4753" i="5"/>
  <c r="D4718" i="5"/>
  <c r="B4718" i="5" s="1"/>
  <c r="D4702" i="5"/>
  <c r="B4702" i="5" s="1"/>
  <c r="D4686" i="5"/>
  <c r="B4686" i="5" s="1"/>
  <c r="D4670" i="5"/>
  <c r="B4670" i="5" s="1"/>
  <c r="D4657" i="5"/>
  <c r="D4653" i="5"/>
  <c r="D4649" i="5"/>
  <c r="D4788" i="5"/>
  <c r="D4772" i="5"/>
  <c r="D4756" i="5"/>
  <c r="D4741" i="5"/>
  <c r="D4733" i="5"/>
  <c r="D4725" i="5"/>
  <c r="D4711" i="5"/>
  <c r="D4695" i="5"/>
  <c r="D4679" i="5"/>
  <c r="D4663" i="5"/>
  <c r="D4783" i="5"/>
  <c r="D4767" i="5"/>
  <c r="D4751" i="5"/>
  <c r="D4716" i="5"/>
  <c r="D4700" i="5"/>
  <c r="D4684" i="5"/>
  <c r="D4668" i="5"/>
  <c r="D4786" i="5"/>
  <c r="D4770" i="5"/>
  <c r="D4754" i="5"/>
  <c r="D4740" i="5"/>
  <c r="D4732" i="5"/>
  <c r="D4724" i="5"/>
  <c r="D4709" i="5"/>
  <c r="D4693" i="5"/>
  <c r="D4677" i="5"/>
  <c r="D4661" i="5"/>
  <c r="D4625" i="5"/>
  <c r="D4609" i="5"/>
  <c r="D4593" i="5"/>
  <c r="D4577" i="5"/>
  <c r="D4561" i="5"/>
  <c r="D4545" i="5"/>
  <c r="D4529" i="5"/>
  <c r="D4513" i="5"/>
  <c r="D4497" i="5"/>
  <c r="D4481" i="5"/>
  <c r="D4465" i="5"/>
  <c r="D4449" i="5"/>
  <c r="D4433" i="5"/>
  <c r="D4644" i="5"/>
  <c r="D4634" i="5"/>
  <c r="B4634" i="5" s="1"/>
  <c r="D4618" i="5"/>
  <c r="D4602" i="5"/>
  <c r="B4602" i="5" s="1"/>
  <c r="D4586" i="5"/>
  <c r="D4570" i="5"/>
  <c r="B4570" i="5" s="1"/>
  <c r="D4554" i="5"/>
  <c r="D4538" i="5"/>
  <c r="D4522" i="5"/>
  <c r="B4522" i="5" s="1"/>
  <c r="D4506" i="5"/>
  <c r="D4490" i="5"/>
  <c r="D4474" i="5"/>
  <c r="D4458" i="5"/>
  <c r="D4442" i="5"/>
  <c r="B4442" i="5" s="1"/>
  <c r="D4635" i="5"/>
  <c r="D4619" i="5"/>
  <c r="D4603" i="5"/>
  <c r="D4587" i="5"/>
  <c r="D4571" i="5"/>
  <c r="D4555" i="5"/>
  <c r="D4539" i="5"/>
  <c r="D4523" i="5"/>
  <c r="D4507" i="5"/>
  <c r="D4491" i="5"/>
  <c r="D4475" i="5"/>
  <c r="D4459" i="5"/>
  <c r="D4443" i="5"/>
  <c r="D4427" i="5"/>
  <c r="D4639" i="5"/>
  <c r="D4624" i="5"/>
  <c r="D4608" i="5"/>
  <c r="D4592" i="5"/>
  <c r="D4576" i="5"/>
  <c r="D4560" i="5"/>
  <c r="D4544" i="5"/>
  <c r="D4528" i="5"/>
  <c r="D4512" i="5"/>
  <c r="D4496" i="5"/>
  <c r="D4480" i="5"/>
  <c r="D4464" i="5"/>
  <c r="D4448" i="5"/>
  <c r="D4432" i="5"/>
  <c r="D4416" i="5"/>
  <c r="D4414" i="5"/>
  <c r="D4398" i="5"/>
  <c r="D4415" i="5"/>
  <c r="D4399" i="5"/>
  <c r="D4418" i="5"/>
  <c r="D4400" i="5"/>
  <c r="D4387" i="5"/>
  <c r="D4383" i="5"/>
  <c r="D4379" i="5"/>
  <c r="D4413" i="5"/>
  <c r="D4397" i="5"/>
  <c r="D4236" i="5"/>
  <c r="D4220" i="5"/>
  <c r="D4204" i="5"/>
  <c r="D4188" i="5"/>
  <c r="D4172" i="5"/>
  <c r="D4156" i="5"/>
  <c r="D4140" i="5"/>
  <c r="B4140" i="5" s="1"/>
  <c r="D4124" i="5"/>
  <c r="D4108" i="5"/>
  <c r="D4092" i="5"/>
  <c r="D4076" i="5"/>
  <c r="D4369" i="5"/>
  <c r="D4361" i="5"/>
  <c r="D4353" i="5"/>
  <c r="D4345" i="5"/>
  <c r="D4337" i="5"/>
  <c r="D4329" i="5"/>
  <c r="D4321" i="5"/>
  <c r="D4313" i="5"/>
  <c r="D4305" i="5"/>
  <c r="D4297" i="5"/>
  <c r="D4289" i="5"/>
  <c r="D4281" i="5"/>
  <c r="D4273" i="5"/>
  <c r="D4265" i="5"/>
  <c r="D4230" i="5"/>
  <c r="D4214" i="5"/>
  <c r="D4198" i="5"/>
  <c r="D4182" i="5"/>
  <c r="D4166" i="5"/>
  <c r="D4150" i="5"/>
  <c r="D4134" i="5"/>
  <c r="D4118" i="5"/>
  <c r="D4102" i="5"/>
  <c r="D4086" i="5"/>
  <c r="D4374" i="5"/>
  <c r="D4366" i="5"/>
  <c r="D4358" i="5"/>
  <c r="D4350" i="5"/>
  <c r="D4342" i="5"/>
  <c r="D4334" i="5"/>
  <c r="D4326" i="5"/>
  <c r="D4318" i="5"/>
  <c r="D4310" i="5"/>
  <c r="D4302" i="5"/>
  <c r="D4294" i="5"/>
  <c r="D4286" i="5"/>
  <c r="D4278" i="5"/>
  <c r="D4270" i="5"/>
  <c r="D4262" i="5"/>
  <c r="B4262" i="5" s="1"/>
  <c r="D4254" i="5"/>
  <c r="D4246" i="5"/>
  <c r="D4235" i="5"/>
  <c r="D4219" i="5"/>
  <c r="D4241" i="5"/>
  <c r="D4195" i="5"/>
  <c r="D4163" i="5"/>
  <c r="D4131" i="5"/>
  <c r="D4099" i="5"/>
  <c r="D3926" i="5"/>
  <c r="D3910" i="5"/>
  <c r="D3894" i="5"/>
  <c r="D4247" i="5"/>
  <c r="D4197" i="5"/>
  <c r="D4165" i="5"/>
  <c r="D4133" i="5"/>
  <c r="B4133" i="5" s="1"/>
  <c r="D4101" i="5"/>
  <c r="D4072" i="5"/>
  <c r="D4064" i="5"/>
  <c r="D4056" i="5"/>
  <c r="D4048" i="5"/>
  <c r="D4245" i="5"/>
  <c r="D4199" i="5"/>
  <c r="D4167" i="5"/>
  <c r="D4135" i="5"/>
  <c r="D4103" i="5"/>
  <c r="D3928" i="5"/>
  <c r="D3912" i="5"/>
  <c r="D4259" i="5"/>
  <c r="D4221" i="5"/>
  <c r="D4185" i="5"/>
  <c r="D4153" i="5"/>
  <c r="D4121" i="5"/>
  <c r="D4089" i="5"/>
  <c r="D4069" i="5"/>
  <c r="D4061" i="5"/>
  <c r="D4053" i="5"/>
  <c r="D4045" i="5"/>
  <c r="D4037" i="5"/>
  <c r="D4029" i="5"/>
  <c r="D4021" i="5"/>
  <c r="D4024" i="5"/>
  <c r="B4024" i="5" s="1"/>
  <c r="D4005" i="5"/>
  <c r="D3989" i="5"/>
  <c r="D3973" i="5"/>
  <c r="D3957" i="5"/>
  <c r="D3941" i="5"/>
  <c r="D3921" i="5"/>
  <c r="D3889" i="5"/>
  <c r="D3873" i="5"/>
  <c r="B3873" i="5" s="1"/>
  <c r="D3857" i="5"/>
  <c r="D3841" i="5"/>
  <c r="B3841" i="5" s="1"/>
  <c r="D3825" i="5"/>
  <c r="D3809" i="5"/>
  <c r="D3793" i="5"/>
  <c r="D3777" i="5"/>
  <c r="D3761" i="5"/>
  <c r="B3761" i="5" s="1"/>
  <c r="D3745" i="5"/>
  <c r="D3729" i="5"/>
  <c r="D3713" i="5"/>
  <c r="D3697" i="5"/>
  <c r="D3681" i="5"/>
  <c r="B3681" i="5" s="1"/>
  <c r="D4016" i="5"/>
  <c r="D4000" i="5"/>
  <c r="D3984" i="5"/>
  <c r="D3968" i="5"/>
  <c r="D3952" i="5"/>
  <c r="D3936" i="5"/>
  <c r="D3907" i="5"/>
  <c r="D3882" i="5"/>
  <c r="D3866" i="5"/>
  <c r="D3850" i="5"/>
  <c r="D3834" i="5"/>
  <c r="D3818" i="5"/>
  <c r="D3802" i="5"/>
  <c r="D3786" i="5"/>
  <c r="D3770" i="5"/>
  <c r="D3754" i="5"/>
  <c r="D3738" i="5"/>
  <c r="D3722" i="5"/>
  <c r="D4028" i="5"/>
  <c r="D4007" i="5"/>
  <c r="D3991" i="5"/>
  <c r="D3975" i="5"/>
  <c r="D3959" i="5"/>
  <c r="D3943" i="5"/>
  <c r="D3925" i="5"/>
  <c r="D3897" i="5"/>
  <c r="D3879" i="5"/>
  <c r="D3863" i="5"/>
  <c r="D3847" i="5"/>
  <c r="D3831" i="5"/>
  <c r="D3815" i="5"/>
  <c r="D3799" i="5"/>
  <c r="D3783" i="5"/>
  <c r="D3767" i="5"/>
  <c r="D3751" i="5"/>
  <c r="D3735" i="5"/>
  <c r="D4034" i="5"/>
  <c r="D4010" i="5"/>
  <c r="B4010" i="5" s="1"/>
  <c r="D3994" i="5"/>
  <c r="D3978" i="5"/>
  <c r="D3962" i="5"/>
  <c r="D3946" i="5"/>
  <c r="D3930" i="5"/>
  <c r="D3903" i="5"/>
  <c r="B3903" i="5" s="1"/>
  <c r="D3880" i="5"/>
  <c r="D3864" i="5"/>
  <c r="D3848" i="5"/>
  <c r="D3832" i="5"/>
  <c r="D3816" i="5"/>
  <c r="D3800" i="5"/>
  <c r="D3784" i="5"/>
  <c r="D3768" i="5"/>
  <c r="D3752" i="5"/>
  <c r="D3736" i="5"/>
  <c r="D3720" i="5"/>
  <c r="D3704" i="5"/>
  <c r="D3688" i="5"/>
  <c r="D3672" i="5"/>
  <c r="D3656" i="5"/>
  <c r="D3640" i="5"/>
  <c r="D3707" i="5"/>
  <c r="D3675" i="5"/>
  <c r="D3657" i="5"/>
  <c r="D3633" i="5"/>
  <c r="D3617" i="5"/>
  <c r="D3601" i="5"/>
  <c r="D3585" i="5"/>
  <c r="D3569" i="5"/>
  <c r="D3553" i="5"/>
  <c r="D3537" i="5"/>
  <c r="D3521" i="5"/>
  <c r="D3505" i="5"/>
  <c r="D3489" i="5"/>
  <c r="D3473" i="5"/>
  <c r="D3457" i="5"/>
  <c r="D3441" i="5"/>
  <c r="D3425" i="5"/>
  <c r="D3409" i="5"/>
  <c r="D3393" i="5"/>
  <c r="D3377" i="5"/>
  <c r="D3706" i="5"/>
  <c r="D3678" i="5"/>
  <c r="D3655" i="5"/>
  <c r="D3637" i="5"/>
  <c r="D3622" i="5"/>
  <c r="D3606" i="5"/>
  <c r="D3590" i="5"/>
  <c r="D3574" i="5"/>
  <c r="D3558" i="5"/>
  <c r="D3542" i="5"/>
  <c r="D3526" i="5"/>
  <c r="D3510" i="5"/>
  <c r="D3494" i="5"/>
  <c r="D3478" i="5"/>
  <c r="D3462" i="5"/>
  <c r="D3446" i="5"/>
  <c r="D3430" i="5"/>
  <c r="D3414" i="5"/>
  <c r="D3398" i="5"/>
  <c r="D3382" i="5"/>
  <c r="D3711" i="5"/>
  <c r="D3674" i="5"/>
  <c r="D3651" i="5"/>
  <c r="D3631" i="5"/>
  <c r="D3615" i="5"/>
  <c r="D3599" i="5"/>
  <c r="D3583" i="5"/>
  <c r="D3567" i="5"/>
  <c r="D3551" i="5"/>
  <c r="D3535" i="5"/>
  <c r="D3519" i="5"/>
  <c r="D3503" i="5"/>
  <c r="D3487" i="5"/>
  <c r="D3471" i="5"/>
  <c r="D3455" i="5"/>
  <c r="D3439" i="5"/>
  <c r="D3423" i="5"/>
  <c r="D3407" i="5"/>
  <c r="D3391" i="5"/>
  <c r="D3375" i="5"/>
  <c r="D3702" i="5"/>
  <c r="D3677" i="5"/>
  <c r="D3654" i="5"/>
  <c r="D3632" i="5"/>
  <c r="D3616" i="5"/>
  <c r="D3600" i="5"/>
  <c r="D3584" i="5"/>
  <c r="D3568" i="5"/>
  <c r="D3552" i="5"/>
  <c r="D3536" i="5"/>
  <c r="D3520" i="5"/>
  <c r="D3504" i="5"/>
  <c r="D3488" i="5"/>
  <c r="D3472" i="5"/>
  <c r="D3456" i="5"/>
  <c r="D3440" i="5"/>
  <c r="D3424" i="5"/>
  <c r="D3408" i="5"/>
  <c r="D3392" i="5"/>
  <c r="D3376" i="5"/>
  <c r="D3366" i="5"/>
  <c r="D3362" i="5"/>
  <c r="D3358" i="5"/>
  <c r="D3354" i="5"/>
  <c r="D3350" i="5"/>
  <c r="D3346" i="5"/>
  <c r="D3342" i="5"/>
  <c r="D3338" i="5"/>
  <c r="D3323" i="5"/>
  <c r="D3307" i="5"/>
  <c r="D3267" i="5"/>
  <c r="B3267" i="5" s="1"/>
  <c r="D3251" i="5"/>
  <c r="D3235" i="5"/>
  <c r="D3219" i="5"/>
  <c r="D3203" i="5"/>
  <c r="D3187" i="5"/>
  <c r="B3187" i="5" s="1"/>
  <c r="D3171" i="5"/>
  <c r="B3171" i="5" s="1"/>
  <c r="D3155" i="5"/>
  <c r="B3155" i="5" s="1"/>
  <c r="D3139" i="5"/>
  <c r="B3139" i="5" s="1"/>
  <c r="D3123" i="5"/>
  <c r="B3123" i="5" s="1"/>
  <c r="D3107" i="5"/>
  <c r="D3091" i="5"/>
  <c r="B3091" i="5" s="1"/>
  <c r="D3075" i="5"/>
  <c r="D3059" i="5"/>
  <c r="D3043" i="5"/>
  <c r="D3027" i="5"/>
  <c r="D3330" i="5"/>
  <c r="D3314" i="5"/>
  <c r="D3298" i="5"/>
  <c r="D3288" i="5"/>
  <c r="D3280" i="5"/>
  <c r="D3272" i="5"/>
  <c r="D3260" i="5"/>
  <c r="D3244" i="5"/>
  <c r="D3228" i="5"/>
  <c r="D3212" i="5"/>
  <c r="D3196" i="5"/>
  <c r="D3180" i="5"/>
  <c r="D3164" i="5"/>
  <c r="D3148" i="5"/>
  <c r="D3132" i="5"/>
  <c r="D3116" i="5"/>
  <c r="D3100" i="5"/>
  <c r="D3084" i="5"/>
  <c r="D3068" i="5"/>
  <c r="D3052" i="5"/>
  <c r="D3036" i="5"/>
  <c r="D3020" i="5"/>
  <c r="D3325" i="5"/>
  <c r="D3309" i="5"/>
  <c r="D3265" i="5"/>
  <c r="D3249" i="5"/>
  <c r="D3233" i="5"/>
  <c r="D3217" i="5"/>
  <c r="D3201" i="5"/>
  <c r="D3185" i="5"/>
  <c r="D3169" i="5"/>
  <c r="D3153" i="5"/>
  <c r="D3137" i="5"/>
  <c r="D3121" i="5"/>
  <c r="D3105" i="5"/>
  <c r="D3089" i="5"/>
  <c r="D3073" i="5"/>
  <c r="D3057" i="5"/>
  <c r="D3041" i="5"/>
  <c r="D3025" i="5"/>
  <c r="D3328" i="5"/>
  <c r="D3312" i="5"/>
  <c r="D3296" i="5"/>
  <c r="D3287" i="5"/>
  <c r="D3279" i="5"/>
  <c r="D3271" i="5"/>
  <c r="D3258" i="5"/>
  <c r="D3242" i="5"/>
  <c r="D3226" i="5"/>
  <c r="D3210" i="5"/>
  <c r="D3194" i="5"/>
  <c r="D3178" i="5"/>
  <c r="D3162" i="5"/>
  <c r="D3146" i="5"/>
  <c r="D3130" i="5"/>
  <c r="D3114" i="5"/>
  <c r="D3098" i="5"/>
  <c r="D3082" i="5"/>
  <c r="D3066" i="5"/>
  <c r="D3050" i="5"/>
  <c r="D3034" i="5"/>
  <c r="D3018" i="5"/>
  <c r="D3014" i="5"/>
  <c r="D3010" i="5"/>
  <c r="D3006" i="5"/>
  <c r="D3002" i="5"/>
  <c r="D2998" i="5"/>
  <c r="D2994" i="5"/>
  <c r="D2990" i="5"/>
  <c r="D2986" i="5"/>
  <c r="D2980" i="5"/>
  <c r="D2964" i="5"/>
  <c r="D2948" i="5"/>
  <c r="D2932" i="5"/>
  <c r="D2916" i="5"/>
  <c r="D2900" i="5"/>
  <c r="D2884" i="5"/>
  <c r="D2868" i="5"/>
  <c r="D2852" i="5"/>
  <c r="D2836" i="5"/>
  <c r="D2820" i="5"/>
  <c r="D2804" i="5"/>
  <c r="D2788" i="5"/>
  <c r="D2772" i="5"/>
  <c r="D2542" i="5"/>
  <c r="D2526" i="5"/>
  <c r="B2526" i="5" s="1"/>
  <c r="D2510" i="5"/>
  <c r="B2510" i="5" s="1"/>
  <c r="D2494" i="5"/>
  <c r="B2494" i="5" s="1"/>
  <c r="D2478" i="5"/>
  <c r="B2478" i="5" s="1"/>
  <c r="D2462" i="5"/>
  <c r="B2462" i="5" s="1"/>
  <c r="D2446" i="5"/>
  <c r="D2430" i="5"/>
  <c r="B2430" i="5" s="1"/>
  <c r="D2414" i="5"/>
  <c r="D2398" i="5"/>
  <c r="D2382" i="5"/>
  <c r="D2366" i="5"/>
  <c r="D2350" i="5"/>
  <c r="D2334" i="5"/>
  <c r="D2318" i="5"/>
  <c r="B2318" i="5" s="1"/>
  <c r="D2302" i="5"/>
  <c r="D2286" i="5"/>
  <c r="D2270" i="5"/>
  <c r="D2254" i="5"/>
  <c r="D2238" i="5"/>
  <c r="D2222" i="5"/>
  <c r="D2209" i="5"/>
  <c r="D2205" i="5"/>
  <c r="D2201" i="5"/>
  <c r="D2197" i="5"/>
  <c r="D2971" i="5"/>
  <c r="B2971" i="5" s="1"/>
  <c r="D2955" i="5"/>
  <c r="D2939" i="5"/>
  <c r="B2939" i="5" s="1"/>
  <c r="D2923" i="5"/>
  <c r="D2907" i="5"/>
  <c r="D2891" i="5"/>
  <c r="D2875" i="5"/>
  <c r="D2859" i="5"/>
  <c r="B2859" i="5" s="1"/>
  <c r="D2843" i="5"/>
  <c r="D2827" i="5"/>
  <c r="D2811" i="5"/>
  <c r="D2795" i="5"/>
  <c r="D2779" i="5"/>
  <c r="B2779" i="5" s="1"/>
  <c r="D2763" i="5"/>
  <c r="D2755" i="5"/>
  <c r="D2747" i="5"/>
  <c r="D2739" i="5"/>
  <c r="D2731" i="5"/>
  <c r="D2723" i="5"/>
  <c r="D2715" i="5"/>
  <c r="D2707" i="5"/>
  <c r="D2699" i="5"/>
  <c r="D2691" i="5"/>
  <c r="D2683" i="5"/>
  <c r="D2675" i="5"/>
  <c r="D2667" i="5"/>
  <c r="D2659" i="5"/>
  <c r="D2651" i="5"/>
  <c r="D2643" i="5"/>
  <c r="D2635" i="5"/>
  <c r="D2627" i="5"/>
  <c r="D2619" i="5"/>
  <c r="D2611" i="5"/>
  <c r="D2603" i="5"/>
  <c r="D2595" i="5"/>
  <c r="D2587" i="5"/>
  <c r="D2579" i="5"/>
  <c r="D2571" i="5"/>
  <c r="D2563" i="5"/>
  <c r="D2555" i="5"/>
  <c r="D2547" i="5"/>
  <c r="B2547" i="5" s="1"/>
  <c r="D2978" i="5"/>
  <c r="B2978" i="5" s="1"/>
  <c r="D2962" i="5"/>
  <c r="B2962" i="5" s="1"/>
  <c r="D2946" i="5"/>
  <c r="B2946" i="5" s="1"/>
  <c r="D2930" i="5"/>
  <c r="B2930" i="5" s="1"/>
  <c r="D2914" i="5"/>
  <c r="B2914" i="5" s="1"/>
  <c r="D2898" i="5"/>
  <c r="B2898" i="5" s="1"/>
  <c r="D2882" i="5"/>
  <c r="B2882" i="5" s="1"/>
  <c r="D2866" i="5"/>
  <c r="B2866" i="5" s="1"/>
  <c r="D2850" i="5"/>
  <c r="B2850" i="5" s="1"/>
  <c r="D2834" i="5"/>
  <c r="B2834" i="5" s="1"/>
  <c r="D2818" i="5"/>
  <c r="B2818" i="5" s="1"/>
  <c r="D2802" i="5"/>
  <c r="B2802" i="5" s="1"/>
  <c r="D2786" i="5"/>
  <c r="B2786" i="5" s="1"/>
  <c r="D2770" i="5"/>
  <c r="B2770" i="5" s="1"/>
  <c r="D2536" i="5"/>
  <c r="D2520" i="5"/>
  <c r="B2520" i="5" s="1"/>
  <c r="D2504" i="5"/>
  <c r="D2488" i="5"/>
  <c r="D2472" i="5"/>
  <c r="D2456" i="5"/>
  <c r="D2440" i="5"/>
  <c r="D2424" i="5"/>
  <c r="D2408" i="5"/>
  <c r="D2392" i="5"/>
  <c r="D2376" i="5"/>
  <c r="D2360" i="5"/>
  <c r="D2344" i="5"/>
  <c r="D2328" i="5"/>
  <c r="D2312" i="5"/>
  <c r="D2296" i="5"/>
  <c r="D2280" i="5"/>
  <c r="D2264" i="5"/>
  <c r="D2248" i="5"/>
  <c r="D2232" i="5"/>
  <c r="D2216" i="5"/>
  <c r="D2973" i="5"/>
  <c r="B2973" i="5" s="1"/>
  <c r="D2957" i="5"/>
  <c r="D2941" i="5"/>
  <c r="B2941" i="5" s="1"/>
  <c r="D2925" i="5"/>
  <c r="D2909" i="5"/>
  <c r="D2893" i="5"/>
  <c r="D2877" i="5"/>
  <c r="D2861" i="5"/>
  <c r="B2861" i="5" s="1"/>
  <c r="D2845" i="5"/>
  <c r="D2829" i="5"/>
  <c r="D2813" i="5"/>
  <c r="D2797" i="5"/>
  <c r="D2781" i="5"/>
  <c r="B2781" i="5" s="1"/>
  <c r="D2765" i="5"/>
  <c r="B2765" i="5" s="1"/>
  <c r="D2756" i="5"/>
  <c r="D2748" i="5"/>
  <c r="D2740" i="5"/>
  <c r="D2732" i="5"/>
  <c r="D2724" i="5"/>
  <c r="D2716" i="5"/>
  <c r="D2708" i="5"/>
  <c r="D2700" i="5"/>
  <c r="D2692" i="5"/>
  <c r="D2684" i="5"/>
  <c r="D2676" i="5"/>
  <c r="D2668" i="5"/>
  <c r="D2660" i="5"/>
  <c r="D2652" i="5"/>
  <c r="D2644" i="5"/>
  <c r="D2636" i="5"/>
  <c r="D2628" i="5"/>
  <c r="D2620" i="5"/>
  <c r="D2612" i="5"/>
  <c r="D2604" i="5"/>
  <c r="D2596" i="5"/>
  <c r="D2588" i="5"/>
  <c r="D2580" i="5"/>
  <c r="D2572" i="5"/>
  <c r="D2564" i="5"/>
  <c r="D2556" i="5"/>
  <c r="D2548" i="5"/>
  <c r="D2533" i="5"/>
  <c r="D2517" i="5"/>
  <c r="D2501" i="5"/>
  <c r="D2485" i="5"/>
  <c r="D2469" i="5"/>
  <c r="D2453" i="5"/>
  <c r="D2437" i="5"/>
  <c r="D2421" i="5"/>
  <c r="D2405" i="5"/>
  <c r="D2487" i="5"/>
  <c r="D2423" i="5"/>
  <c r="D2387" i="5"/>
  <c r="D2355" i="5"/>
  <c r="D2323" i="5"/>
  <c r="B2323" i="5" s="1"/>
  <c r="D2291" i="5"/>
  <c r="D2259" i="5"/>
  <c r="D2227" i="5"/>
  <c r="D2191" i="5"/>
  <c r="D2175" i="5"/>
  <c r="D2159" i="5"/>
  <c r="D2143" i="5"/>
  <c r="D2127" i="5"/>
  <c r="D2111" i="5"/>
  <c r="D2095" i="5"/>
  <c r="D2079" i="5"/>
  <c r="D2063" i="5"/>
  <c r="D2047" i="5"/>
  <c r="D2031" i="5"/>
  <c r="D2015" i="5"/>
  <c r="D1999" i="5"/>
  <c r="D1983" i="5"/>
  <c r="D2475" i="5"/>
  <c r="D2411" i="5"/>
  <c r="D2373" i="5"/>
  <c r="D2341" i="5"/>
  <c r="D2309" i="5"/>
  <c r="D2277" i="5"/>
  <c r="D2245" i="5"/>
  <c r="D2213" i="5"/>
  <c r="D2180" i="5"/>
  <c r="B2180" i="5" s="1"/>
  <c r="D2164" i="5"/>
  <c r="D2148" i="5"/>
  <c r="B2148" i="5" s="1"/>
  <c r="D2132" i="5"/>
  <c r="D2116" i="5"/>
  <c r="D2100" i="5"/>
  <c r="D2084" i="5"/>
  <c r="D2068" i="5"/>
  <c r="D2052" i="5"/>
  <c r="D2036" i="5"/>
  <c r="D2020" i="5"/>
  <c r="D2527" i="5"/>
  <c r="D2463" i="5"/>
  <c r="D2399" i="5"/>
  <c r="D2367" i="5"/>
  <c r="D2335" i="5"/>
  <c r="D2303" i="5"/>
  <c r="D2271" i="5"/>
  <c r="D2239" i="5"/>
  <c r="D2193" i="5"/>
  <c r="D2177" i="5"/>
  <c r="D2161" i="5"/>
  <c r="D2145" i="5"/>
  <c r="D2129" i="5"/>
  <c r="D2113" i="5"/>
  <c r="D2097" i="5"/>
  <c r="D2081" i="5"/>
  <c r="D2065" i="5"/>
  <c r="D2049" i="5"/>
  <c r="D2033" i="5"/>
  <c r="D2017" i="5"/>
  <c r="D2515" i="5"/>
  <c r="D2451" i="5"/>
  <c r="D2393" i="5"/>
  <c r="D2361" i="5"/>
  <c r="D2329" i="5"/>
  <c r="D2297" i="5"/>
  <c r="D2265" i="5"/>
  <c r="D2233" i="5"/>
  <c r="D2190" i="5"/>
  <c r="D2174" i="5"/>
  <c r="D2158" i="5"/>
  <c r="D2142" i="5"/>
  <c r="D2126" i="5"/>
  <c r="D2110" i="5"/>
  <c r="D2094" i="5"/>
  <c r="D2078" i="5"/>
  <c r="D2062" i="5"/>
  <c r="D2046" i="5"/>
  <c r="D2030" i="5"/>
  <c r="D2014" i="5"/>
  <c r="D1998" i="5"/>
  <c r="B1998" i="5" s="1"/>
  <c r="D1982" i="5"/>
  <c r="D1966" i="5"/>
  <c r="D1950" i="5"/>
  <c r="B1950" i="5" s="1"/>
  <c r="D1985" i="5"/>
  <c r="D1960" i="5"/>
  <c r="D1940" i="5"/>
  <c r="D1924" i="5"/>
  <c r="D1908" i="5"/>
  <c r="D1892" i="5"/>
  <c r="D1876" i="5"/>
  <c r="D1860" i="5"/>
  <c r="D1844" i="5"/>
  <c r="D1828" i="5"/>
  <c r="D1812" i="5"/>
  <c r="D1796" i="5"/>
  <c r="D1780" i="5"/>
  <c r="D1764" i="5"/>
  <c r="D1748" i="5"/>
  <c r="D1732" i="5"/>
  <c r="D1716" i="5"/>
  <c r="D1700" i="5"/>
  <c r="D1684" i="5"/>
  <c r="D1668" i="5"/>
  <c r="D1652" i="5"/>
  <c r="D1636" i="5"/>
  <c r="D1620" i="5"/>
  <c r="D1604" i="5"/>
  <c r="D1588" i="5"/>
  <c r="D1572" i="5"/>
  <c r="D1556" i="5"/>
  <c r="D1552" i="5"/>
  <c r="D1548" i="5"/>
  <c r="D1544" i="5"/>
  <c r="D1540" i="5"/>
  <c r="D1536" i="5"/>
  <c r="D1532" i="5"/>
  <c r="D1528" i="5"/>
  <c r="D1524" i="5"/>
  <c r="D1520" i="5"/>
  <c r="D1516" i="5"/>
  <c r="D1512" i="5"/>
  <c r="D1508" i="5"/>
  <c r="D1984" i="5"/>
  <c r="D1963" i="5"/>
  <c r="D1941" i="5"/>
  <c r="D1925" i="5"/>
  <c r="D1909" i="5"/>
  <c r="D1893" i="5"/>
  <c r="D1877" i="5"/>
  <c r="D1861" i="5"/>
  <c r="D1845" i="5"/>
  <c r="D1829" i="5"/>
  <c r="D1813" i="5"/>
  <c r="D1797" i="5"/>
  <c r="D1781" i="5"/>
  <c r="D1765" i="5"/>
  <c r="D1749" i="5"/>
  <c r="D1733" i="5"/>
  <c r="D1717" i="5"/>
  <c r="D1701" i="5"/>
  <c r="D1685" i="5"/>
  <c r="D1669" i="5"/>
  <c r="D1653" i="5"/>
  <c r="D1637" i="5"/>
  <c r="D1621" i="5"/>
  <c r="D1605" i="5"/>
  <c r="D1589" i="5"/>
  <c r="D1573" i="5"/>
  <c r="D1557" i="5"/>
  <c r="D1981" i="5"/>
  <c r="D1961" i="5"/>
  <c r="D1942" i="5"/>
  <c r="D1926" i="5"/>
  <c r="D1910" i="5"/>
  <c r="D1894" i="5"/>
  <c r="D1878" i="5"/>
  <c r="D1862" i="5"/>
  <c r="D1846" i="5"/>
  <c r="D1830" i="5"/>
  <c r="D1814" i="5"/>
  <c r="D1798" i="5"/>
  <c r="D1782" i="5"/>
  <c r="D1766" i="5"/>
  <c r="D1750" i="5"/>
  <c r="D1734" i="5"/>
  <c r="D1718" i="5"/>
  <c r="D1702" i="5"/>
  <c r="D1686" i="5"/>
  <c r="D1670" i="5"/>
  <c r="D1654" i="5"/>
  <c r="D1638" i="5"/>
  <c r="D1622" i="5"/>
  <c r="D1606" i="5"/>
  <c r="D1590" i="5"/>
  <c r="D1574" i="5"/>
  <c r="D1558" i="5"/>
  <c r="D1980" i="5"/>
  <c r="D1957" i="5"/>
  <c r="D1939" i="5"/>
  <c r="D1923" i="5"/>
  <c r="D1907" i="5"/>
  <c r="D1891" i="5"/>
  <c r="D1875" i="5"/>
  <c r="D1859" i="5"/>
  <c r="D1843" i="5"/>
  <c r="D1827" i="5"/>
  <c r="D1811" i="5"/>
  <c r="D1795" i="5"/>
  <c r="D1779" i="5"/>
  <c r="D1763" i="5"/>
  <c r="D1747" i="5"/>
  <c r="D1731" i="5"/>
  <c r="D1715" i="5"/>
  <c r="D1699" i="5"/>
  <c r="D1683" i="5"/>
  <c r="D1667" i="5"/>
  <c r="D1651" i="5"/>
  <c r="D1635" i="5"/>
  <c r="D1619" i="5"/>
  <c r="D1603" i="5"/>
  <c r="D1587" i="5"/>
  <c r="D1571" i="5"/>
  <c r="D1504" i="5"/>
  <c r="D1488" i="5"/>
  <c r="D1472" i="5"/>
  <c r="D1456" i="5"/>
  <c r="D1440" i="5"/>
  <c r="D1424" i="5"/>
  <c r="D1408" i="5"/>
  <c r="D1392" i="5"/>
  <c r="D1376" i="5"/>
  <c r="D1360" i="5"/>
  <c r="D1344" i="5"/>
  <c r="D1328" i="5"/>
  <c r="D1312" i="5"/>
  <c r="D1296" i="5"/>
  <c r="D1280" i="5"/>
  <c r="D1264" i="5"/>
  <c r="D1248" i="5"/>
  <c r="D1232" i="5"/>
  <c r="D1216" i="5"/>
  <c r="D1200" i="5"/>
  <c r="D1184" i="5"/>
  <c r="D1168" i="5"/>
  <c r="D1152" i="5"/>
  <c r="D1136" i="5"/>
  <c r="D1120" i="5"/>
  <c r="D1104" i="5"/>
  <c r="D1088" i="5"/>
  <c r="D1072" i="5"/>
  <c r="D1056" i="5"/>
  <c r="D1040" i="5"/>
  <c r="D1024" i="5"/>
  <c r="D1008" i="5"/>
  <c r="D992" i="5"/>
  <c r="D976" i="5"/>
  <c r="D960" i="5"/>
  <c r="D944" i="5"/>
  <c r="D935" i="5"/>
  <c r="D927" i="5"/>
  <c r="D919" i="5"/>
  <c r="D911" i="5"/>
  <c r="D903" i="5"/>
  <c r="D895" i="5"/>
  <c r="D887" i="5"/>
  <c r="D879" i="5"/>
  <c r="D871" i="5"/>
  <c r="D863" i="5"/>
  <c r="D855" i="5"/>
  <c r="D847" i="5"/>
  <c r="D839" i="5"/>
  <c r="D831" i="5"/>
  <c r="D823" i="5"/>
  <c r="D815" i="5"/>
  <c r="D804" i="5"/>
  <c r="D788" i="5"/>
  <c r="D772" i="5"/>
  <c r="D748" i="5"/>
  <c r="D716" i="5"/>
  <c r="D684" i="5"/>
  <c r="D648" i="5"/>
  <c r="D612" i="5"/>
  <c r="D580" i="5"/>
  <c r="D548" i="5"/>
  <c r="D475" i="5"/>
  <c r="D461" i="5"/>
  <c r="D449" i="5"/>
  <c r="D438" i="5"/>
  <c r="D426" i="5"/>
  <c r="D414" i="5"/>
  <c r="D403" i="5"/>
  <c r="D391" i="5"/>
  <c r="D378" i="5"/>
  <c r="D367" i="5"/>
  <c r="D355" i="5"/>
  <c r="D343" i="5"/>
  <c r="D332" i="5"/>
  <c r="D320" i="5"/>
  <c r="D309" i="5"/>
  <c r="D298" i="5"/>
  <c r="D287" i="5"/>
  <c r="D274" i="5"/>
  <c r="D259" i="5"/>
  <c r="D244" i="5"/>
  <c r="D227" i="5"/>
  <c r="B227" i="5" s="1"/>
  <c r="D211" i="5"/>
  <c r="D197" i="5"/>
  <c r="D180" i="5"/>
  <c r="D164" i="5"/>
  <c r="D148" i="5"/>
  <c r="D134" i="5"/>
  <c r="D117" i="5"/>
  <c r="D102" i="5"/>
  <c r="D86" i="5"/>
  <c r="D71" i="5"/>
  <c r="D55" i="5"/>
  <c r="D1499" i="5"/>
  <c r="D1483" i="5"/>
  <c r="D1467" i="5"/>
  <c r="D1451" i="5"/>
  <c r="D1435" i="5"/>
  <c r="D1419" i="5"/>
  <c r="D1403" i="5"/>
  <c r="D1387" i="5"/>
  <c r="D1371" i="5"/>
  <c r="D1355" i="5"/>
  <c r="D1339" i="5"/>
  <c r="D1323" i="5"/>
  <c r="D1307" i="5"/>
  <c r="D1291" i="5"/>
  <c r="D1275" i="5"/>
  <c r="D1259" i="5"/>
  <c r="D1243" i="5"/>
  <c r="D1227" i="5"/>
  <c r="D1211" i="5"/>
  <c r="D1195" i="5"/>
  <c r="D1179" i="5"/>
  <c r="D1163" i="5"/>
  <c r="D1147" i="5"/>
  <c r="D1131" i="5"/>
  <c r="D1115" i="5"/>
  <c r="D1099" i="5"/>
  <c r="D1083" i="5"/>
  <c r="D1067" i="5"/>
  <c r="D1051" i="5"/>
  <c r="D1035" i="5"/>
  <c r="D1019" i="5"/>
  <c r="D1003" i="5"/>
  <c r="D987" i="5"/>
  <c r="D971" i="5"/>
  <c r="D955" i="5"/>
  <c r="D809" i="5"/>
  <c r="B809" i="5" s="1"/>
  <c r="D793" i="5"/>
  <c r="B793" i="5" s="1"/>
  <c r="D777" i="5"/>
  <c r="B777" i="5" s="1"/>
  <c r="D761" i="5"/>
  <c r="D745" i="5"/>
  <c r="D729" i="5"/>
  <c r="D713" i="5"/>
  <c r="D697" i="5"/>
  <c r="D681" i="5"/>
  <c r="D665" i="5"/>
  <c r="D649" i="5"/>
  <c r="D633" i="5"/>
  <c r="D617" i="5"/>
  <c r="D601" i="5"/>
  <c r="D585" i="5"/>
  <c r="D569" i="5"/>
  <c r="D553" i="5"/>
  <c r="D537" i="5"/>
  <c r="D521" i="5"/>
  <c r="B521" i="5" s="1"/>
  <c r="D511" i="5"/>
  <c r="D507" i="5"/>
  <c r="D503" i="5"/>
  <c r="D499" i="5"/>
  <c r="D495" i="5"/>
  <c r="D491" i="5"/>
  <c r="D487" i="5"/>
  <c r="D483" i="5"/>
  <c r="D479" i="5"/>
  <c r="D473" i="5"/>
  <c r="D463" i="5"/>
  <c r="D451" i="5"/>
  <c r="D437" i="5"/>
  <c r="D424" i="5"/>
  <c r="D412" i="5"/>
  <c r="D398" i="5"/>
  <c r="D386" i="5"/>
  <c r="D372" i="5"/>
  <c r="D359" i="5"/>
  <c r="D347" i="5"/>
  <c r="D334" i="5"/>
  <c r="D322" i="5"/>
  <c r="D308" i="5"/>
  <c r="D296" i="5"/>
  <c r="D283" i="5"/>
  <c r="B283" i="5" s="1"/>
  <c r="D269" i="5"/>
  <c r="B269" i="5" s="1"/>
  <c r="D251" i="5"/>
  <c r="D234" i="5"/>
  <c r="D217" i="5"/>
  <c r="D201" i="5"/>
  <c r="B201" i="5" s="1"/>
  <c r="D182" i="5"/>
  <c r="D165" i="5"/>
  <c r="D149" i="5"/>
  <c r="D131" i="5"/>
  <c r="D115" i="5"/>
  <c r="D97" i="5"/>
  <c r="D80" i="5"/>
  <c r="D62" i="5"/>
  <c r="D45" i="5"/>
  <c r="D1494" i="5"/>
  <c r="D1478" i="5"/>
  <c r="D1462" i="5"/>
  <c r="D1446" i="5"/>
  <c r="D1430" i="5"/>
  <c r="D1414" i="5"/>
  <c r="D1398" i="5"/>
  <c r="D1382" i="5"/>
  <c r="D1366" i="5"/>
  <c r="D1350" i="5"/>
  <c r="D1334" i="5"/>
  <c r="D1318" i="5"/>
  <c r="D1302" i="5"/>
  <c r="D1286" i="5"/>
  <c r="D1270" i="5"/>
  <c r="D1254" i="5"/>
  <c r="D1238" i="5"/>
  <c r="D1222" i="5"/>
  <c r="D1206" i="5"/>
  <c r="D1190" i="5"/>
  <c r="D1174" i="5"/>
  <c r="D1158" i="5"/>
  <c r="D1142" i="5"/>
  <c r="D1126" i="5"/>
  <c r="D1110" i="5"/>
  <c r="D1094" i="5"/>
  <c r="D1078" i="5"/>
  <c r="D1062" i="5"/>
  <c r="D1046" i="5"/>
  <c r="D1030" i="5"/>
  <c r="D1014" i="5"/>
  <c r="D998" i="5"/>
  <c r="D982" i="5"/>
  <c r="D966" i="5"/>
  <c r="D950" i="5"/>
  <c r="D938" i="5"/>
  <c r="D930" i="5"/>
  <c r="D922" i="5"/>
  <c r="D914" i="5"/>
  <c r="D906" i="5"/>
  <c r="D898" i="5"/>
  <c r="D890" i="5"/>
  <c r="D882" i="5"/>
  <c r="D874" i="5"/>
  <c r="D866" i="5"/>
  <c r="D858" i="5"/>
  <c r="D850" i="5"/>
  <c r="D842" i="5"/>
  <c r="D834" i="5"/>
  <c r="D826" i="5"/>
  <c r="D818" i="5"/>
  <c r="D810" i="5"/>
  <c r="D794" i="5"/>
  <c r="D778" i="5"/>
  <c r="D762" i="5"/>
  <c r="D746" i="5"/>
  <c r="D730" i="5"/>
  <c r="D714" i="5"/>
  <c r="D698" i="5"/>
  <c r="D682" i="5"/>
  <c r="D666" i="5"/>
  <c r="D650" i="5"/>
  <c r="D634" i="5"/>
  <c r="D618" i="5"/>
  <c r="D602" i="5"/>
  <c r="D586" i="5"/>
  <c r="D570" i="5"/>
  <c r="D554" i="5"/>
  <c r="D538" i="5"/>
  <c r="D522" i="5"/>
  <c r="D270" i="5"/>
  <c r="D254" i="5"/>
  <c r="B254" i="5" s="1"/>
  <c r="D237" i="5"/>
  <c r="D220" i="5"/>
  <c r="D204" i="5"/>
  <c r="D186" i="5"/>
  <c r="D170" i="5"/>
  <c r="D154" i="5"/>
  <c r="D137" i="5"/>
  <c r="D120" i="5"/>
  <c r="D104" i="5"/>
  <c r="D87" i="5"/>
  <c r="D70" i="5"/>
  <c r="D53" i="5"/>
  <c r="D1501" i="5"/>
  <c r="D1485" i="5"/>
  <c r="D1469" i="5"/>
  <c r="D1453" i="5"/>
  <c r="D1437" i="5"/>
  <c r="D1421" i="5"/>
  <c r="D1405" i="5"/>
  <c r="D1389" i="5"/>
  <c r="D1373" i="5"/>
  <c r="D1357" i="5"/>
  <c r="D1341" i="5"/>
  <c r="D1325" i="5"/>
  <c r="D1309" i="5"/>
  <c r="D1293" i="5"/>
  <c r="D1277" i="5"/>
  <c r="D1261" i="5"/>
  <c r="D1245" i="5"/>
  <c r="D1229" i="5"/>
  <c r="D1213" i="5"/>
  <c r="D1197" i="5"/>
  <c r="D1181" i="5"/>
  <c r="D1165" i="5"/>
  <c r="D1149" i="5"/>
  <c r="D1133" i="5"/>
  <c r="D1117" i="5"/>
  <c r="D1101" i="5"/>
  <c r="D1085" i="5"/>
  <c r="D1069" i="5"/>
  <c r="D1053" i="5"/>
  <c r="D1037" i="5"/>
  <c r="D1021" i="5"/>
  <c r="D1005" i="5"/>
  <c r="D989" i="5"/>
  <c r="D973" i="5"/>
  <c r="D957" i="5"/>
  <c r="D807" i="5"/>
  <c r="D791" i="5"/>
  <c r="D775" i="5"/>
  <c r="D759" i="5"/>
  <c r="D743" i="5"/>
  <c r="D727" i="5"/>
  <c r="D711" i="5"/>
  <c r="D695" i="5"/>
  <c r="D679" i="5"/>
  <c r="D663" i="5"/>
  <c r="D647" i="5"/>
  <c r="D631" i="5"/>
  <c r="D615" i="5"/>
  <c r="D599" i="5"/>
  <c r="D583" i="5"/>
  <c r="D567" i="5"/>
  <c r="D551" i="5"/>
  <c r="D535" i="5"/>
  <c r="D519" i="5"/>
  <c r="D752" i="5"/>
  <c r="D720" i="5"/>
  <c r="D688" i="5"/>
  <c r="D660" i="5"/>
  <c r="D628" i="5"/>
  <c r="D600" i="5"/>
  <c r="D568" i="5"/>
  <c r="D536" i="5"/>
  <c r="D474" i="5"/>
  <c r="B474" i="5" s="1"/>
  <c r="D462" i="5"/>
  <c r="D450" i="5"/>
  <c r="D439" i="5"/>
  <c r="D427" i="5"/>
  <c r="D416" i="5"/>
  <c r="D404" i="5"/>
  <c r="D393" i="5"/>
  <c r="D382" i="5"/>
  <c r="D371" i="5"/>
  <c r="D360" i="5"/>
  <c r="D348" i="5"/>
  <c r="D336" i="5"/>
  <c r="D324" i="5"/>
  <c r="D313" i="5"/>
  <c r="D300" i="5"/>
  <c r="B300" i="5" s="1"/>
  <c r="D288" i="5"/>
  <c r="D275" i="5"/>
  <c r="D261" i="5"/>
  <c r="D247" i="5"/>
  <c r="D232" i="5"/>
  <c r="D218" i="5"/>
  <c r="D202" i="5"/>
  <c r="D188" i="5"/>
  <c r="D173" i="5"/>
  <c r="D159" i="5"/>
  <c r="D143" i="5"/>
  <c r="D129" i="5"/>
  <c r="D114" i="5"/>
  <c r="D99" i="5"/>
  <c r="D85" i="5"/>
  <c r="D69" i="5"/>
  <c r="D56" i="5"/>
  <c r="B56" i="5" s="1"/>
  <c r="D5034" i="5"/>
  <c r="D5018" i="5"/>
  <c r="D5043" i="5"/>
  <c r="D5027" i="5"/>
  <c r="D5011" i="5"/>
  <c r="D5028" i="5"/>
  <c r="D5012" i="5"/>
  <c r="D4996" i="5"/>
  <c r="D5041" i="5"/>
  <c r="D5025" i="5"/>
  <c r="D5009" i="5"/>
  <c r="D4993" i="5"/>
  <c r="D4998" i="5"/>
  <c r="D4946" i="5"/>
  <c r="D4930" i="5"/>
  <c r="D4914" i="5"/>
  <c r="D4898" i="5"/>
  <c r="D4882" i="5"/>
  <c r="D4995" i="5"/>
  <c r="D4978" i="5"/>
  <c r="D4970" i="5"/>
  <c r="B4970" i="5" s="1"/>
  <c r="D4962" i="5"/>
  <c r="D4951" i="5"/>
  <c r="D4986" i="5"/>
  <c r="B4986" i="5" s="1"/>
  <c r="D4944" i="5"/>
  <c r="B4944" i="5" s="1"/>
  <c r="D4928" i="5"/>
  <c r="D4991" i="5"/>
  <c r="D4957" i="5"/>
  <c r="D4916" i="5"/>
  <c r="D4893" i="5"/>
  <c r="D4875" i="5"/>
  <c r="D4860" i="5"/>
  <c r="D4971" i="5"/>
  <c r="D4927" i="5"/>
  <c r="D4903" i="5"/>
  <c r="B4903" i="5" s="1"/>
  <c r="D4880" i="5"/>
  <c r="D4861" i="5"/>
  <c r="D4949" i="5"/>
  <c r="D4921" i="5"/>
  <c r="D4901" i="5"/>
  <c r="D4883" i="5"/>
  <c r="D4862" i="5"/>
  <c r="D4959" i="5"/>
  <c r="D4923" i="5"/>
  <c r="D4897" i="5"/>
  <c r="D4879" i="5"/>
  <c r="D4855" i="5"/>
  <c r="D4839" i="5"/>
  <c r="D4822" i="5"/>
  <c r="D4806" i="5"/>
  <c r="D4796" i="5"/>
  <c r="D4792" i="5"/>
  <c r="B4792" i="5" s="1"/>
  <c r="D4842" i="5"/>
  <c r="D4827" i="5"/>
  <c r="D4811" i="5"/>
  <c r="D4857" i="5"/>
  <c r="D4841" i="5"/>
  <c r="D4824" i="5"/>
  <c r="D4808" i="5"/>
  <c r="D4852" i="5"/>
  <c r="D4836" i="5"/>
  <c r="B4836" i="5" s="1"/>
  <c r="D4821" i="5"/>
  <c r="D4805" i="5"/>
  <c r="D4781" i="5"/>
  <c r="D4765" i="5"/>
  <c r="D4749" i="5"/>
  <c r="D4714" i="5"/>
  <c r="D4698" i="5"/>
  <c r="D4682" i="5"/>
  <c r="D4666" i="5"/>
  <c r="D4656" i="5"/>
  <c r="D4652" i="5"/>
  <c r="D4648" i="5"/>
  <c r="D4784" i="5"/>
  <c r="D4768" i="5"/>
  <c r="D4752" i="5"/>
  <c r="D4739" i="5"/>
  <c r="D4731" i="5"/>
  <c r="D4723" i="5"/>
  <c r="D4707" i="5"/>
  <c r="D4691" i="5"/>
  <c r="D4675" i="5"/>
  <c r="D4659" i="5"/>
  <c r="D4779" i="5"/>
  <c r="B4779" i="5" s="1"/>
  <c r="D4763" i="5"/>
  <c r="B4763" i="5" s="1"/>
  <c r="D4747" i="5"/>
  <c r="B4747" i="5" s="1"/>
  <c r="D4712" i="5"/>
  <c r="D4696" i="5"/>
  <c r="D4680" i="5"/>
  <c r="D4664" i="5"/>
  <c r="D4782" i="5"/>
  <c r="D4766" i="5"/>
  <c r="D4750" i="5"/>
  <c r="D4738" i="5"/>
  <c r="D4730" i="5"/>
  <c r="D4721" i="5"/>
  <c r="D4705" i="5"/>
  <c r="D4689" i="5"/>
  <c r="D4673" i="5"/>
  <c r="D4637" i="5"/>
  <c r="D4621" i="5"/>
  <c r="D4605" i="5"/>
  <c r="D4589" i="5"/>
  <c r="D4573" i="5"/>
  <c r="D4557" i="5"/>
  <c r="D4541" i="5"/>
  <c r="D4525" i="5"/>
  <c r="D4509" i="5"/>
  <c r="D4493" i="5"/>
  <c r="D4477" i="5"/>
  <c r="D4461" i="5"/>
  <c r="D4445" i="5"/>
  <c r="D4429" i="5"/>
  <c r="D4642" i="5"/>
  <c r="D4630" i="5"/>
  <c r="D4614" i="5"/>
  <c r="D4598" i="5"/>
  <c r="D4582" i="5"/>
  <c r="D4566" i="5"/>
  <c r="D4550" i="5"/>
  <c r="D4534" i="5"/>
  <c r="D4518" i="5"/>
  <c r="D4502" i="5"/>
  <c r="D4486" i="5"/>
  <c r="D4470" i="5"/>
  <c r="D4454" i="5"/>
  <c r="D4438" i="5"/>
  <c r="D4631" i="5"/>
  <c r="D4615" i="5"/>
  <c r="D4599" i="5"/>
  <c r="D4583" i="5"/>
  <c r="D4567" i="5"/>
  <c r="D4551" i="5"/>
  <c r="D4535" i="5"/>
  <c r="D4519" i="5"/>
  <c r="D4503" i="5"/>
  <c r="D4487" i="5"/>
  <c r="D4471" i="5"/>
  <c r="D4455" i="5"/>
  <c r="D4439" i="5"/>
  <c r="D4645" i="5"/>
  <c r="D4636" i="5"/>
  <c r="D4620" i="5"/>
  <c r="B4620" i="5" s="1"/>
  <c r="D4604" i="5"/>
  <c r="B4604" i="5" s="1"/>
  <c r="D4588" i="5"/>
  <c r="B4588" i="5" s="1"/>
  <c r="D4572" i="5"/>
  <c r="B4572" i="5" s="1"/>
  <c r="D4556" i="5"/>
  <c r="B4556" i="5" s="1"/>
  <c r="D4540" i="5"/>
  <c r="B4540" i="5" s="1"/>
  <c r="D4524" i="5"/>
  <c r="B4524" i="5" s="1"/>
  <c r="D4508" i="5"/>
  <c r="B4508" i="5" s="1"/>
  <c r="D4492" i="5"/>
  <c r="B4492" i="5" s="1"/>
  <c r="D4476" i="5"/>
  <c r="B4476" i="5" s="1"/>
  <c r="D4460" i="5"/>
  <c r="B4460" i="5" s="1"/>
  <c r="D4444" i="5"/>
  <c r="B4444" i="5" s="1"/>
  <c r="D4428" i="5"/>
  <c r="B4428" i="5" s="1"/>
  <c r="D4426" i="5"/>
  <c r="D4410" i="5"/>
  <c r="D4394" i="5"/>
  <c r="D4411" i="5"/>
  <c r="D4395" i="5"/>
  <c r="D4412" i="5"/>
  <c r="D4396" i="5"/>
  <c r="D4386" i="5"/>
  <c r="D4382" i="5"/>
  <c r="D4378" i="5"/>
  <c r="D4409" i="5"/>
  <c r="B4409" i="5" s="1"/>
  <c r="D4393" i="5"/>
  <c r="B4393" i="5" s="1"/>
  <c r="D4232" i="5"/>
  <c r="D4216" i="5"/>
  <c r="D4200" i="5"/>
  <c r="D4184" i="5"/>
  <c r="D4168" i="5"/>
  <c r="D4152" i="5"/>
  <c r="D4136" i="5"/>
  <c r="D4120" i="5"/>
  <c r="B4120" i="5" s="1"/>
  <c r="D4104" i="5"/>
  <c r="D4088" i="5"/>
  <c r="D4375" i="5"/>
  <c r="D4367" i="5"/>
  <c r="D4359" i="5"/>
  <c r="D4351" i="5"/>
  <c r="D4343" i="5"/>
  <c r="D4335" i="5"/>
  <c r="D4327" i="5"/>
  <c r="D4319" i="5"/>
  <c r="D4311" i="5"/>
  <c r="D4303" i="5"/>
  <c r="D4295" i="5"/>
  <c r="D4287" i="5"/>
  <c r="D4279" i="5"/>
  <c r="D4271" i="5"/>
  <c r="D4263" i="5"/>
  <c r="D4226" i="5"/>
  <c r="D4210" i="5"/>
  <c r="D4194" i="5"/>
  <c r="B4194" i="5" s="1"/>
  <c r="D4178" i="5"/>
  <c r="D4162" i="5"/>
  <c r="D4146" i="5"/>
  <c r="D4130" i="5"/>
  <c r="D4114" i="5"/>
  <c r="D4098" i="5"/>
  <c r="D4082" i="5"/>
  <c r="D4372" i="5"/>
  <c r="D4364" i="5"/>
  <c r="D4356" i="5"/>
  <c r="D4348" i="5"/>
  <c r="D4340" i="5"/>
  <c r="D4332" i="5"/>
  <c r="D4324" i="5"/>
  <c r="D4316" i="5"/>
  <c r="D4308" i="5"/>
  <c r="D4300" i="5"/>
  <c r="D4292" i="5"/>
  <c r="D4284" i="5"/>
  <c r="D4276" i="5"/>
  <c r="D4268" i="5"/>
  <c r="D4260" i="5"/>
  <c r="D4252" i="5"/>
  <c r="D4244" i="5"/>
  <c r="B4244" i="5" s="1"/>
  <c r="D4231" i="5"/>
  <c r="D4215" i="5"/>
  <c r="D4225" i="5"/>
  <c r="D4187" i="5"/>
  <c r="B4187" i="5" s="1"/>
  <c r="D4155" i="5"/>
  <c r="D4123" i="5"/>
  <c r="D4091" i="5"/>
  <c r="D3922" i="5"/>
  <c r="D3906" i="5"/>
  <c r="D3890" i="5"/>
  <c r="D4229" i="5"/>
  <c r="D4189" i="5"/>
  <c r="D4157" i="5"/>
  <c r="D4125" i="5"/>
  <c r="B4125" i="5" s="1"/>
  <c r="D4093" i="5"/>
  <c r="D4070" i="5"/>
  <c r="D4062" i="5"/>
  <c r="D4054" i="5"/>
  <c r="D4046" i="5"/>
  <c r="D4233" i="5"/>
  <c r="D4191" i="5"/>
  <c r="B4191" i="5" s="1"/>
  <c r="D4159" i="5"/>
  <c r="D4127" i="5"/>
  <c r="D4095" i="5"/>
  <c r="D3924" i="5"/>
  <c r="D3908" i="5"/>
  <c r="D4251" i="5"/>
  <c r="D4209" i="5"/>
  <c r="D4177" i="5"/>
  <c r="D4145" i="5"/>
  <c r="B4145" i="5" s="1"/>
  <c r="D4113" i="5"/>
  <c r="D4081" i="5"/>
  <c r="D4067" i="5"/>
  <c r="D4059" i="5"/>
  <c r="D4051" i="5"/>
  <c r="D4043" i="5"/>
  <c r="D4035" i="5"/>
  <c r="D4027" i="5"/>
  <c r="D4019" i="5"/>
  <c r="D4017" i="5"/>
  <c r="D4001" i="5"/>
  <c r="D3985" i="5"/>
  <c r="D3969" i="5"/>
  <c r="D3953" i="5"/>
  <c r="D3937" i="5"/>
  <c r="D3913" i="5"/>
  <c r="D3887" i="5"/>
  <c r="D3869" i="5"/>
  <c r="D3853" i="5"/>
  <c r="D3837" i="5"/>
  <c r="D3821" i="5"/>
  <c r="D3805" i="5"/>
  <c r="D3789" i="5"/>
  <c r="D3773" i="5"/>
  <c r="D3757" i="5"/>
  <c r="D3741" i="5"/>
  <c r="D3725" i="5"/>
  <c r="D3709" i="5"/>
  <c r="D3693" i="5"/>
  <c r="D4038" i="5"/>
  <c r="D4012" i="5"/>
  <c r="D3996" i="5"/>
  <c r="D3980" i="5"/>
  <c r="D3964" i="5"/>
  <c r="D3948" i="5"/>
  <c r="D3932" i="5"/>
  <c r="D3899" i="5"/>
  <c r="D3878" i="5"/>
  <c r="D3862" i="5"/>
  <c r="D3846" i="5"/>
  <c r="D3830" i="5"/>
  <c r="D3814" i="5"/>
  <c r="D3798" i="5"/>
  <c r="D3782" i="5"/>
  <c r="D3766" i="5"/>
  <c r="D3750" i="5"/>
  <c r="D3734" i="5"/>
  <c r="D3718" i="5"/>
  <c r="D4020" i="5"/>
  <c r="D4003" i="5"/>
  <c r="D3987" i="5"/>
  <c r="D3971" i="5"/>
  <c r="D3955" i="5"/>
  <c r="D3939" i="5"/>
  <c r="D3917" i="5"/>
  <c r="B3917" i="5" s="1"/>
  <c r="D3895" i="5"/>
  <c r="D3875" i="5"/>
  <c r="D3859" i="5"/>
  <c r="D3843" i="5"/>
  <c r="D3827" i="5"/>
  <c r="D3811" i="5"/>
  <c r="D3795" i="5"/>
  <c r="D3779" i="5"/>
  <c r="D3763" i="5"/>
  <c r="D3747" i="5"/>
  <c r="D3731" i="5"/>
  <c r="D4026" i="5"/>
  <c r="D4006" i="5"/>
  <c r="D3990" i="5"/>
  <c r="D3974" i="5"/>
  <c r="D3958" i="5"/>
  <c r="D3942" i="5"/>
  <c r="D3927" i="5"/>
  <c r="D3893" i="5"/>
  <c r="D3876" i="5"/>
  <c r="D3860" i="5"/>
  <c r="D3844" i="5"/>
  <c r="D3828" i="5"/>
  <c r="D3812" i="5"/>
  <c r="D3796" i="5"/>
  <c r="D3780" i="5"/>
  <c r="D3764" i="5"/>
  <c r="D3748" i="5"/>
  <c r="D3732" i="5"/>
  <c r="D3716" i="5"/>
  <c r="D3700" i="5"/>
  <c r="D3684" i="5"/>
  <c r="B3684" i="5" s="1"/>
  <c r="D3668" i="5"/>
  <c r="D3652" i="5"/>
  <c r="D3636" i="5"/>
  <c r="D3699" i="5"/>
  <c r="D3673" i="5"/>
  <c r="D3650" i="5"/>
  <c r="D3629" i="5"/>
  <c r="D3613" i="5"/>
  <c r="D3597" i="5"/>
  <c r="D3581" i="5"/>
  <c r="D3565" i="5"/>
  <c r="D3549" i="5"/>
  <c r="D3533" i="5"/>
  <c r="D3517" i="5"/>
  <c r="D3501" i="5"/>
  <c r="D3485" i="5"/>
  <c r="D3469" i="5"/>
  <c r="D3453" i="5"/>
  <c r="D3437" i="5"/>
  <c r="D3421" i="5"/>
  <c r="D3405" i="5"/>
  <c r="D3389" i="5"/>
  <c r="D3373" i="5"/>
  <c r="D3698" i="5"/>
  <c r="D3671" i="5"/>
  <c r="D3653" i="5"/>
  <c r="D3634" i="5"/>
  <c r="D3618" i="5"/>
  <c r="D3602" i="5"/>
  <c r="D3586" i="5"/>
  <c r="D3570" i="5"/>
  <c r="D3554" i="5"/>
  <c r="D3538" i="5"/>
  <c r="D3522" i="5"/>
  <c r="D3506" i="5"/>
  <c r="D3490" i="5"/>
  <c r="D3474" i="5"/>
  <c r="D3458" i="5"/>
  <c r="D3442" i="5"/>
  <c r="D3426" i="5"/>
  <c r="D3410" i="5"/>
  <c r="D3394" i="5"/>
  <c r="D3378" i="5"/>
  <c r="D3703" i="5"/>
  <c r="D3667" i="5"/>
  <c r="D3649" i="5"/>
  <c r="D3627" i="5"/>
  <c r="D3611" i="5"/>
  <c r="D3595" i="5"/>
  <c r="D3579" i="5"/>
  <c r="B3579" i="5" s="1"/>
  <c r="D3563" i="5"/>
  <c r="B3563" i="5" s="1"/>
  <c r="D3547" i="5"/>
  <c r="B3547" i="5" s="1"/>
  <c r="D3531" i="5"/>
  <c r="B3531" i="5" s="1"/>
  <c r="D3515" i="5"/>
  <c r="D3499" i="5"/>
  <c r="B3499" i="5" s="1"/>
  <c r="D3483" i="5"/>
  <c r="D3467" i="5"/>
  <c r="D3451" i="5"/>
  <c r="D3435" i="5"/>
  <c r="D3419" i="5"/>
  <c r="B3419" i="5" s="1"/>
  <c r="D3403" i="5"/>
  <c r="D3387" i="5"/>
  <c r="D3371" i="5"/>
  <c r="D3694" i="5"/>
  <c r="D3670" i="5"/>
  <c r="D3647" i="5"/>
  <c r="D3628" i="5"/>
  <c r="D3612" i="5"/>
  <c r="D3596" i="5"/>
  <c r="D3580" i="5"/>
  <c r="D3564" i="5"/>
  <c r="D3548" i="5"/>
  <c r="D3532" i="5"/>
  <c r="D3516" i="5"/>
  <c r="D3500" i="5"/>
  <c r="D3484" i="5"/>
  <c r="D3468" i="5"/>
  <c r="D3452" i="5"/>
  <c r="D3436" i="5"/>
  <c r="D3420" i="5"/>
  <c r="D3404" i="5"/>
  <c r="D3388" i="5"/>
  <c r="D3372" i="5"/>
  <c r="D3365" i="5"/>
  <c r="D3361" i="5"/>
  <c r="D3357" i="5"/>
  <c r="D3353" i="5"/>
  <c r="D3349" i="5"/>
  <c r="D3345" i="5"/>
  <c r="D3341" i="5"/>
  <c r="D3335" i="5"/>
  <c r="D3319" i="5"/>
  <c r="D3303" i="5"/>
  <c r="D3263" i="5"/>
  <c r="D3247" i="5"/>
  <c r="D3231" i="5"/>
  <c r="D3215" i="5"/>
  <c r="D3199" i="5"/>
  <c r="D3183" i="5"/>
  <c r="D3167" i="5"/>
  <c r="D3151" i="5"/>
  <c r="D3135" i="5"/>
  <c r="D3119" i="5"/>
  <c r="D3103" i="5"/>
  <c r="D3087" i="5"/>
  <c r="D3071" i="5"/>
  <c r="D3055" i="5"/>
  <c r="D3039" i="5"/>
  <c r="D3023" i="5"/>
  <c r="D3326" i="5"/>
  <c r="D3310" i="5"/>
  <c r="D3294" i="5"/>
  <c r="D3286" i="5"/>
  <c r="D3278" i="5"/>
  <c r="D3270" i="5"/>
  <c r="D3256" i="5"/>
  <c r="D3240" i="5"/>
  <c r="D3224" i="5"/>
  <c r="D3208" i="5"/>
  <c r="D3192" i="5"/>
  <c r="D3176" i="5"/>
  <c r="D3160" i="5"/>
  <c r="D3144" i="5"/>
  <c r="D3128" i="5"/>
  <c r="D3112" i="5"/>
  <c r="D3096" i="5"/>
  <c r="D3080" i="5"/>
  <c r="D3064" i="5"/>
  <c r="D3048" i="5"/>
  <c r="D3032" i="5"/>
  <c r="D3337" i="5"/>
  <c r="D3321" i="5"/>
  <c r="D3305" i="5"/>
  <c r="D3261" i="5"/>
  <c r="D3245" i="5"/>
  <c r="D3229" i="5"/>
  <c r="D3213" i="5"/>
  <c r="D3197" i="5"/>
  <c r="D3181" i="5"/>
  <c r="D3165" i="5"/>
  <c r="D3149" i="5"/>
  <c r="D3133" i="5"/>
  <c r="D3117" i="5"/>
  <c r="B3117" i="5" s="1"/>
  <c r="D3101" i="5"/>
  <c r="D3085" i="5"/>
  <c r="B3085" i="5" s="1"/>
  <c r="D3069" i="5"/>
  <c r="D3053" i="5"/>
  <c r="B3053" i="5" s="1"/>
  <c r="D3037" i="5"/>
  <c r="D3021" i="5"/>
  <c r="D3324" i="5"/>
  <c r="D3308" i="5"/>
  <c r="B3308" i="5" s="1"/>
  <c r="D3293" i="5"/>
  <c r="D3285" i="5"/>
  <c r="D3277" i="5"/>
  <c r="D3269" i="5"/>
  <c r="D3254" i="5"/>
  <c r="D3238" i="5"/>
  <c r="D3222" i="5"/>
  <c r="D3206" i="5"/>
  <c r="D3190" i="5"/>
  <c r="D3174" i="5"/>
  <c r="D3158" i="5"/>
  <c r="D3142" i="5"/>
  <c r="D3126" i="5"/>
  <c r="D3110" i="5"/>
  <c r="D3094" i="5"/>
  <c r="D3078" i="5"/>
  <c r="D3062" i="5"/>
  <c r="D3046" i="5"/>
  <c r="D3030" i="5"/>
  <c r="D3017" i="5"/>
  <c r="D3013" i="5"/>
  <c r="D3009" i="5"/>
  <c r="D3005" i="5"/>
  <c r="D3001" i="5"/>
  <c r="D2997" i="5"/>
  <c r="D2993" i="5"/>
  <c r="D2989" i="5"/>
  <c r="D2985" i="5"/>
  <c r="D2976" i="5"/>
  <c r="D2960" i="5"/>
  <c r="D2944" i="5"/>
  <c r="D2928" i="5"/>
  <c r="D2912" i="5"/>
  <c r="D2896" i="5"/>
  <c r="D2880" i="5"/>
  <c r="D2864" i="5"/>
  <c r="D2848" i="5"/>
  <c r="D2832" i="5"/>
  <c r="D2816" i="5"/>
  <c r="D2800" i="5"/>
  <c r="D2784" i="5"/>
  <c r="D2768" i="5"/>
  <c r="D2538" i="5"/>
  <c r="D2522" i="5"/>
  <c r="D2506" i="5"/>
  <c r="D2490" i="5"/>
  <c r="D2474" i="5"/>
  <c r="D2458" i="5"/>
  <c r="D2442" i="5"/>
  <c r="D2426" i="5"/>
  <c r="D2410" i="5"/>
  <c r="D2394" i="5"/>
  <c r="D2378" i="5"/>
  <c r="D2362" i="5"/>
  <c r="D2346" i="5"/>
  <c r="D2330" i="5"/>
  <c r="D2314" i="5"/>
  <c r="D2298" i="5"/>
  <c r="D2282" i="5"/>
  <c r="D2266" i="5"/>
  <c r="D2250" i="5"/>
  <c r="D2234" i="5"/>
  <c r="D2218" i="5"/>
  <c r="B2218" i="5" s="1"/>
  <c r="D2208" i="5"/>
  <c r="D2204" i="5"/>
  <c r="D2200" i="5"/>
  <c r="D2196" i="5"/>
  <c r="D2967" i="5"/>
  <c r="D2951" i="5"/>
  <c r="D2935" i="5"/>
  <c r="D2919" i="5"/>
  <c r="D2903" i="5"/>
  <c r="D2887" i="5"/>
  <c r="D2871" i="5"/>
  <c r="D2855" i="5"/>
  <c r="D2839" i="5"/>
  <c r="D2823" i="5"/>
  <c r="D2807" i="5"/>
  <c r="D2791" i="5"/>
  <c r="D2775" i="5"/>
  <c r="D2761" i="5"/>
  <c r="D2753" i="5"/>
  <c r="D2745" i="5"/>
  <c r="D2737" i="5"/>
  <c r="D2729" i="5"/>
  <c r="D2721" i="5"/>
  <c r="D2713" i="5"/>
  <c r="D2705" i="5"/>
  <c r="D2697" i="5"/>
  <c r="D2689" i="5"/>
  <c r="D2681" i="5"/>
  <c r="D2673" i="5"/>
  <c r="D2665" i="5"/>
  <c r="D2657" i="5"/>
  <c r="D2649" i="5"/>
  <c r="D2641" i="5"/>
  <c r="D2633" i="5"/>
  <c r="D2625" i="5"/>
  <c r="D2617" i="5"/>
  <c r="D2609" i="5"/>
  <c r="D2601" i="5"/>
  <c r="D2593" i="5"/>
  <c r="D2585" i="5"/>
  <c r="D2577" i="5"/>
  <c r="D2569" i="5"/>
  <c r="D2561" i="5"/>
  <c r="D2553" i="5"/>
  <c r="D2543" i="5"/>
  <c r="D2974" i="5"/>
  <c r="D2958" i="5"/>
  <c r="D2942" i="5"/>
  <c r="D2926" i="5"/>
  <c r="D2910" i="5"/>
  <c r="D2894" i="5"/>
  <c r="D2878" i="5"/>
  <c r="D2862" i="5"/>
  <c r="D2846" i="5"/>
  <c r="D2830" i="5"/>
  <c r="D2814" i="5"/>
  <c r="D2798" i="5"/>
  <c r="D2782" i="5"/>
  <c r="D2766" i="5"/>
  <c r="D2532" i="5"/>
  <c r="D2516" i="5"/>
  <c r="D2500" i="5"/>
  <c r="D2484" i="5"/>
  <c r="D2468" i="5"/>
  <c r="D2452" i="5"/>
  <c r="D2436" i="5"/>
  <c r="D2420" i="5"/>
  <c r="D2404" i="5"/>
  <c r="D2388" i="5"/>
  <c r="D2372" i="5"/>
  <c r="B2372" i="5" s="1"/>
  <c r="D2356" i="5"/>
  <c r="D2340" i="5"/>
  <c r="D2324" i="5"/>
  <c r="B2324" i="5" s="1"/>
  <c r="E2323" i="5" s="1" a="1"/>
  <c r="E2323" i="5" s="1"/>
  <c r="D2308" i="5"/>
  <c r="D2292" i="5"/>
  <c r="D2276" i="5"/>
  <c r="D2260" i="5"/>
  <c r="D2244" i="5"/>
  <c r="D2228" i="5"/>
  <c r="D2212" i="5"/>
  <c r="D2969" i="5"/>
  <c r="D2953" i="5"/>
  <c r="D2937" i="5"/>
  <c r="D2921" i="5"/>
  <c r="D2905" i="5"/>
  <c r="D2889" i="5"/>
  <c r="D2873" i="5"/>
  <c r="D2857" i="5"/>
  <c r="D2841" i="5"/>
  <c r="D2825" i="5"/>
  <c r="D2809" i="5"/>
  <c r="D2793" i="5"/>
  <c r="D2777" i="5"/>
  <c r="D2762" i="5"/>
  <c r="D2754" i="5"/>
  <c r="D2746" i="5"/>
  <c r="D2738" i="5"/>
  <c r="D2730" i="5"/>
  <c r="D2722" i="5"/>
  <c r="D2714" i="5"/>
  <c r="D2706" i="5"/>
  <c r="D2698" i="5"/>
  <c r="D2690" i="5"/>
  <c r="D2682" i="5"/>
  <c r="D2674" i="5"/>
  <c r="D2666" i="5"/>
  <c r="D2658" i="5"/>
  <c r="D2650" i="5"/>
  <c r="D2642" i="5"/>
  <c r="D2634" i="5"/>
  <c r="D2626" i="5"/>
  <c r="D2618" i="5"/>
  <c r="D2610" i="5"/>
  <c r="D2602" i="5"/>
  <c r="D2594" i="5"/>
  <c r="D2586" i="5"/>
  <c r="D2578" i="5"/>
  <c r="D2570" i="5"/>
  <c r="D2562" i="5"/>
  <c r="D2554" i="5"/>
  <c r="D2545" i="5"/>
  <c r="D2529" i="5"/>
  <c r="D2513" i="5"/>
  <c r="D2497" i="5"/>
  <c r="D2481" i="5"/>
  <c r="D2465" i="5"/>
  <c r="D2449" i="5"/>
  <c r="D2433" i="5"/>
  <c r="D2417" i="5"/>
  <c r="D2535" i="5"/>
  <c r="D2471" i="5"/>
  <c r="D2407" i="5"/>
  <c r="D2379" i="5"/>
  <c r="D2347" i="5"/>
  <c r="D2315" i="5"/>
  <c r="D2283" i="5"/>
  <c r="D2251" i="5"/>
  <c r="D2219" i="5"/>
  <c r="D2187" i="5"/>
  <c r="D2171" i="5"/>
  <c r="D2155" i="5"/>
  <c r="D2139" i="5"/>
  <c r="D2123" i="5"/>
  <c r="D2107" i="5"/>
  <c r="D2091" i="5"/>
  <c r="D2075" i="5"/>
  <c r="D2059" i="5"/>
  <c r="D2043" i="5"/>
  <c r="D2027" i="5"/>
  <c r="D2011" i="5"/>
  <c r="D1995" i="5"/>
  <c r="D2523" i="5"/>
  <c r="D2459" i="5"/>
  <c r="D2397" i="5"/>
  <c r="D2365" i="5"/>
  <c r="D2333" i="5"/>
  <c r="B2333" i="5" s="1"/>
  <c r="D2301" i="5"/>
  <c r="D2269" i="5"/>
  <c r="D2237" i="5"/>
  <c r="D2192" i="5"/>
  <c r="D2176" i="5"/>
  <c r="D2160" i="5"/>
  <c r="D2144" i="5"/>
  <c r="D2128" i="5"/>
  <c r="D2112" i="5"/>
  <c r="D2096" i="5"/>
  <c r="D2080" i="5"/>
  <c r="D2064" i="5"/>
  <c r="D2048" i="5"/>
  <c r="D2032" i="5"/>
  <c r="D2016" i="5"/>
  <c r="D2511" i="5"/>
  <c r="B2511" i="5" s="1"/>
  <c r="E2510" i="5" s="1" a="1"/>
  <c r="E2510" i="5" s="1"/>
  <c r="D2447" i="5"/>
  <c r="D2391" i="5"/>
  <c r="B2391" i="5" s="1"/>
  <c r="D2359" i="5"/>
  <c r="D2327" i="5"/>
  <c r="D2295" i="5"/>
  <c r="D2263" i="5"/>
  <c r="B2263" i="5" s="1"/>
  <c r="D2231" i="5"/>
  <c r="D2189" i="5"/>
  <c r="D2173" i="5"/>
  <c r="D2157" i="5"/>
  <c r="D2141" i="5"/>
  <c r="D2125" i="5"/>
  <c r="D2109" i="5"/>
  <c r="D2093" i="5"/>
  <c r="D2077" i="5"/>
  <c r="D2061" i="5"/>
  <c r="D2045" i="5"/>
  <c r="D2029" i="5"/>
  <c r="D2013" i="5"/>
  <c r="D2499" i="5"/>
  <c r="D2435" i="5"/>
  <c r="D2385" i="5"/>
  <c r="B2385" i="5" s="1"/>
  <c r="D2353" i="5"/>
  <c r="D2321" i="5"/>
  <c r="D2289" i="5"/>
  <c r="D2257" i="5"/>
  <c r="B2257" i="5" s="1"/>
  <c r="D2225" i="5"/>
  <c r="D2186" i="5"/>
  <c r="D2170" i="5"/>
  <c r="D2154" i="5"/>
  <c r="D2138" i="5"/>
  <c r="D2122" i="5"/>
  <c r="D2106" i="5"/>
  <c r="D2090" i="5"/>
  <c r="D2074" i="5"/>
  <c r="D2058" i="5"/>
  <c r="D2042" i="5"/>
  <c r="D2026" i="5"/>
  <c r="D2010" i="5"/>
  <c r="D1994" i="5"/>
  <c r="D1978" i="5"/>
  <c r="D1962" i="5"/>
  <c r="D1946" i="5"/>
  <c r="B1946" i="5" s="1"/>
  <c r="D1976" i="5"/>
  <c r="D1953" i="5"/>
  <c r="D1936" i="5"/>
  <c r="D1920" i="5"/>
  <c r="D1904" i="5"/>
  <c r="D1888" i="5"/>
  <c r="D1872" i="5"/>
  <c r="D1856" i="5"/>
  <c r="D1840" i="5"/>
  <c r="D1824" i="5"/>
  <c r="D1808" i="5"/>
  <c r="D1792" i="5"/>
  <c r="D1776" i="5"/>
  <c r="D1760" i="5"/>
  <c r="D1744" i="5"/>
  <c r="D1728" i="5"/>
  <c r="D1712" i="5"/>
  <c r="D1696" i="5"/>
  <c r="D1680" i="5"/>
  <c r="D1664" i="5"/>
  <c r="D1648" i="5"/>
  <c r="D1632" i="5"/>
  <c r="D1616" i="5"/>
  <c r="D1600" i="5"/>
  <c r="D1584" i="5"/>
  <c r="D1568" i="5"/>
  <c r="D1555" i="5"/>
  <c r="D1551" i="5"/>
  <c r="D1547" i="5"/>
  <c r="D1543" i="5"/>
  <c r="D1539" i="5"/>
  <c r="D1535" i="5"/>
  <c r="D1531" i="5"/>
  <c r="D1527" i="5"/>
  <c r="D1523" i="5"/>
  <c r="D1519" i="5"/>
  <c r="D1515" i="5"/>
  <c r="D1511" i="5"/>
  <c r="D1507" i="5"/>
  <c r="D1979" i="5"/>
  <c r="D1956" i="5"/>
  <c r="D1937" i="5"/>
  <c r="D1921" i="5"/>
  <c r="D1905" i="5"/>
  <c r="D1889" i="5"/>
  <c r="D1873" i="5"/>
  <c r="D1857" i="5"/>
  <c r="D1841" i="5"/>
  <c r="D1825" i="5"/>
  <c r="D1809" i="5"/>
  <c r="D1793" i="5"/>
  <c r="D1777" i="5"/>
  <c r="D1761" i="5"/>
  <c r="D1745" i="5"/>
  <c r="D1729" i="5"/>
  <c r="D1713" i="5"/>
  <c r="D1697" i="5"/>
  <c r="D1681" i="5"/>
  <c r="D1665" i="5"/>
  <c r="D1649" i="5"/>
  <c r="D1633" i="5"/>
  <c r="D1617" i="5"/>
  <c r="D1601" i="5"/>
  <c r="D1585" i="5"/>
  <c r="D1569" i="5"/>
  <c r="D2005" i="5"/>
  <c r="D1977" i="5"/>
  <c r="D1959" i="5"/>
  <c r="D1938" i="5"/>
  <c r="D1922" i="5"/>
  <c r="D1906" i="5"/>
  <c r="D1890" i="5"/>
  <c r="D1874" i="5"/>
  <c r="D1858" i="5"/>
  <c r="D1842" i="5"/>
  <c r="D1826" i="5"/>
  <c r="D1810" i="5"/>
  <c r="D1794" i="5"/>
  <c r="D1778" i="5"/>
  <c r="D1762" i="5"/>
  <c r="D1746" i="5"/>
  <c r="D1730" i="5"/>
  <c r="D1714" i="5"/>
  <c r="D1698" i="5"/>
  <c r="D1682" i="5"/>
  <c r="D1666" i="5"/>
  <c r="D1650" i="5"/>
  <c r="D1634" i="5"/>
  <c r="D1618" i="5"/>
  <c r="D1602" i="5"/>
  <c r="D1586" i="5"/>
  <c r="D1570" i="5"/>
  <c r="D2004" i="5"/>
  <c r="D1973" i="5"/>
  <c r="D1955" i="5"/>
  <c r="D1935" i="5"/>
  <c r="D1919" i="5"/>
  <c r="D1903" i="5"/>
  <c r="D1887" i="5"/>
  <c r="D1871" i="5"/>
  <c r="D1855" i="5"/>
  <c r="D1839" i="5"/>
  <c r="D1823" i="5"/>
  <c r="D1807" i="5"/>
  <c r="D1791" i="5"/>
  <c r="D1775" i="5"/>
  <c r="D1759" i="5"/>
  <c r="D1743" i="5"/>
  <c r="D1727" i="5"/>
  <c r="D1711" i="5"/>
  <c r="D1695" i="5"/>
  <c r="D1679" i="5"/>
  <c r="D1663" i="5"/>
  <c r="D1647" i="5"/>
  <c r="D1631" i="5"/>
  <c r="D1615" i="5"/>
  <c r="D1599" i="5"/>
  <c r="D1583" i="5"/>
  <c r="D1567" i="5"/>
  <c r="D1500" i="5"/>
  <c r="D1484" i="5"/>
  <c r="D1468" i="5"/>
  <c r="D1452" i="5"/>
  <c r="D1436" i="5"/>
  <c r="D1420" i="5"/>
  <c r="D1404" i="5"/>
  <c r="D1388" i="5"/>
  <c r="D1372" i="5"/>
  <c r="D1356" i="5"/>
  <c r="D1340" i="5"/>
  <c r="D1324" i="5"/>
  <c r="D1308" i="5"/>
  <c r="B1308" i="5" s="1"/>
  <c r="D1292" i="5"/>
  <c r="D1276" i="5"/>
  <c r="B1276" i="5" s="1"/>
  <c r="D1260" i="5"/>
  <c r="D1244" i="5"/>
  <c r="D1228" i="5"/>
  <c r="D1212" i="5"/>
  <c r="D1196" i="5"/>
  <c r="D1180" i="5"/>
  <c r="D1164" i="5"/>
  <c r="D1148" i="5"/>
  <c r="D1132" i="5"/>
  <c r="D1116" i="5"/>
  <c r="D1100" i="5"/>
  <c r="D1084" i="5"/>
  <c r="D1068" i="5"/>
  <c r="D1052" i="5"/>
  <c r="B1052" i="5" s="1"/>
  <c r="D1036" i="5"/>
  <c r="D1020" i="5"/>
  <c r="B1020" i="5" s="1"/>
  <c r="D1004" i="5"/>
  <c r="D988" i="5"/>
  <c r="D972" i="5"/>
  <c r="D956" i="5"/>
  <c r="D941" i="5"/>
  <c r="D933" i="5"/>
  <c r="D925" i="5"/>
  <c r="D917" i="5"/>
  <c r="D909" i="5"/>
  <c r="D901" i="5"/>
  <c r="D893" i="5"/>
  <c r="D885" i="5"/>
  <c r="D877" i="5"/>
  <c r="D869" i="5"/>
  <c r="D861" i="5"/>
  <c r="D853" i="5"/>
  <c r="D845" i="5"/>
  <c r="D837" i="5"/>
  <c r="D829" i="5"/>
  <c r="D821" i="5"/>
  <c r="D813" i="5"/>
  <c r="D800" i="5"/>
  <c r="D784" i="5"/>
  <c r="D768" i="5"/>
  <c r="D744" i="5"/>
  <c r="D708" i="5"/>
  <c r="D676" i="5"/>
  <c r="D640" i="5"/>
  <c r="D604" i="5"/>
  <c r="D572" i="5"/>
  <c r="B572" i="5" s="1"/>
  <c r="D540" i="5"/>
  <c r="D471" i="5"/>
  <c r="D458" i="5"/>
  <c r="B458" i="5" s="1"/>
  <c r="D446" i="5"/>
  <c r="B446" i="5" s="1"/>
  <c r="E445" i="5" s="1" a="1"/>
  <c r="E445" i="5" s="1"/>
  <c r="D435" i="5"/>
  <c r="D423" i="5"/>
  <c r="B423" i="5" s="1"/>
  <c r="D411" i="5"/>
  <c r="D400" i="5"/>
  <c r="D387" i="5"/>
  <c r="D376" i="5"/>
  <c r="D364" i="5"/>
  <c r="D352" i="5"/>
  <c r="D340" i="5"/>
  <c r="D329" i="5"/>
  <c r="D317" i="5"/>
  <c r="D306" i="5"/>
  <c r="D295" i="5"/>
  <c r="B295" i="5" s="1"/>
  <c r="D284" i="5"/>
  <c r="B284" i="5" s="1"/>
  <c r="E283" i="5" s="1" a="1"/>
  <c r="E283" i="5" s="1"/>
  <c r="D271" i="5"/>
  <c r="B271" i="5" s="1"/>
  <c r="D256" i="5"/>
  <c r="D239" i="5"/>
  <c r="D223" i="5"/>
  <c r="D207" i="5"/>
  <c r="D193" i="5"/>
  <c r="D176" i="5"/>
  <c r="D160" i="5"/>
  <c r="D145" i="5"/>
  <c r="D130" i="5"/>
  <c r="D113" i="5"/>
  <c r="D98" i="5"/>
  <c r="D82" i="5"/>
  <c r="D68" i="5"/>
  <c r="D51" i="5"/>
  <c r="B51" i="5" s="1"/>
  <c r="D1495" i="5"/>
  <c r="D1479" i="5"/>
  <c r="D1463" i="5"/>
  <c r="D1447" i="5"/>
  <c r="D1431" i="5"/>
  <c r="D1415" i="5"/>
  <c r="D1399" i="5"/>
  <c r="D1383" i="5"/>
  <c r="D1367" i="5"/>
  <c r="D1351" i="5"/>
  <c r="D1335" i="5"/>
  <c r="D1319" i="5"/>
  <c r="D1303" i="5"/>
  <c r="D1287" i="5"/>
  <c r="D1271" i="5"/>
  <c r="D1255" i="5"/>
  <c r="D1239" i="5"/>
  <c r="D1223" i="5"/>
  <c r="D1207" i="5"/>
  <c r="D1191" i="5"/>
  <c r="D1175" i="5"/>
  <c r="D1159" i="5"/>
  <c r="D1143" i="5"/>
  <c r="D1127" i="5"/>
  <c r="D1111" i="5"/>
  <c r="D1095" i="5"/>
  <c r="D1079" i="5"/>
  <c r="D1063" i="5"/>
  <c r="D1047" i="5"/>
  <c r="D1031" i="5"/>
  <c r="D1015" i="5"/>
  <c r="D999" i="5"/>
  <c r="D983" i="5"/>
  <c r="D967" i="5"/>
  <c r="D951" i="5"/>
  <c r="D805" i="5"/>
  <c r="D789" i="5"/>
  <c r="D773" i="5"/>
  <c r="D757" i="5"/>
  <c r="D741" i="5"/>
  <c r="D725" i="5"/>
  <c r="D709" i="5"/>
  <c r="D693" i="5"/>
  <c r="D677" i="5"/>
  <c r="B677" i="5" s="1"/>
  <c r="D661" i="5"/>
  <c r="D645" i="5"/>
  <c r="D629" i="5"/>
  <c r="D613" i="5"/>
  <c r="D597" i="5"/>
  <c r="D581" i="5"/>
  <c r="D565" i="5"/>
  <c r="D549" i="5"/>
  <c r="D533" i="5"/>
  <c r="B533" i="5" s="1"/>
  <c r="D517" i="5"/>
  <c r="D510" i="5"/>
  <c r="D506" i="5"/>
  <c r="D502" i="5"/>
  <c r="D498" i="5"/>
  <c r="D494" i="5"/>
  <c r="D490" i="5"/>
  <c r="D486" i="5"/>
  <c r="D482" i="5"/>
  <c r="D478" i="5"/>
  <c r="D472" i="5"/>
  <c r="D460" i="5"/>
  <c r="D447" i="5"/>
  <c r="D434" i="5"/>
  <c r="D421" i="5"/>
  <c r="D409" i="5"/>
  <c r="D395" i="5"/>
  <c r="D383" i="5"/>
  <c r="D369" i="5"/>
  <c r="D356" i="5"/>
  <c r="B356" i="5" s="1"/>
  <c r="D344" i="5"/>
  <c r="B344" i="5" s="1"/>
  <c r="D331" i="5"/>
  <c r="D318" i="5"/>
  <c r="D305" i="5"/>
  <c r="D292" i="5"/>
  <c r="D280" i="5"/>
  <c r="D264" i="5"/>
  <c r="D246" i="5"/>
  <c r="D230" i="5"/>
  <c r="D213" i="5"/>
  <c r="D196" i="5"/>
  <c r="D179" i="5"/>
  <c r="D161" i="5"/>
  <c r="D144" i="5"/>
  <c r="D127" i="5"/>
  <c r="D110" i="5"/>
  <c r="D93" i="5"/>
  <c r="D76" i="5"/>
  <c r="D58" i="5"/>
  <c r="B58" i="5" s="1"/>
  <c r="D1506" i="5"/>
  <c r="B1506" i="5" s="1"/>
  <c r="D1490" i="5"/>
  <c r="B1490" i="5" s="1"/>
  <c r="D1474" i="5"/>
  <c r="B1474" i="5" s="1"/>
  <c r="D1458" i="5"/>
  <c r="B1458" i="5" s="1"/>
  <c r="D1442" i="5"/>
  <c r="B1442" i="5" s="1"/>
  <c r="D1426" i="5"/>
  <c r="B1426" i="5" s="1"/>
  <c r="D1410" i="5"/>
  <c r="B1410" i="5" s="1"/>
  <c r="D1394" i="5"/>
  <c r="B1394" i="5" s="1"/>
  <c r="D1378" i="5"/>
  <c r="B1378" i="5" s="1"/>
  <c r="D1362" i="5"/>
  <c r="B1362" i="5" s="1"/>
  <c r="D1346" i="5"/>
  <c r="B1346" i="5" s="1"/>
  <c r="D1330" i="5"/>
  <c r="B1330" i="5" s="1"/>
  <c r="D1314" i="5"/>
  <c r="B1314" i="5" s="1"/>
  <c r="D1298" i="5"/>
  <c r="B1298" i="5" s="1"/>
  <c r="D1282" i="5"/>
  <c r="B1282" i="5" s="1"/>
  <c r="D1266" i="5"/>
  <c r="B1266" i="5" s="1"/>
  <c r="D1250" i="5"/>
  <c r="B1250" i="5" s="1"/>
  <c r="D1234" i="5"/>
  <c r="B1234" i="5" s="1"/>
  <c r="D1218" i="5"/>
  <c r="B1218" i="5" s="1"/>
  <c r="D1202" i="5"/>
  <c r="B1202" i="5" s="1"/>
  <c r="D1186" i="5"/>
  <c r="B1186" i="5" s="1"/>
  <c r="D1170" i="5"/>
  <c r="B1170" i="5" s="1"/>
  <c r="D1154" i="5"/>
  <c r="B1154" i="5" s="1"/>
  <c r="D1138" i="5"/>
  <c r="B1138" i="5" s="1"/>
  <c r="D1122" i="5"/>
  <c r="B1122" i="5" s="1"/>
  <c r="D1106" i="5"/>
  <c r="B1106" i="5" s="1"/>
  <c r="D1090" i="5"/>
  <c r="B1090" i="5" s="1"/>
  <c r="D1074" i="5"/>
  <c r="B1074" i="5" s="1"/>
  <c r="D1058" i="5"/>
  <c r="B1058" i="5" s="1"/>
  <c r="D1042" i="5"/>
  <c r="B1042" i="5" s="1"/>
  <c r="D1026" i="5"/>
  <c r="B1026" i="5" s="1"/>
  <c r="D1010" i="5"/>
  <c r="B1010" i="5" s="1"/>
  <c r="D994" i="5"/>
  <c r="B994" i="5" s="1"/>
  <c r="D978" i="5"/>
  <c r="B978" i="5" s="1"/>
  <c r="D962" i="5"/>
  <c r="B962" i="5" s="1"/>
  <c r="D946" i="5"/>
  <c r="B946" i="5" s="1"/>
  <c r="D936" i="5"/>
  <c r="D928" i="5"/>
  <c r="D920" i="5"/>
  <c r="B920" i="5" s="1"/>
  <c r="D912" i="5"/>
  <c r="D904" i="5"/>
  <c r="B904" i="5" s="1"/>
  <c r="D896" i="5"/>
  <c r="D888" i="5"/>
  <c r="B888" i="5" s="1"/>
  <c r="D880" i="5"/>
  <c r="D872" i="5"/>
  <c r="B872" i="5" s="1"/>
  <c r="D864" i="5"/>
  <c r="D856" i="5"/>
  <c r="D848" i="5"/>
  <c r="D840" i="5"/>
  <c r="D832" i="5"/>
  <c r="D824" i="5"/>
  <c r="D816" i="5"/>
  <c r="D806" i="5"/>
  <c r="D790" i="5"/>
  <c r="D774" i="5"/>
  <c r="D758" i="5"/>
  <c r="D742" i="5"/>
  <c r="D726" i="5"/>
  <c r="D710" i="5"/>
  <c r="D694" i="5"/>
  <c r="D678" i="5"/>
  <c r="D662" i="5"/>
  <c r="D646" i="5"/>
  <c r="D630" i="5"/>
  <c r="D614" i="5"/>
  <c r="D598" i="5"/>
  <c r="D582" i="5"/>
  <c r="D566" i="5"/>
  <c r="D550" i="5"/>
  <c r="D534" i="5"/>
  <c r="D518" i="5"/>
  <c r="D266" i="5"/>
  <c r="D249" i="5"/>
  <c r="D233" i="5"/>
  <c r="D216" i="5"/>
  <c r="D199" i="5"/>
  <c r="D183" i="5"/>
  <c r="D166" i="5"/>
  <c r="D150" i="5"/>
  <c r="D132" i="5"/>
  <c r="D116" i="5"/>
  <c r="D100" i="5"/>
  <c r="D83" i="5"/>
  <c r="D65" i="5"/>
  <c r="B65" i="5" s="1"/>
  <c r="D49" i="5"/>
  <c r="B49" i="5" s="1"/>
  <c r="E48" i="5" s="1" a="1"/>
  <c r="E48" i="5" s="1"/>
  <c r="D1497" i="5"/>
  <c r="D1481" i="5"/>
  <c r="D1465" i="5"/>
  <c r="D1449" i="5"/>
  <c r="D1433" i="5"/>
  <c r="D1417" i="5"/>
  <c r="D1401" i="5"/>
  <c r="D1385" i="5"/>
  <c r="D1369" i="5"/>
  <c r="D1353" i="5"/>
  <c r="D1337" i="5"/>
  <c r="D1321" i="5"/>
  <c r="D1305" i="5"/>
  <c r="D1289" i="5"/>
  <c r="D1273" i="5"/>
  <c r="D1257" i="5"/>
  <c r="D1241" i="5"/>
  <c r="D1225" i="5"/>
  <c r="D1209" i="5"/>
  <c r="D1193" i="5"/>
  <c r="D1177" i="5"/>
  <c r="D1161" i="5"/>
  <c r="D1145" i="5"/>
  <c r="D1129" i="5"/>
  <c r="D1113" i="5"/>
  <c r="D1097" i="5"/>
  <c r="D1081" i="5"/>
  <c r="D1065" i="5"/>
  <c r="D1049" i="5"/>
  <c r="D1033" i="5"/>
  <c r="D1017" i="5"/>
  <c r="D1001" i="5"/>
  <c r="D985" i="5"/>
  <c r="D969" i="5"/>
  <c r="D953" i="5"/>
  <c r="D803" i="5"/>
  <c r="D787" i="5"/>
  <c r="D771" i="5"/>
  <c r="D755" i="5"/>
  <c r="D739" i="5"/>
  <c r="D723" i="5"/>
  <c r="D707" i="5"/>
  <c r="D691" i="5"/>
  <c r="D675" i="5"/>
  <c r="D659" i="5"/>
  <c r="D643" i="5"/>
  <c r="D627" i="5"/>
  <c r="D611" i="5"/>
  <c r="D595" i="5"/>
  <c r="D579" i="5"/>
  <c r="D563" i="5"/>
  <c r="D547" i="5"/>
  <c r="D531" i="5"/>
  <c r="D515" i="5"/>
  <c r="D740" i="5"/>
  <c r="D712" i="5"/>
  <c r="B712" i="5" s="1"/>
  <c r="D680" i="5"/>
  <c r="D652" i="5"/>
  <c r="D620" i="5"/>
  <c r="B620" i="5" s="1"/>
  <c r="D592" i="5"/>
  <c r="D560" i="5"/>
  <c r="D528" i="5"/>
  <c r="B528" i="5" s="1"/>
  <c r="D470" i="5"/>
  <c r="D459" i="5"/>
  <c r="D448" i="5"/>
  <c r="B448" i="5" s="1"/>
  <c r="D436" i="5"/>
  <c r="D425" i="5"/>
  <c r="D413" i="5"/>
  <c r="D401" i="5"/>
  <c r="D390" i="5"/>
  <c r="D380" i="5"/>
  <c r="D368" i="5"/>
  <c r="D357" i="5"/>
  <c r="D345" i="5"/>
  <c r="D333" i="5"/>
  <c r="D321" i="5"/>
  <c r="D310" i="5"/>
  <c r="D297" i="5"/>
  <c r="D285" i="5"/>
  <c r="D272" i="5"/>
  <c r="D257" i="5"/>
  <c r="D243" i="5"/>
  <c r="D228" i="5"/>
  <c r="D214" i="5"/>
  <c r="D198" i="5"/>
  <c r="D185" i="5"/>
  <c r="D169" i="5"/>
  <c r="D155" i="5"/>
  <c r="B155" i="5" s="1"/>
  <c r="D139" i="5"/>
  <c r="D126" i="5"/>
  <c r="D111" i="5"/>
  <c r="D95" i="5"/>
  <c r="D81" i="5"/>
  <c r="D66" i="5"/>
  <c r="D52" i="5"/>
  <c r="B52" i="5" s="1"/>
  <c r="E51" i="5" s="1" a="1"/>
  <c r="E51" i="5" s="1"/>
  <c r="G9" i="5"/>
  <c r="H15" i="3"/>
  <c r="T14" i="3"/>
  <c r="S14" i="3"/>
  <c r="T13" i="3"/>
  <c r="S13" i="3"/>
  <c r="T12" i="3"/>
  <c r="S12" i="3"/>
  <c r="T11" i="3"/>
  <c r="S11" i="3"/>
  <c r="T10" i="3"/>
  <c r="S10" i="3"/>
  <c r="T9" i="3"/>
  <c r="S9" i="3"/>
  <c r="H9" i="3"/>
  <c r="T8" i="3"/>
  <c r="S8" i="3"/>
  <c r="T7" i="3"/>
  <c r="S7" i="3"/>
  <c r="T6" i="3"/>
  <c r="S6" i="3"/>
  <c r="H6" i="3"/>
  <c r="T5" i="3"/>
  <c r="S5" i="3"/>
  <c r="T4" i="3"/>
  <c r="S4" i="3"/>
  <c r="T3" i="3"/>
  <c r="S3" i="3"/>
  <c r="E1" i="3"/>
  <c r="E51" i="4"/>
  <c r="B51" i="4"/>
  <c r="T49" i="4"/>
  <c r="S49" i="4"/>
  <c r="T48" i="4"/>
  <c r="S48" i="4"/>
  <c r="T47" i="4"/>
  <c r="S47" i="4"/>
  <c r="T46" i="4"/>
  <c r="S46" i="4"/>
  <c r="T45" i="4"/>
  <c r="S45" i="4"/>
  <c r="T44" i="4"/>
  <c r="S44" i="4"/>
  <c r="T43" i="4"/>
  <c r="S43" i="4"/>
  <c r="T42" i="4"/>
  <c r="S42" i="4"/>
  <c r="T41" i="4"/>
  <c r="S41" i="4"/>
  <c r="T40" i="4"/>
  <c r="S40" i="4"/>
  <c r="T39" i="4"/>
  <c r="S39" i="4"/>
  <c r="T38" i="4"/>
  <c r="S38" i="4"/>
  <c r="T37" i="4"/>
  <c r="S37" i="4"/>
  <c r="T36" i="4"/>
  <c r="S36" i="4"/>
  <c r="T35" i="4"/>
  <c r="S35" i="4"/>
  <c r="T34" i="4"/>
  <c r="S34" i="4"/>
  <c r="T33" i="4"/>
  <c r="S33" i="4"/>
  <c r="T32" i="4"/>
  <c r="S32" i="4"/>
  <c r="T31" i="4"/>
  <c r="S31" i="4"/>
  <c r="T30" i="4"/>
  <c r="S30" i="4"/>
  <c r="T29" i="4"/>
  <c r="S29" i="4"/>
  <c r="T28" i="4"/>
  <c r="S28" i="4"/>
  <c r="T27" i="4"/>
  <c r="S27" i="4"/>
  <c r="T26" i="4"/>
  <c r="S26" i="4"/>
  <c r="T25" i="4"/>
  <c r="S25" i="4"/>
  <c r="T24" i="4"/>
  <c r="S24" i="4"/>
  <c r="Q24" i="4"/>
  <c r="M24" i="4" s="1"/>
  <c r="T23" i="4"/>
  <c r="S23" i="4"/>
  <c r="Q23" i="4"/>
  <c r="M23" i="4" s="1"/>
  <c r="T22" i="4"/>
  <c r="S22" i="4"/>
  <c r="Q22" i="4"/>
  <c r="M22" i="4" s="1"/>
  <c r="T21" i="4"/>
  <c r="S21" i="4"/>
  <c r="Q21" i="4"/>
  <c r="M21" i="4" s="1"/>
  <c r="T20" i="4"/>
  <c r="S20" i="4"/>
  <c r="Q20" i="4"/>
  <c r="M20" i="4" s="1"/>
  <c r="T19" i="4"/>
  <c r="S19" i="4"/>
  <c r="Q19" i="4"/>
  <c r="M19" i="4" s="1"/>
  <c r="T18" i="4"/>
  <c r="S18" i="4"/>
  <c r="T17" i="4"/>
  <c r="S17" i="4"/>
  <c r="T16" i="4"/>
  <c r="S16" i="4"/>
  <c r="T15" i="4"/>
  <c r="S15" i="4"/>
  <c r="K22" i="4"/>
  <c r="K19" i="4"/>
  <c r="K24" i="4"/>
  <c r="K23" i="4"/>
  <c r="K20" i="4"/>
  <c r="K21" i="4"/>
  <c r="E3562" i="5" l="1" a="1"/>
  <c r="E3562" i="5" s="1"/>
  <c r="B972" i="5"/>
  <c r="B1228" i="5"/>
  <c r="B1484" i="5"/>
  <c r="B2468" i="5"/>
  <c r="E2467" i="5" s="1" a="1"/>
  <c r="E2467" i="5" s="1"/>
  <c r="B3261" i="5"/>
  <c r="B398" i="5"/>
  <c r="B4118" i="5"/>
  <c r="B4554" i="5"/>
  <c r="B190" i="5"/>
  <c r="B848" i="5"/>
  <c r="B2346" i="5"/>
  <c r="B3326" i="5"/>
  <c r="B2312" i="5"/>
  <c r="E2311" i="5" s="1" a="1"/>
  <c r="E2311" i="5" s="1"/>
  <c r="B2891" i="5"/>
  <c r="B3962" i="5"/>
  <c r="B3793" i="5"/>
  <c r="B44" i="5"/>
  <c r="B43" i="5" s="1"/>
  <c r="B2907" i="5"/>
  <c r="B3978" i="5"/>
  <c r="B3809" i="5"/>
  <c r="B3934" i="5"/>
  <c r="B380" i="5"/>
  <c r="B3451" i="5"/>
  <c r="B4784" i="5"/>
  <c r="B2100" i="5"/>
  <c r="B2893" i="5"/>
  <c r="B3043" i="5"/>
  <c r="B2056" i="5"/>
  <c r="B400" i="5"/>
  <c r="B3467" i="5"/>
  <c r="B2116" i="5"/>
  <c r="B2909" i="5"/>
  <c r="B3059" i="5"/>
  <c r="B4967" i="5"/>
  <c r="B2072" i="5"/>
  <c r="B592" i="5"/>
  <c r="B333" i="5"/>
  <c r="B999" i="5"/>
  <c r="B1255" i="5"/>
  <c r="B784" i="5"/>
  <c r="B1976" i="5"/>
  <c r="B1994" i="5"/>
  <c r="B2433" i="5"/>
  <c r="B2497" i="5"/>
  <c r="B2212" i="5"/>
  <c r="B2532" i="5"/>
  <c r="B3955" i="5"/>
  <c r="B3766" i="5"/>
  <c r="B3969" i="5"/>
  <c r="B4051" i="5"/>
  <c r="B4046" i="5"/>
  <c r="B4229" i="5"/>
  <c r="B4284" i="5"/>
  <c r="B4348" i="5"/>
  <c r="B4343" i="5"/>
  <c r="B4675" i="5"/>
  <c r="B834" i="5"/>
  <c r="B866" i="5"/>
  <c r="B898" i="5"/>
  <c r="B982" i="5"/>
  <c r="B1046" i="5"/>
  <c r="B1174" i="5"/>
  <c r="B1238" i="5"/>
  <c r="B1302" i="5"/>
  <c r="B1430" i="5"/>
  <c r="B1494" i="5"/>
  <c r="B97" i="5"/>
  <c r="B274" i="5"/>
  <c r="B1008" i="5"/>
  <c r="B1264" i="5"/>
  <c r="B1966" i="5"/>
  <c r="B2227" i="5"/>
  <c r="B3296" i="5"/>
  <c r="B3041" i="5"/>
  <c r="B3233" i="5"/>
  <c r="B3298" i="5"/>
  <c r="B3702" i="5"/>
  <c r="B3423" i="5"/>
  <c r="B3487" i="5"/>
  <c r="B3551" i="5"/>
  <c r="B4034" i="5"/>
  <c r="B3910" i="5"/>
  <c r="B4108" i="5"/>
  <c r="B4544" i="5"/>
  <c r="B4608" i="5"/>
  <c r="B4756" i="5"/>
  <c r="B4908" i="5"/>
  <c r="B812" i="5"/>
  <c r="B844" i="5"/>
  <c r="B876" i="5"/>
  <c r="B940" i="5"/>
  <c r="B964" i="5"/>
  <c r="B1156" i="5"/>
  <c r="B1220" i="5"/>
  <c r="B1412" i="5"/>
  <c r="B1476" i="5"/>
  <c r="B2305" i="5"/>
  <c r="B2311" i="5"/>
  <c r="B3061" i="5"/>
  <c r="B3189" i="5"/>
  <c r="B3253" i="5"/>
  <c r="B3318" i="5"/>
  <c r="B4111" i="5"/>
  <c r="B4500" i="5"/>
  <c r="B4564" i="5"/>
  <c r="B4628" i="5"/>
  <c r="B4776" i="5"/>
  <c r="B4874" i="5"/>
  <c r="B547" i="5"/>
  <c r="B675" i="5"/>
  <c r="B803" i="5"/>
  <c r="B1001" i="5"/>
  <c r="B1065" i="5"/>
  <c r="B1193" i="5"/>
  <c r="B1257" i="5"/>
  <c r="B1321" i="5"/>
  <c r="B1449" i="5"/>
  <c r="B249" i="5"/>
  <c r="B179" i="5"/>
  <c r="B409" i="5"/>
  <c r="B502" i="5"/>
  <c r="B597" i="5"/>
  <c r="B821" i="5"/>
  <c r="B853" i="5"/>
  <c r="B917" i="5"/>
  <c r="B1583" i="5"/>
  <c r="B1647" i="5"/>
  <c r="B1711" i="5"/>
  <c r="B1775" i="5"/>
  <c r="B1839" i="5"/>
  <c r="B1903" i="5"/>
  <c r="B1511" i="5"/>
  <c r="B1543" i="5"/>
  <c r="B2042" i="5"/>
  <c r="B2170" i="5"/>
  <c r="B2109" i="5"/>
  <c r="B2577" i="5"/>
  <c r="B2641" i="5"/>
  <c r="B2705" i="5"/>
  <c r="B2800" i="5"/>
  <c r="B2864" i="5"/>
  <c r="B2928" i="5"/>
  <c r="B2985" i="5"/>
  <c r="B3017" i="5"/>
  <c r="B3078" i="5"/>
  <c r="B3142" i="5"/>
  <c r="B3269" i="5"/>
  <c r="B3144" i="5"/>
  <c r="B3208" i="5"/>
  <c r="B3731" i="5"/>
  <c r="B3795" i="5"/>
  <c r="B3859" i="5"/>
  <c r="B4081" i="5"/>
  <c r="B4209" i="5"/>
  <c r="B4130" i="5"/>
  <c r="B4184" i="5"/>
  <c r="B4386" i="5"/>
  <c r="B4805" i="5"/>
  <c r="B4796" i="5"/>
  <c r="B4855" i="5"/>
  <c r="B393" i="5"/>
  <c r="B2836" i="5"/>
  <c r="B2964" i="5"/>
  <c r="B3050" i="5"/>
  <c r="B3178" i="5"/>
  <c r="B3052" i="5"/>
  <c r="E3052" i="5" s="1" a="1"/>
  <c r="E3052" i="5" s="1"/>
  <c r="B3180" i="5"/>
  <c r="B3722" i="5"/>
  <c r="B3786" i="5"/>
  <c r="B4000" i="5"/>
  <c r="B3921" i="5"/>
  <c r="B4219" i="5"/>
  <c r="B4326" i="5"/>
  <c r="B4358" i="5"/>
  <c r="B4289" i="5"/>
  <c r="B4321" i="5"/>
  <c r="B4353" i="5"/>
  <c r="B4684" i="5"/>
  <c r="B4695" i="5"/>
  <c r="B362" i="5"/>
  <c r="B1103" i="5"/>
  <c r="B1167" i="5"/>
  <c r="B1359" i="5"/>
  <c r="B1423" i="5"/>
  <c r="B3692" i="5"/>
  <c r="B4009" i="5"/>
  <c r="E4009" i="5" s="1" a="1"/>
  <c r="E4009" i="5" s="1"/>
  <c r="B4066" i="5"/>
  <c r="B4239" i="5"/>
  <c r="B4267" i="5"/>
  <c r="B4299" i="5"/>
  <c r="B4331" i="5"/>
  <c r="B4420" i="5"/>
  <c r="B4704" i="5"/>
  <c r="B4636" i="5"/>
  <c r="B413" i="5"/>
  <c r="B2260" i="5"/>
  <c r="E2259" i="5" s="1" a="1"/>
  <c r="E2259" i="5" s="1"/>
  <c r="B2452" i="5"/>
  <c r="B3442" i="5"/>
  <c r="B3506" i="5"/>
  <c r="B4189" i="5"/>
  <c r="B386" i="5"/>
  <c r="B761" i="5"/>
  <c r="B955" i="5"/>
  <c r="B1147" i="5"/>
  <c r="B1211" i="5"/>
  <c r="B1403" i="5"/>
  <c r="B1467" i="5"/>
  <c r="B2903" i="5"/>
  <c r="E2902" i="5" s="1" a="1"/>
  <c r="E2902" i="5" s="1"/>
  <c r="B3055" i="5"/>
  <c r="B3183" i="5"/>
  <c r="B4438" i="5"/>
  <c r="B4566" i="5"/>
  <c r="B5043" i="5"/>
  <c r="B871" i="5"/>
  <c r="E871" i="5" s="1" a="1"/>
  <c r="E871" i="5" s="1"/>
  <c r="B935" i="5"/>
  <c r="B563" i="5"/>
  <c r="B1515" i="5"/>
  <c r="B2058" i="5"/>
  <c r="B2189" i="5"/>
  <c r="B2617" i="5"/>
  <c r="B2649" i="5"/>
  <c r="B2745" i="5"/>
  <c r="B2196" i="5"/>
  <c r="B2282" i="5"/>
  <c r="B2880" i="5"/>
  <c r="B2989" i="5"/>
  <c r="B3094" i="5"/>
  <c r="B3222" i="5"/>
  <c r="E3221" i="5" s="1" a="1"/>
  <c r="E3221" i="5" s="1"/>
  <c r="B3277" i="5"/>
  <c r="B3096" i="5"/>
  <c r="B3224" i="5"/>
  <c r="B3357" i="5"/>
  <c r="B3649" i="5"/>
  <c r="B3811" i="5"/>
  <c r="B4251" i="5"/>
  <c r="E4250" i="5" s="1" a="1"/>
  <c r="E4250" i="5" s="1"/>
  <c r="B4225" i="5"/>
  <c r="B4689" i="5"/>
  <c r="B4824" i="5"/>
  <c r="B4879" i="5"/>
  <c r="B4927" i="5"/>
  <c r="B4893" i="5"/>
  <c r="B4946" i="5"/>
  <c r="B5025" i="5"/>
  <c r="B261" i="5"/>
  <c r="B313" i="5"/>
  <c r="B2788" i="5"/>
  <c r="B2852" i="5"/>
  <c r="E2851" i="5" s="1" a="1"/>
  <c r="E2851" i="5" s="1"/>
  <c r="B3066" i="5"/>
  <c r="B3258" i="5"/>
  <c r="B3132" i="5"/>
  <c r="B3196" i="5"/>
  <c r="E3195" i="5" s="1" a="1"/>
  <c r="E3195" i="5" s="1"/>
  <c r="B3738" i="5"/>
  <c r="B3866" i="5"/>
  <c r="B4069" i="5"/>
  <c r="B4302" i="5"/>
  <c r="B4366" i="5"/>
  <c r="B4711" i="5"/>
  <c r="B3386" i="5"/>
  <c r="B3450" i="5"/>
  <c r="E3449" i="5" s="1" a="1"/>
  <c r="E3449" i="5" s="1"/>
  <c r="B3644" i="5"/>
  <c r="B3961" i="5"/>
  <c r="B4074" i="5"/>
  <c r="B4307" i="5"/>
  <c r="B4371" i="5"/>
  <c r="E4370" i="5" s="1" a="1"/>
  <c r="E4370" i="5" s="1"/>
  <c r="B4920" i="5"/>
  <c r="B2435" i="5"/>
  <c r="B2301" i="5"/>
  <c r="B2777" i="5"/>
  <c r="B2905" i="5"/>
  <c r="B2775" i="5"/>
  <c r="E2774" i="5" s="1" a="1"/>
  <c r="E2774" i="5" s="1"/>
  <c r="B2522" i="5"/>
  <c r="B3805" i="5"/>
  <c r="B4714" i="5"/>
  <c r="B3434" i="5"/>
  <c r="B3562" i="5"/>
  <c r="B4982" i="5"/>
  <c r="B470" i="5"/>
  <c r="B755" i="5"/>
  <c r="B1017" i="5"/>
  <c r="B1145" i="5"/>
  <c r="E1144" i="5" s="1" a="1"/>
  <c r="E1144" i="5" s="1"/>
  <c r="B1273" i="5"/>
  <c r="B1401" i="5"/>
  <c r="B196" i="5"/>
  <c r="B829" i="5"/>
  <c r="E828" i="5" s="1" a="1"/>
  <c r="E828" i="5" s="1"/>
  <c r="B893" i="5"/>
  <c r="B1663" i="5"/>
  <c r="B1791" i="5"/>
  <c r="B1919" i="5"/>
  <c r="B243" i="5"/>
  <c r="B390" i="5"/>
  <c r="E389" i="5" s="1" a="1"/>
  <c r="E389" i="5" s="1"/>
  <c r="B969" i="5"/>
  <c r="B1033" i="5"/>
  <c r="B1225" i="5"/>
  <c r="B1289" i="5"/>
  <c r="B1481" i="5"/>
  <c r="B76" i="5"/>
  <c r="B193" i="5"/>
  <c r="B1615" i="5"/>
  <c r="B1679" i="5"/>
  <c r="B1871" i="5"/>
  <c r="B1935" i="5"/>
  <c r="B2471" i="5"/>
  <c r="B2513" i="5"/>
  <c r="B2484" i="5"/>
  <c r="B3763" i="5"/>
  <c r="B3827" i="5"/>
  <c r="B3782" i="5"/>
  <c r="B4324" i="5"/>
  <c r="B4162" i="5"/>
  <c r="B4088" i="5"/>
  <c r="B4765" i="5"/>
  <c r="B4897" i="5"/>
  <c r="B938" i="5"/>
  <c r="B998" i="5"/>
  <c r="B1126" i="5"/>
  <c r="E1125" i="5" s="1" a="1"/>
  <c r="E1125" i="5" s="1"/>
  <c r="B1254" i="5"/>
  <c r="B1382" i="5"/>
  <c r="B3375" i="5"/>
  <c r="B3503" i="5"/>
  <c r="B3631" i="5"/>
  <c r="B5006" i="5"/>
  <c r="B852" i="5"/>
  <c r="B2540" i="5"/>
  <c r="B368" i="5"/>
  <c r="B305" i="5"/>
  <c r="B1175" i="5"/>
  <c r="E1174" i="5" s="1" a="1"/>
  <c r="E1174" i="5" s="1"/>
  <c r="B1431" i="5"/>
  <c r="B640" i="5"/>
  <c r="B768" i="5"/>
  <c r="B1953" i="5"/>
  <c r="B2289" i="5"/>
  <c r="B2295" i="5"/>
  <c r="B2417" i="5"/>
  <c r="B2481" i="5"/>
  <c r="B2545" i="5"/>
  <c r="B3337" i="5"/>
  <c r="B3636" i="5"/>
  <c r="B3939" i="5"/>
  <c r="B3814" i="5"/>
  <c r="B4095" i="5"/>
  <c r="B4276" i="5"/>
  <c r="B4340" i="5"/>
  <c r="B4659" i="5"/>
  <c r="B4959" i="5"/>
  <c r="B1030" i="5"/>
  <c r="B1158" i="5"/>
  <c r="B1286" i="5"/>
  <c r="B1414" i="5"/>
  <c r="B3407" i="5"/>
  <c r="B3535" i="5"/>
  <c r="B5038" i="5"/>
  <c r="B3953" i="5"/>
  <c r="B4303" i="5"/>
  <c r="E4302" i="5" s="1" a="1"/>
  <c r="E4302" i="5" s="1"/>
  <c r="B188" i="5"/>
  <c r="B714" i="5"/>
  <c r="B826" i="5"/>
  <c r="B890" i="5"/>
  <c r="B259" i="5"/>
  <c r="B1184" i="5"/>
  <c r="B1440" i="5"/>
  <c r="B3217" i="5"/>
  <c r="B4528" i="5"/>
  <c r="B4885" i="5"/>
  <c r="B868" i="5"/>
  <c r="B932" i="5"/>
  <c r="B1140" i="5"/>
  <c r="B1396" i="5"/>
  <c r="B3173" i="5"/>
  <c r="B4484" i="5"/>
  <c r="B2192" i="5"/>
  <c r="B2793" i="5"/>
  <c r="B2814" i="5"/>
  <c r="B2791" i="5"/>
  <c r="E2790" i="5" s="1" a="1"/>
  <c r="E2790" i="5" s="1"/>
  <c r="B2474" i="5"/>
  <c r="B3199" i="5"/>
  <c r="B3693" i="5"/>
  <c r="E3692" i="5" s="1" a="1"/>
  <c r="E3692" i="5" s="1"/>
  <c r="B4093" i="5"/>
  <c r="B4454" i="5"/>
  <c r="B4582" i="5"/>
  <c r="B4666" i="5"/>
  <c r="B4827" i="5"/>
  <c r="B815" i="5"/>
  <c r="B911" i="5"/>
  <c r="B3711" i="5"/>
  <c r="B3430" i="5"/>
  <c r="B4172" i="5"/>
  <c r="B579" i="5"/>
  <c r="B707" i="5"/>
  <c r="B213" i="5"/>
  <c r="B478" i="5"/>
  <c r="B510" i="5"/>
  <c r="B565" i="5"/>
  <c r="B837" i="5"/>
  <c r="B933" i="5"/>
  <c r="B1519" i="5"/>
  <c r="B1551" i="5"/>
  <c r="B2074" i="5"/>
  <c r="B2013" i="5"/>
  <c r="B2141" i="5"/>
  <c r="B2144" i="5"/>
  <c r="B2809" i="5"/>
  <c r="B2937" i="5"/>
  <c r="B2766" i="5"/>
  <c r="E2765" i="5" s="1" a="1"/>
  <c r="E2765" i="5" s="1"/>
  <c r="B2593" i="5"/>
  <c r="B2657" i="5"/>
  <c r="B2721" i="5"/>
  <c r="B2807" i="5"/>
  <c r="E2806" i="5" s="1" a="1"/>
  <c r="E2806" i="5" s="1"/>
  <c r="B2935" i="5"/>
  <c r="E2934" i="5" s="1" a="1"/>
  <c r="E2934" i="5" s="1"/>
  <c r="B2200" i="5"/>
  <c r="B2426" i="5"/>
  <c r="B266" i="5"/>
  <c r="B239" i="5"/>
  <c r="B2878" i="5"/>
  <c r="B2538" i="5"/>
  <c r="B3135" i="5"/>
  <c r="B3716" i="5"/>
  <c r="B4113" i="5"/>
  <c r="B3494" i="5"/>
  <c r="B419" i="5"/>
  <c r="B2832" i="5"/>
  <c r="B2896" i="5"/>
  <c r="B2993" i="5"/>
  <c r="B3046" i="5"/>
  <c r="B3110" i="5"/>
  <c r="B3285" i="5"/>
  <c r="B3176" i="5"/>
  <c r="B3240" i="5"/>
  <c r="B3087" i="5"/>
  <c r="B3215" i="5"/>
  <c r="B3303" i="5"/>
  <c r="B3345" i="5"/>
  <c r="B3670" i="5"/>
  <c r="B3474" i="5"/>
  <c r="B3538" i="5"/>
  <c r="B3673" i="5"/>
  <c r="B4006" i="5"/>
  <c r="B3932" i="5"/>
  <c r="B3709" i="5"/>
  <c r="B3837" i="5"/>
  <c r="B4152" i="5"/>
  <c r="B4470" i="5"/>
  <c r="B4598" i="5"/>
  <c r="B4648" i="5"/>
  <c r="B4841" i="5"/>
  <c r="B5041" i="5"/>
  <c r="B324" i="5"/>
  <c r="B416" i="5"/>
  <c r="B182" i="5"/>
  <c r="B1179" i="5"/>
  <c r="B1435" i="5"/>
  <c r="B823" i="5"/>
  <c r="B887" i="5"/>
  <c r="E887" i="5" s="1" a="1"/>
  <c r="E887" i="5" s="1"/>
  <c r="B2259" i="5"/>
  <c r="B2456" i="5"/>
  <c r="B2868" i="5"/>
  <c r="B3082" i="5"/>
  <c r="B3210" i="5"/>
  <c r="B3084" i="5"/>
  <c r="E3084" i="5" s="1" a="1"/>
  <c r="E3084" i="5" s="1"/>
  <c r="B3212" i="5"/>
  <c r="B3382" i="5"/>
  <c r="B3754" i="5"/>
  <c r="B4045" i="5"/>
  <c r="B4342" i="5"/>
  <c r="B4374" i="5"/>
  <c r="B4305" i="5"/>
  <c r="B4337" i="5"/>
  <c r="B4677" i="5"/>
  <c r="B4716" i="5"/>
  <c r="B4663" i="5"/>
  <c r="B4877" i="5"/>
  <c r="B236" i="5"/>
  <c r="B943" i="5"/>
  <c r="B1135" i="5"/>
  <c r="B1199" i="5"/>
  <c r="B1391" i="5"/>
  <c r="B1455" i="5"/>
  <c r="B2215" i="5"/>
  <c r="B3594" i="5"/>
  <c r="B4143" i="5"/>
  <c r="B4283" i="5"/>
  <c r="B4315" i="5"/>
  <c r="B4641" i="5"/>
  <c r="B4672" i="5"/>
  <c r="B81" i="5"/>
  <c r="B310" i="5"/>
  <c r="B560" i="5"/>
  <c r="B680" i="5"/>
  <c r="B531" i="5"/>
  <c r="B595" i="5"/>
  <c r="B723" i="5"/>
  <c r="B787" i="5"/>
  <c r="B985" i="5"/>
  <c r="B1049" i="5"/>
  <c r="B1177" i="5"/>
  <c r="B1241" i="5"/>
  <c r="B1305" i="5"/>
  <c r="B1433" i="5"/>
  <c r="B1497" i="5"/>
  <c r="B100" i="5"/>
  <c r="B230" i="5"/>
  <c r="B292" i="5"/>
  <c r="B482" i="5"/>
  <c r="B517" i="5"/>
  <c r="B581" i="5"/>
  <c r="B967" i="5"/>
  <c r="B1031" i="5"/>
  <c r="E1030" i="5" s="1" a="1"/>
  <c r="E1030" i="5" s="1"/>
  <c r="B1223" i="5"/>
  <c r="B1287" i="5"/>
  <c r="E1286" i="5" s="1" a="1"/>
  <c r="E1286" i="5" s="1"/>
  <c r="B1479" i="5"/>
  <c r="B317" i="5"/>
  <c r="B604" i="5"/>
  <c r="B845" i="5"/>
  <c r="E844" i="5" s="1" a="1"/>
  <c r="E844" i="5" s="1"/>
  <c r="B909" i="5"/>
  <c r="B1567" i="5"/>
  <c r="B1695" i="5"/>
  <c r="B1759" i="5"/>
  <c r="B1823" i="5"/>
  <c r="B1523" i="5"/>
  <c r="B1555" i="5"/>
  <c r="B1962" i="5"/>
  <c r="B2026" i="5"/>
  <c r="B2090" i="5"/>
  <c r="B2029" i="5"/>
  <c r="B2157" i="5"/>
  <c r="B2269" i="5"/>
  <c r="B2535" i="5"/>
  <c r="B2465" i="5"/>
  <c r="B2529" i="5"/>
  <c r="B2953" i="5"/>
  <c r="B2846" i="5"/>
  <c r="B2601" i="5"/>
  <c r="B2633" i="5"/>
  <c r="B2665" i="5"/>
  <c r="B2729" i="5"/>
  <c r="B2761" i="5"/>
  <c r="B2951" i="5"/>
  <c r="E2950" i="5" s="1" a="1"/>
  <c r="E2950" i="5" s="1"/>
  <c r="B2204" i="5"/>
  <c r="B2378" i="5"/>
  <c r="B2442" i="5"/>
  <c r="B2506" i="5"/>
  <c r="B2784" i="5"/>
  <c r="B2912" i="5"/>
  <c r="B2997" i="5"/>
  <c r="B3126" i="5"/>
  <c r="B3254" i="5"/>
  <c r="E3253" i="5" s="1" a="1"/>
  <c r="E3253" i="5" s="1"/>
  <c r="B3293" i="5"/>
  <c r="B3321" i="5"/>
  <c r="B3128" i="5"/>
  <c r="B3256" i="5"/>
  <c r="B3103" i="5"/>
  <c r="B3167" i="5"/>
  <c r="B3319" i="5"/>
  <c r="E3318" i="5" s="1" a="1"/>
  <c r="E3318" i="5" s="1"/>
  <c r="B3349" i="5"/>
  <c r="B3365" i="5"/>
  <c r="B3426" i="5"/>
  <c r="B4026" i="5"/>
  <c r="B3843" i="5"/>
  <c r="B3734" i="5"/>
  <c r="B3798" i="5"/>
  <c r="B3948" i="5"/>
  <c r="B3853" i="5"/>
  <c r="B3937" i="5"/>
  <c r="B4062" i="5"/>
  <c r="B4157" i="5"/>
  <c r="B3906" i="5"/>
  <c r="B4155" i="5"/>
  <c r="B4231" i="5"/>
  <c r="B4268" i="5"/>
  <c r="E4267" i="5" s="1" a="1"/>
  <c r="E4267" i="5" s="1"/>
  <c r="B4364" i="5"/>
  <c r="B4327" i="5"/>
  <c r="E4326" i="5" s="1" a="1"/>
  <c r="E4326" i="5" s="1"/>
  <c r="B4359" i="5"/>
  <c r="E4358" i="5" s="1" a="1"/>
  <c r="E4358" i="5" s="1"/>
  <c r="B4168" i="5"/>
  <c r="B4382" i="5"/>
  <c r="B4426" i="5"/>
  <c r="B4614" i="5"/>
  <c r="B4721" i="5"/>
  <c r="B4696" i="5"/>
  <c r="E4695" i="5" s="1" a="1"/>
  <c r="E4695" i="5" s="1"/>
  <c r="B4707" i="5"/>
  <c r="B4652" i="5"/>
  <c r="B4698" i="5"/>
  <c r="B4923" i="5"/>
  <c r="B4860" i="5"/>
  <c r="B4957" i="5"/>
  <c r="B4993" i="5"/>
  <c r="B5027" i="5"/>
  <c r="B232" i="5"/>
  <c r="B204" i="5"/>
  <c r="B850" i="5"/>
  <c r="B882" i="5"/>
  <c r="B950" i="5"/>
  <c r="B1014" i="5"/>
  <c r="B1206" i="5"/>
  <c r="B1270" i="5"/>
  <c r="B1462" i="5"/>
  <c r="B62" i="5"/>
  <c r="B1131" i="5"/>
  <c r="B1387" i="5"/>
  <c r="B895" i="5"/>
  <c r="B927" i="5"/>
  <c r="B976" i="5"/>
  <c r="B1040" i="5"/>
  <c r="B1232" i="5"/>
  <c r="B1296" i="5"/>
  <c r="B1488" i="5"/>
  <c r="B2515" i="5"/>
  <c r="B2291" i="5"/>
  <c r="B2423" i="5"/>
  <c r="B2344" i="5"/>
  <c r="B2222" i="5"/>
  <c r="E2221" i="5" s="1" a="1"/>
  <c r="E2221" i="5" s="1"/>
  <c r="B2286" i="5"/>
  <c r="B2350" i="5"/>
  <c r="B2820" i="5"/>
  <c r="B2884" i="5"/>
  <c r="B3034" i="5"/>
  <c r="B3098" i="5"/>
  <c r="B3226" i="5"/>
  <c r="B3073" i="5"/>
  <c r="B3265" i="5"/>
  <c r="B3100" i="5"/>
  <c r="B3164" i="5"/>
  <c r="B3228" i="5"/>
  <c r="B3330" i="5"/>
  <c r="B3455" i="5"/>
  <c r="B3519" i="5"/>
  <c r="B3398" i="5"/>
  <c r="B3462" i="5"/>
  <c r="B3770" i="5"/>
  <c r="B3889" i="5"/>
  <c r="B4259" i="5"/>
  <c r="B4101" i="5"/>
  <c r="B4254" i="5"/>
  <c r="B4318" i="5"/>
  <c r="B4150" i="5"/>
  <c r="B4214" i="5"/>
  <c r="B4281" i="5"/>
  <c r="B4204" i="5"/>
  <c r="B4576" i="5"/>
  <c r="B4693" i="5"/>
  <c r="B4788" i="5"/>
  <c r="B4961" i="5"/>
  <c r="B4900" i="5"/>
  <c r="B4964" i="5"/>
  <c r="B192" i="5"/>
  <c r="B442" i="5"/>
  <c r="B158" i="5"/>
  <c r="B225" i="5"/>
  <c r="B828" i="5"/>
  <c r="B860" i="5"/>
  <c r="B389" i="5"/>
  <c r="B1087" i="5"/>
  <c r="B1343" i="5"/>
  <c r="B263" i="5"/>
  <c r="B996" i="5"/>
  <c r="B1188" i="5"/>
  <c r="B1252" i="5"/>
  <c r="B1444" i="5"/>
  <c r="B2241" i="5"/>
  <c r="B2247" i="5"/>
  <c r="B2503" i="5"/>
  <c r="B3029" i="5"/>
  <c r="B3221" i="5"/>
  <c r="B3687" i="5"/>
  <c r="B3418" i="5"/>
  <c r="E3418" i="5" s="1" a="1"/>
  <c r="E3418" i="5" s="1"/>
  <c r="B3482" i="5"/>
  <c r="B3610" i="5"/>
  <c r="B3993" i="5"/>
  <c r="B4175" i="5"/>
  <c r="B4223" i="5"/>
  <c r="B4170" i="5"/>
  <c r="B4532" i="5"/>
  <c r="B4596" i="5"/>
  <c r="B4744" i="5"/>
  <c r="B4911" i="5"/>
  <c r="B4778" i="5"/>
  <c r="E4778" i="5" s="1" a="1"/>
  <c r="E4778" i="5" s="1"/>
  <c r="B987" i="5"/>
  <c r="B1243" i="5"/>
  <c r="B1499" i="5"/>
  <c r="B4921" i="5"/>
  <c r="E4920" i="5" s="1" a="1"/>
  <c r="E4920" i="5" s="1"/>
  <c r="B1094" i="5"/>
  <c r="B1350" i="5"/>
  <c r="B643" i="5"/>
  <c r="B2138" i="5"/>
  <c r="B2077" i="5"/>
  <c r="B2561" i="5"/>
  <c r="B2689" i="5"/>
  <c r="B287" i="5"/>
  <c r="B1024" i="5"/>
  <c r="B1280" i="5"/>
  <c r="B3057" i="5"/>
  <c r="B980" i="5"/>
  <c r="B2382" i="5"/>
  <c r="B4235" i="5"/>
  <c r="B608" i="5"/>
  <c r="I12" i="3"/>
  <c r="B2823" i="5"/>
  <c r="E2822" i="5" s="1" a="1"/>
  <c r="E2822" i="5" s="1"/>
  <c r="B3725" i="5"/>
  <c r="B553" i="5"/>
  <c r="B831" i="5"/>
  <c r="B3830" i="5"/>
  <c r="B4375" i="5"/>
  <c r="E4374" i="5" s="1" a="1"/>
  <c r="E4374" i="5" s="1"/>
  <c r="B4642" i="5"/>
  <c r="E4641" i="5" s="1" a="1"/>
  <c r="E4641" i="5" s="1"/>
  <c r="B68" i="5"/>
  <c r="B2298" i="5"/>
  <c r="B3595" i="5"/>
  <c r="E3594" i="5" s="1" a="1"/>
  <c r="E3594" i="5" s="1"/>
  <c r="B2032" i="5"/>
  <c r="B2825" i="5"/>
  <c r="B3231" i="5"/>
  <c r="B4781" i="5"/>
  <c r="B3526" i="5"/>
  <c r="B5022" i="5"/>
  <c r="B3570" i="5"/>
  <c r="B1019" i="5"/>
  <c r="E1019" i="5" s="1" a="1"/>
  <c r="E1019" i="5" s="1"/>
  <c r="B1275" i="5"/>
  <c r="E1275" i="5" s="1" a="1"/>
  <c r="E1275" i="5" s="1"/>
  <c r="B975" i="5"/>
  <c r="B1231" i="5"/>
  <c r="B1487" i="5"/>
  <c r="E1487" i="5" s="1" a="1"/>
  <c r="E1487" i="5" s="1"/>
  <c r="B1319" i="5"/>
  <c r="B2713" i="5"/>
  <c r="B879" i="5"/>
  <c r="B1072" i="5"/>
  <c r="B1328" i="5"/>
  <c r="B3194" i="5"/>
  <c r="B3105" i="5"/>
  <c r="B3068" i="5"/>
  <c r="B290" i="5"/>
  <c r="B1028" i="5"/>
  <c r="B1284" i="5"/>
  <c r="B2919" i="5"/>
  <c r="E2918" i="5" s="1" a="1"/>
  <c r="E2918" i="5" s="1"/>
  <c r="B3990" i="5"/>
  <c r="B3821" i="5"/>
  <c r="B693" i="5"/>
  <c r="B1116" i="5"/>
  <c r="B1372" i="5"/>
  <c r="B3149" i="5"/>
  <c r="E3148" i="5" s="1" a="1"/>
  <c r="E3148" i="5" s="1"/>
  <c r="B308" i="5"/>
  <c r="B116" i="5"/>
  <c r="B340" i="5"/>
  <c r="B2186" i="5"/>
  <c r="B4821" i="5"/>
  <c r="B4486" i="5"/>
  <c r="B691" i="5"/>
  <c r="B1063" i="5"/>
  <c r="B2125" i="5"/>
  <c r="B2585" i="5"/>
  <c r="B2388" i="5"/>
  <c r="B3335" i="5"/>
  <c r="B3964" i="5"/>
  <c r="B80" i="5"/>
  <c r="E80" i="5" s="1" a="1"/>
  <c r="E80" i="5" s="1"/>
  <c r="B4056" i="5"/>
  <c r="B2407" i="5"/>
  <c r="B143" i="5"/>
  <c r="B347" i="5"/>
  <c r="B2355" i="5"/>
  <c r="B656" i="5"/>
  <c r="B395" i="5"/>
  <c r="B773" i="5"/>
  <c r="B2910" i="5"/>
  <c r="E2909" i="5" s="1" a="1"/>
  <c r="E2909" i="5" s="1"/>
  <c r="B4829" i="5"/>
  <c r="B152" i="5"/>
  <c r="B744" i="5"/>
  <c r="B2648" i="5"/>
  <c r="B1099" i="5"/>
  <c r="B1355" i="5"/>
  <c r="B149" i="5"/>
  <c r="B670" i="5"/>
  <c r="B626" i="5"/>
  <c r="B268" i="5"/>
  <c r="E268" i="5" s="1" a="1"/>
  <c r="E268" i="5" s="1"/>
  <c r="B456" i="5"/>
  <c r="B956" i="5"/>
  <c r="E955" i="5" s="1" a="1"/>
  <c r="E955" i="5" s="1"/>
  <c r="B1212" i="5"/>
  <c r="E1211" i="5" s="1" a="1"/>
  <c r="E1211" i="5" s="1"/>
  <c r="B1468" i="5"/>
  <c r="E1467" i="5" s="1" a="1"/>
  <c r="E1467" i="5" s="1"/>
  <c r="B2610" i="5"/>
  <c r="B2738" i="5"/>
  <c r="B3245" i="5"/>
  <c r="B3750" i="5"/>
  <c r="B4038" i="5"/>
  <c r="B4335" i="5"/>
  <c r="B4712" i="5"/>
  <c r="E4711" i="5" s="1" a="1"/>
  <c r="E4711" i="5" s="1"/>
  <c r="B403" i="5"/>
  <c r="B2361" i="5"/>
  <c r="B2239" i="5"/>
  <c r="B2487" i="5"/>
  <c r="B2596" i="5"/>
  <c r="B2724" i="5"/>
  <c r="B3471" i="5"/>
  <c r="B4464" i="5"/>
  <c r="B4538" i="5"/>
  <c r="B4984" i="5"/>
  <c r="B147" i="5"/>
  <c r="B350" i="5"/>
  <c r="B4760" i="5"/>
  <c r="B2552" i="5"/>
  <c r="B2680" i="5"/>
  <c r="B2957" i="5"/>
  <c r="B2446" i="5"/>
  <c r="B3107" i="5"/>
  <c r="B3706" i="5"/>
  <c r="B4016" i="5"/>
  <c r="B4799" i="5"/>
  <c r="B733" i="5"/>
  <c r="B168" i="5"/>
  <c r="B2120" i="5"/>
  <c r="B434" i="5"/>
  <c r="B256" i="5"/>
  <c r="B1807" i="5"/>
  <c r="B2228" i="5"/>
  <c r="B2490" i="5"/>
  <c r="B3151" i="5"/>
  <c r="E3150" i="5" s="1" a="1"/>
  <c r="E3150" i="5" s="1"/>
  <c r="B3361" i="5"/>
  <c r="B4378" i="5"/>
  <c r="B4682" i="5"/>
  <c r="B5011" i="5"/>
  <c r="B2451" i="5"/>
  <c r="E2451" i="5" s="1" a="1"/>
  <c r="E2451" i="5" s="1"/>
  <c r="B3446" i="5"/>
  <c r="B4197" i="5"/>
  <c r="B385" i="5"/>
  <c r="B3402" i="5"/>
  <c r="B3490" i="5"/>
  <c r="B4978" i="5"/>
  <c r="B1142" i="5"/>
  <c r="B1398" i="5"/>
  <c r="B1195" i="5"/>
  <c r="B1451" i="5"/>
  <c r="B4512" i="5"/>
  <c r="B1151" i="5"/>
  <c r="B1407" i="5"/>
  <c r="B4106" i="5"/>
  <c r="B4468" i="5"/>
  <c r="B948" i="5"/>
  <c r="B3237" i="5"/>
  <c r="B1204" i="5"/>
  <c r="B540" i="5"/>
  <c r="B3647" i="5"/>
  <c r="B2980" i="5"/>
  <c r="B4618" i="5"/>
  <c r="B4661" i="5"/>
  <c r="B2768" i="5"/>
  <c r="B3895" i="5"/>
  <c r="B4159" i="5"/>
  <c r="B4123" i="5"/>
  <c r="E4122" i="5" s="1" a="1"/>
  <c r="E4122" i="5" s="1"/>
  <c r="B4705" i="5"/>
  <c r="E4704" i="5" s="1" a="1"/>
  <c r="E4704" i="5" s="1"/>
  <c r="B4310" i="5"/>
  <c r="B5003" i="5"/>
  <c r="B3977" i="5"/>
  <c r="B4969" i="5"/>
  <c r="E4969" i="5" s="1" a="1"/>
  <c r="E4969" i="5" s="1"/>
  <c r="B280" i="5"/>
  <c r="B1631" i="5"/>
  <c r="B2314" i="5"/>
  <c r="B4332" i="5"/>
  <c r="E4331" i="5" s="1" a="1"/>
  <c r="E4331" i="5" s="1"/>
  <c r="B4839" i="5"/>
  <c r="B818" i="5"/>
  <c r="B2280" i="5"/>
  <c r="E2279" i="5" s="1" a="1"/>
  <c r="E2279" i="5" s="1"/>
  <c r="B4679" i="5"/>
  <c r="B924" i="5"/>
  <c r="B241" i="5"/>
  <c r="B1460" i="5"/>
  <c r="B297" i="5"/>
  <c r="B1887" i="5"/>
  <c r="B840" i="5"/>
  <c r="B3310" i="5"/>
  <c r="B4723" i="5"/>
  <c r="B4875" i="5"/>
  <c r="E4874" i="5" s="1" a="1"/>
  <c r="E4874" i="5" s="1"/>
  <c r="B966" i="5"/>
  <c r="B1222" i="5"/>
  <c r="B1478" i="5"/>
  <c r="B2875" i="5"/>
  <c r="B3946" i="5"/>
  <c r="B3777" i="5"/>
  <c r="B4592" i="5"/>
  <c r="B4079" i="5"/>
  <c r="B4548" i="5"/>
  <c r="B901" i="5"/>
  <c r="B2225" i="5"/>
  <c r="B3238" i="5"/>
  <c r="E3237" i="5" s="1" a="1"/>
  <c r="E3237" i="5" s="1"/>
  <c r="B3112" i="5"/>
  <c r="B3667" i="5"/>
  <c r="B4916" i="5"/>
  <c r="B2804" i="5"/>
  <c r="B3882" i="5"/>
  <c r="B4273" i="5"/>
  <c r="B2848" i="5"/>
  <c r="B3703" i="5"/>
  <c r="E3702" i="5" s="1" a="1"/>
  <c r="E3702" i="5" s="1"/>
  <c r="B4295" i="5"/>
  <c r="B3391" i="5"/>
  <c r="B4241" i="5"/>
  <c r="B4350" i="5"/>
  <c r="B4639" i="5"/>
  <c r="B1973" i="5"/>
  <c r="B3435" i="5"/>
  <c r="E3434" i="5" s="1" a="1"/>
  <c r="E3434" i="5" s="1"/>
  <c r="B4372" i="5"/>
  <c r="B4768" i="5"/>
  <c r="B2084" i="5"/>
  <c r="B2877" i="5"/>
  <c r="E2877" i="5" s="1" a="1"/>
  <c r="E2877" i="5" s="1"/>
  <c r="B3027" i="5"/>
  <c r="B4925" i="5"/>
  <c r="B576" i="5"/>
  <c r="B836" i="5"/>
  <c r="E836" i="5" s="1" a="1"/>
  <c r="E836" i="5" s="1"/>
  <c r="B2040" i="5"/>
  <c r="B3302" i="5"/>
  <c r="B1547" i="5"/>
  <c r="B2128" i="5"/>
  <c r="B2921" i="5"/>
  <c r="B2404" i="5"/>
  <c r="B2410" i="5"/>
  <c r="B3071" i="5"/>
  <c r="B3341" i="5"/>
  <c r="B3887" i="5"/>
  <c r="B367" i="5"/>
  <c r="E367" i="5" s="1" a="1"/>
  <c r="E367" i="5" s="1"/>
  <c r="B2955" i="5"/>
  <c r="B3622" i="5"/>
  <c r="B3857" i="5"/>
  <c r="B124" i="5"/>
  <c r="B3578" i="5"/>
  <c r="E3578" i="5" s="1" a="1"/>
  <c r="E3578" i="5" s="1"/>
  <c r="B3982" i="5"/>
  <c r="B506" i="5"/>
  <c r="B515" i="5"/>
  <c r="B771" i="5"/>
  <c r="B1161" i="5"/>
  <c r="B1417" i="5"/>
  <c r="B216" i="5"/>
  <c r="E215" i="5" s="1" a="1"/>
  <c r="E215" i="5" s="1"/>
  <c r="B2010" i="5"/>
  <c r="B2231" i="5"/>
  <c r="B2625" i="5"/>
  <c r="B2753" i="5"/>
  <c r="B3410" i="5"/>
  <c r="B3913" i="5"/>
  <c r="B1115" i="5"/>
  <c r="B1371" i="5"/>
  <c r="B378" i="5"/>
  <c r="B919" i="5"/>
  <c r="E919" i="5" s="1" a="1"/>
  <c r="E919" i="5" s="1"/>
  <c r="B3148" i="5"/>
  <c r="B1071" i="5"/>
  <c r="B1327" i="5"/>
  <c r="B2664" i="5"/>
  <c r="B1159" i="5"/>
  <c r="E1158" i="5" s="1" a="1"/>
  <c r="E1158" i="5" s="1"/>
  <c r="B1415" i="5"/>
  <c r="E1414" i="5" s="1" a="1"/>
  <c r="E1414" i="5" s="1"/>
  <c r="B207" i="5"/>
  <c r="B3779" i="5"/>
  <c r="B173" i="5"/>
  <c r="B752" i="5"/>
  <c r="B1168" i="5"/>
  <c r="E1167" i="5" s="1" a="1"/>
  <c r="E1167" i="5" s="1"/>
  <c r="B1424" i="5"/>
  <c r="B3201" i="5"/>
  <c r="B4086" i="5"/>
  <c r="B4668" i="5"/>
  <c r="B1124" i="5"/>
  <c r="B1380" i="5"/>
  <c r="B3157" i="5"/>
  <c r="B4291" i="5"/>
  <c r="B3564" i="5"/>
  <c r="E3563" i="5" s="1" a="1"/>
  <c r="E3563" i="5" s="1"/>
  <c r="B3492" i="5"/>
  <c r="B3448" i="5"/>
  <c r="B3544" i="5"/>
  <c r="G17" i="5"/>
  <c r="B4519" i="5"/>
  <c r="B4951" i="5"/>
  <c r="B3536" i="5"/>
  <c r="E3535" i="5" s="1" a="1"/>
  <c r="E3535" i="5" s="1"/>
  <c r="B4491" i="5"/>
  <c r="E4491" i="5" s="1" a="1"/>
  <c r="E4491" i="5" s="1"/>
  <c r="B2574" i="5"/>
  <c r="B2702" i="5"/>
  <c r="B4447" i="5"/>
  <c r="B4939" i="5"/>
  <c r="B3464" i="5"/>
  <c r="B275" i="5"/>
  <c r="E274" i="5" s="1" a="1"/>
  <c r="E274" i="5" s="1"/>
  <c r="B462" i="5"/>
  <c r="B430" i="5"/>
  <c r="B4213" i="5"/>
  <c r="B2283" i="5"/>
  <c r="E2282" i="5" s="1" a="1"/>
  <c r="E2282" i="5" s="1"/>
  <c r="B652" i="5"/>
  <c r="B4595" i="5"/>
  <c r="B800" i="5"/>
  <c r="B2560" i="5"/>
  <c r="B2688" i="5"/>
  <c r="B3665" i="5"/>
  <c r="B4345" i="5"/>
  <c r="B4323" i="5"/>
  <c r="B4688" i="5"/>
  <c r="B4367" i="5"/>
  <c r="E4366" i="5" s="1" a="1"/>
  <c r="E4366" i="5" s="1"/>
  <c r="B2184" i="5"/>
  <c r="B4819" i="5"/>
  <c r="B66" i="5"/>
  <c r="E65" i="5" s="1" a="1"/>
  <c r="E65" i="5" s="1"/>
  <c r="B2016" i="5"/>
  <c r="B3510" i="5"/>
  <c r="B277" i="5"/>
  <c r="B3466" i="5"/>
  <c r="B1003" i="5"/>
  <c r="B1259" i="5"/>
  <c r="B1765" i="5"/>
  <c r="B959" i="5"/>
  <c r="B1215" i="5"/>
  <c r="B1471" i="5"/>
  <c r="B1047" i="5"/>
  <c r="E1046" i="5" s="1" a="1"/>
  <c r="E1046" i="5" s="1"/>
  <c r="B1303" i="5"/>
  <c r="E1302" i="5" s="1" a="1"/>
  <c r="E1302" i="5" s="1"/>
  <c r="B98" i="5"/>
  <c r="E97" i="5" s="1" a="1"/>
  <c r="E97" i="5" s="1"/>
  <c r="B1056" i="5"/>
  <c r="B1312" i="5"/>
  <c r="B3089" i="5"/>
  <c r="B1012" i="5"/>
  <c r="B1268" i="5"/>
  <c r="B3045" i="5"/>
  <c r="B1100" i="5"/>
  <c r="E1099" i="5" s="1" a="1"/>
  <c r="E1099" i="5" s="1"/>
  <c r="B1356" i="5"/>
  <c r="E1355" i="5" s="1" a="1"/>
  <c r="E1355" i="5" s="1"/>
  <c r="B2554" i="5"/>
  <c r="B2682" i="5"/>
  <c r="B3133" i="5"/>
  <c r="E3132" i="5" s="1" a="1"/>
  <c r="E3132" i="5" s="1"/>
  <c r="B104" i="5"/>
  <c r="B336" i="5"/>
  <c r="B684" i="5"/>
  <c r="B4048" i="5"/>
  <c r="B4070" i="5"/>
  <c r="E4069" i="5" s="1" a="1"/>
  <c r="E4069" i="5" s="1"/>
  <c r="B4612" i="5"/>
  <c r="B2900" i="5"/>
  <c r="B4845" i="5"/>
  <c r="B4042" i="5"/>
  <c r="B2327" i="5"/>
  <c r="B2944" i="5"/>
  <c r="B3941" i="5"/>
  <c r="B4270" i="5"/>
  <c r="B4292" i="5"/>
  <c r="E4291" i="5" s="1" a="1"/>
  <c r="E4291" i="5" s="1"/>
  <c r="B906" i="5"/>
  <c r="B3312" i="5"/>
  <c r="B884" i="5"/>
  <c r="B2244" i="5"/>
  <c r="B2795" i="5"/>
  <c r="B3697" i="5"/>
  <c r="B611" i="5"/>
  <c r="B2106" i="5"/>
  <c r="B2045" i="5"/>
  <c r="B2673" i="5"/>
  <c r="B2839" i="5"/>
  <c r="E2838" i="5" s="1" a="1"/>
  <c r="E2838" i="5" s="1"/>
  <c r="B3741" i="5"/>
  <c r="B839" i="5"/>
  <c r="B3114" i="5"/>
  <c r="B3244" i="5"/>
  <c r="E3243" i="5" s="1" a="1"/>
  <c r="E3243" i="5" s="1"/>
  <c r="B2444" i="5"/>
  <c r="B861" i="5"/>
  <c r="B3158" i="5"/>
  <c r="E3157" i="5" s="1" a="1"/>
  <c r="E3157" i="5" s="1"/>
  <c r="B3032" i="5"/>
  <c r="B3875" i="5"/>
  <c r="B585" i="5"/>
  <c r="B3802" i="5"/>
  <c r="B4361" i="5"/>
  <c r="B4339" i="5"/>
  <c r="B4720" i="5"/>
  <c r="B2365" i="5"/>
  <c r="B3846" i="5"/>
  <c r="B3567" i="5"/>
  <c r="B3611" i="5"/>
  <c r="E3610" i="5" s="1" a="1"/>
  <c r="E3610" i="5" s="1"/>
  <c r="B2797" i="5"/>
  <c r="B2542" i="5"/>
  <c r="B3203" i="5"/>
  <c r="B95" i="5"/>
  <c r="B486" i="5"/>
  <c r="B1527" i="5"/>
  <c r="B2841" i="5"/>
  <c r="B3001" i="5"/>
  <c r="B3247" i="5"/>
  <c r="B633" i="5"/>
  <c r="B3542" i="5"/>
  <c r="B4418" i="5"/>
  <c r="B3498" i="5"/>
  <c r="E3498" i="5" s="1" a="1"/>
  <c r="E3498" i="5" s="1"/>
  <c r="B1081" i="5"/>
  <c r="B1337" i="5"/>
  <c r="B113" i="5"/>
  <c r="B85" i="5"/>
  <c r="B1035" i="5"/>
  <c r="B1291" i="5"/>
  <c r="B320" i="5"/>
  <c r="B3688" i="5"/>
  <c r="E3687" i="5" s="1" a="1"/>
  <c r="E3687" i="5" s="1"/>
  <c r="B991" i="5"/>
  <c r="E990" i="5" s="1" a="1"/>
  <c r="E990" i="5" s="1"/>
  <c r="B1247" i="5"/>
  <c r="B1503" i="5"/>
  <c r="B352" i="5"/>
  <c r="B3971" i="5"/>
  <c r="B4059" i="5"/>
  <c r="B1088" i="5"/>
  <c r="B1344" i="5"/>
  <c r="E1343" i="5" s="1" a="1"/>
  <c r="E1343" i="5" s="1"/>
  <c r="B3121" i="5"/>
  <c r="B4934" i="5"/>
  <c r="B1044" i="5"/>
  <c r="B1300" i="5"/>
  <c r="B93" i="5"/>
  <c r="B1955" i="5"/>
  <c r="B4852" i="5"/>
  <c r="B3720" i="5"/>
  <c r="B4458" i="5"/>
  <c r="B303" i="5"/>
  <c r="B725" i="5"/>
  <c r="B4502" i="5"/>
  <c r="B3307" i="5"/>
  <c r="E3307" i="5" s="1" a="1"/>
  <c r="E3307" i="5" s="1"/>
  <c r="B3936" i="5"/>
  <c r="B1727" i="5"/>
  <c r="B2004" i="5"/>
  <c r="B2321" i="5"/>
  <c r="B3980" i="5"/>
  <c r="B4064" i="5"/>
  <c r="B327" i="5"/>
  <c r="B139" i="5"/>
  <c r="B159" i="5"/>
  <c r="E158" i="5" s="1" a="1"/>
  <c r="E158" i="5" s="1"/>
  <c r="B1062" i="5"/>
  <c r="B1318" i="5"/>
  <c r="B359" i="5"/>
  <c r="B4432" i="5"/>
  <c r="B1110" i="5"/>
  <c r="B1366" i="5"/>
  <c r="B4165" i="5"/>
  <c r="B4436" i="5"/>
  <c r="B2250" i="5"/>
  <c r="B2216" i="5"/>
  <c r="E2215" i="5" s="1" a="1"/>
  <c r="E2215" i="5" s="1"/>
  <c r="B2948" i="5"/>
  <c r="B2369" i="5"/>
  <c r="B4849" i="5"/>
  <c r="B4673" i="5"/>
  <c r="E4672" i="5" s="1" a="1"/>
  <c r="E4672" i="5" s="1"/>
  <c r="B4294" i="5"/>
  <c r="B4019" i="5"/>
  <c r="B4091" i="5"/>
  <c r="B4316" i="5"/>
  <c r="E4315" i="5" s="1" a="1"/>
  <c r="E4315" i="5" s="1"/>
  <c r="B4749" i="5"/>
  <c r="B1959" i="5"/>
  <c r="B5034" i="5"/>
  <c r="B2843" i="5"/>
  <c r="B3745" i="5"/>
  <c r="B2569" i="5"/>
  <c r="E2568" i="5" s="1" a="1"/>
  <c r="E2568" i="5" s="1"/>
  <c r="B3789" i="5"/>
  <c r="B4914" i="5"/>
  <c r="B863" i="5"/>
  <c r="B3162" i="5"/>
  <c r="B3036" i="5"/>
  <c r="B3206" i="5"/>
  <c r="B3080" i="5"/>
  <c r="B3850" i="5"/>
  <c r="B2697" i="5"/>
  <c r="E2696" i="5" s="1" a="1"/>
  <c r="E2696" i="5" s="1"/>
  <c r="B2340" i="5"/>
  <c r="B4279" i="5"/>
  <c r="B3615" i="5"/>
  <c r="B4037" i="5"/>
  <c r="B2887" i="5"/>
  <c r="E2886" i="5" s="1" a="1"/>
  <c r="E2886" i="5" s="1"/>
  <c r="B3403" i="5"/>
  <c r="B2845" i="5"/>
  <c r="B3251" i="5"/>
  <c r="B2093" i="5"/>
  <c r="B498" i="5"/>
  <c r="B1539" i="5"/>
  <c r="B2889" i="5"/>
  <c r="B3013" i="5"/>
  <c r="B3039" i="5"/>
  <c r="B137" i="5"/>
  <c r="B3590" i="5"/>
  <c r="B3546" i="5"/>
  <c r="E3546" i="5" s="1" a="1"/>
  <c r="E3546" i="5" s="1"/>
  <c r="B1129" i="5"/>
  <c r="B1385" i="5"/>
  <c r="B355" i="5"/>
  <c r="E355" i="5" s="1" a="1"/>
  <c r="E355" i="5" s="1"/>
  <c r="B4061" i="5"/>
  <c r="B659" i="5"/>
  <c r="B1392" i="5"/>
  <c r="E1391" i="5" s="1" a="1"/>
  <c r="E1391" i="5" s="1"/>
  <c r="B3169" i="5"/>
  <c r="B2154" i="5"/>
  <c r="B185" i="5"/>
  <c r="B720" i="5"/>
  <c r="B4506" i="5"/>
  <c r="B4550" i="5"/>
  <c r="B3984" i="5"/>
  <c r="B2335" i="5"/>
  <c r="B557" i="5"/>
  <c r="B754" i="5"/>
  <c r="B4139" i="5"/>
  <c r="E4138" i="5" s="1" a="1"/>
  <c r="E4138" i="5" s="1"/>
  <c r="B4422" i="5"/>
  <c r="B3653" i="5"/>
  <c r="B4020" i="5"/>
  <c r="B2580" i="5"/>
  <c r="B2708" i="5"/>
  <c r="B2558" i="5"/>
  <c r="B2686" i="5"/>
  <c r="B2329" i="5"/>
  <c r="B2359" i="5"/>
  <c r="B2932" i="5"/>
  <c r="B2976" i="5"/>
  <c r="B3924" i="5"/>
  <c r="B4286" i="5"/>
  <c r="B4308" i="5"/>
  <c r="E4307" i="5" s="1" a="1"/>
  <c r="E4307" i="5" s="1"/>
  <c r="B5018" i="5"/>
  <c r="B2827" i="5"/>
  <c r="B3729" i="5"/>
  <c r="B855" i="5"/>
  <c r="B3146" i="5"/>
  <c r="B3020" i="5"/>
  <c r="B3588" i="5"/>
  <c r="B2871" i="5"/>
  <c r="E2870" i="5" s="1" a="1"/>
  <c r="E2870" i="5" s="1"/>
  <c r="B877" i="5"/>
  <c r="E876" i="5" s="1" a="1"/>
  <c r="E876" i="5" s="1"/>
  <c r="B3834" i="5"/>
  <c r="B4644" i="5"/>
  <c r="B4810" i="5"/>
  <c r="B4935" i="5"/>
  <c r="B1721" i="5"/>
  <c r="B1677" i="5"/>
  <c r="B1933" i="5"/>
  <c r="B2308" i="5"/>
  <c r="B329" i="5"/>
  <c r="B3878" i="5"/>
  <c r="B3599" i="5"/>
  <c r="B2397" i="5"/>
  <c r="B3190" i="5"/>
  <c r="E3189" i="5" s="1" a="1"/>
  <c r="E3189" i="5" s="1"/>
  <c r="B3387" i="5"/>
  <c r="E3386" i="5" s="1" a="1"/>
  <c r="E3386" i="5" s="1"/>
  <c r="B4738" i="5"/>
  <c r="B2829" i="5"/>
  <c r="B3235" i="5"/>
  <c r="B126" i="5"/>
  <c r="B494" i="5"/>
  <c r="B1535" i="5"/>
  <c r="B2873" i="5"/>
  <c r="B3009" i="5"/>
  <c r="B3023" i="5"/>
  <c r="B3773" i="5"/>
  <c r="B3064" i="5"/>
  <c r="B1113" i="5"/>
  <c r="B1369" i="5"/>
  <c r="B364" i="5"/>
  <c r="B343" i="5"/>
  <c r="E343" i="5" s="1" a="1"/>
  <c r="E343" i="5" s="1"/>
  <c r="B4053" i="5"/>
  <c r="B4003" i="5"/>
  <c r="B4991" i="5"/>
  <c r="B645" i="5"/>
  <c r="B169" i="5"/>
  <c r="E168" i="5" s="1" a="1"/>
  <c r="E168" i="5" s="1"/>
  <c r="B4490" i="5"/>
  <c r="B2353" i="5"/>
  <c r="B4098" i="5"/>
  <c r="B4534" i="5"/>
  <c r="B3968" i="5"/>
  <c r="E3968" i="5" s="1" a="1"/>
  <c r="E3968" i="5" s="1"/>
  <c r="B4012" i="5"/>
  <c r="B3512" i="5"/>
  <c r="B4085" i="5"/>
  <c r="B2624" i="5"/>
  <c r="B2752" i="5"/>
  <c r="B3608" i="5"/>
  <c r="B1111" i="5"/>
  <c r="B1367" i="5"/>
  <c r="B2394" i="5"/>
  <c r="B4895" i="5"/>
  <c r="B2598" i="5"/>
  <c r="B2726" i="5"/>
  <c r="B4161" i="5"/>
  <c r="B2576" i="5"/>
  <c r="E2576" i="5" s="1" a="1"/>
  <c r="E2576" i="5" s="1"/>
  <c r="B2704" i="5"/>
  <c r="E2704" i="5" s="1" a="1"/>
  <c r="E2704" i="5" s="1"/>
  <c r="B2958" i="5"/>
  <c r="E2957" i="5" s="1" a="1"/>
  <c r="E2957" i="5" s="1"/>
  <c r="B2002" i="5"/>
  <c r="B4833" i="5"/>
  <c r="B3973" i="5"/>
  <c r="B436" i="5"/>
  <c r="B2447" i="5"/>
  <c r="B4017" i="5"/>
  <c r="E4016" i="5" s="1" a="1"/>
  <c r="E4016" i="5" s="1"/>
  <c r="B4995" i="5"/>
  <c r="B922" i="5"/>
  <c r="B2367" i="5"/>
  <c r="B900" i="5"/>
  <c r="B3300" i="5"/>
  <c r="B816" i="5"/>
  <c r="E815" i="5" s="1" a="1"/>
  <c r="E815" i="5" s="1"/>
  <c r="B1698" i="5"/>
  <c r="B3404" i="5"/>
  <c r="E3403" i="5" s="1" a="1"/>
  <c r="E3403" i="5" s="1"/>
  <c r="B3942" i="5"/>
  <c r="B1670" i="5"/>
  <c r="B1926" i="5"/>
  <c r="B3376" i="5"/>
  <c r="E3375" i="5" s="1" a="1"/>
  <c r="E3375" i="5" s="1"/>
  <c r="B3632" i="5"/>
  <c r="E3631" i="5" s="1" a="1"/>
  <c r="E3631" i="5" s="1"/>
  <c r="B3640" i="5"/>
  <c r="B2219" i="5"/>
  <c r="E2218" i="5" s="1" a="1"/>
  <c r="E2218" i="5" s="1"/>
  <c r="B3694" i="5"/>
  <c r="B1992" i="5"/>
  <c r="B4355" i="5"/>
  <c r="B614" i="5"/>
  <c r="B4271" i="5"/>
  <c r="B586" i="5"/>
  <c r="B542" i="5"/>
  <c r="B798" i="5"/>
  <c r="E797" i="5" s="1" a="1"/>
  <c r="E797" i="5" s="1"/>
  <c r="B4531" i="5"/>
  <c r="B2036" i="5"/>
  <c r="B1585" i="5"/>
  <c r="B1841" i="5"/>
  <c r="B2080" i="5"/>
  <c r="B120" i="5"/>
  <c r="B1557" i="5"/>
  <c r="B1813" i="5"/>
  <c r="B3574" i="5"/>
  <c r="B3530" i="5"/>
  <c r="E3530" i="5" s="1" a="1"/>
  <c r="E3530" i="5" s="1"/>
  <c r="B166" i="5"/>
  <c r="B3618" i="5"/>
  <c r="B1067" i="5"/>
  <c r="B1323" i="5"/>
  <c r="B73" i="5"/>
  <c r="B91" i="5"/>
  <c r="B1023" i="5"/>
  <c r="B1279" i="5"/>
  <c r="B1120" i="5"/>
  <c r="B1376" i="5"/>
  <c r="B3153" i="5"/>
  <c r="B1076" i="5"/>
  <c r="B1332" i="5"/>
  <c r="B3109" i="5"/>
  <c r="B1164" i="5"/>
  <c r="B1420" i="5"/>
  <c r="B3197" i="5"/>
  <c r="E3196" i="5" s="1" a="1"/>
  <c r="E3196" i="5" s="1"/>
  <c r="B3516" i="5"/>
  <c r="B748" i="5"/>
  <c r="B3488" i="5"/>
  <c r="E3487" i="5" s="1" a="1"/>
  <c r="E3487" i="5" s="1"/>
  <c r="B3444" i="5"/>
  <c r="B729" i="5"/>
  <c r="B164" i="5"/>
  <c r="B382" i="5"/>
  <c r="B701" i="5"/>
  <c r="B4058" i="5"/>
  <c r="B2916" i="5"/>
  <c r="B2234" i="5"/>
  <c r="B2960" i="5"/>
  <c r="B4278" i="5"/>
  <c r="B4300" i="5"/>
  <c r="E4299" i="5" s="1" a="1"/>
  <c r="E4299" i="5" s="1"/>
  <c r="B3893" i="5"/>
  <c r="B3713" i="5"/>
  <c r="B3130" i="5"/>
  <c r="B3260" i="5"/>
  <c r="E3260" i="5" s="1" a="1"/>
  <c r="E3260" i="5" s="1"/>
  <c r="B3174" i="5"/>
  <c r="E3173" i="5" s="1" a="1"/>
  <c r="E3173" i="5" s="1"/>
  <c r="B3048" i="5"/>
  <c r="B3818" i="5"/>
  <c r="B3583" i="5"/>
  <c r="B661" i="5"/>
  <c r="B1084" i="5"/>
  <c r="B1340" i="5"/>
  <c r="B4730" i="5"/>
  <c r="B2813" i="5"/>
  <c r="E2813" i="5" s="1" a="1"/>
  <c r="E2813" i="5" s="1"/>
  <c r="B490" i="5"/>
  <c r="B1531" i="5"/>
  <c r="B3005" i="5"/>
  <c r="B130" i="5"/>
  <c r="B3987" i="5"/>
  <c r="B4067" i="5"/>
  <c r="E4066" i="5" s="1" a="1"/>
  <c r="E4066" i="5" s="1"/>
  <c r="B4474" i="5"/>
  <c r="B3323" i="5"/>
  <c r="B3952" i="5"/>
  <c r="B228" i="5"/>
  <c r="E227" i="5" s="1" a="1"/>
  <c r="E227" i="5" s="1"/>
  <c r="B912" i="5"/>
  <c r="E911" i="5" s="1" a="1"/>
  <c r="E911" i="5" s="1"/>
  <c r="B3324" i="5"/>
  <c r="B3515" i="5"/>
  <c r="B2164" i="5"/>
  <c r="B2440" i="5"/>
  <c r="E2439" i="5" s="1" a="1"/>
  <c r="E2439" i="5" s="1"/>
  <c r="B4329" i="5"/>
  <c r="B4480" i="5"/>
  <c r="B4700" i="5"/>
  <c r="B163" i="5"/>
  <c r="B2974" i="5"/>
  <c r="E2973" i="5" s="1" a="1"/>
  <c r="E2973" i="5" s="1"/>
  <c r="B1239" i="5"/>
  <c r="E1238" i="5" s="1" a="1"/>
  <c r="E1238" i="5" s="1"/>
  <c r="B1495" i="5"/>
  <c r="E1494" i="5" s="1" a="1"/>
  <c r="E1494" i="5" s="1"/>
  <c r="B2266" i="5"/>
  <c r="B992" i="5"/>
  <c r="E991" i="5" s="1" a="1"/>
  <c r="E991" i="5" s="1"/>
  <c r="B1248" i="5"/>
  <c r="B1504" i="5"/>
  <c r="B2811" i="5"/>
  <c r="B3025" i="5"/>
  <c r="B3478" i="5"/>
  <c r="B3989" i="5"/>
  <c r="B3912" i="5"/>
  <c r="B3945" i="5"/>
  <c r="B983" i="5"/>
  <c r="E982" i="5" s="1" a="1"/>
  <c r="E982" i="5" s="1"/>
  <c r="B627" i="5"/>
  <c r="B613" i="5"/>
  <c r="B1036" i="5"/>
  <c r="B1292" i="5"/>
  <c r="B2122" i="5"/>
  <c r="B2061" i="5"/>
  <c r="B2276" i="5"/>
  <c r="B2553" i="5"/>
  <c r="B2681" i="5"/>
  <c r="E2680" i="5" s="1" a="1"/>
  <c r="E2680" i="5" s="1"/>
  <c r="B3069" i="5"/>
  <c r="E3068" i="5" s="1" a="1"/>
  <c r="E3068" i="5" s="1"/>
  <c r="B4882" i="5"/>
  <c r="B930" i="5"/>
  <c r="B971" i="5"/>
  <c r="E971" i="5" s="1" a="1"/>
  <c r="E971" i="5" s="1"/>
  <c r="B1227" i="5"/>
  <c r="E1227" i="5" s="1" a="1"/>
  <c r="E1227" i="5" s="1"/>
  <c r="B1483" i="5"/>
  <c r="E1483" i="5" s="1" a="1"/>
  <c r="E1483" i="5" s="1"/>
  <c r="B908" i="5"/>
  <c r="B1183" i="5"/>
  <c r="B1439" i="5"/>
  <c r="B3316" i="5"/>
  <c r="B3528" i="5"/>
  <c r="B3905" i="5"/>
  <c r="B824" i="5"/>
  <c r="E823" i="5" s="1" a="1"/>
  <c r="E823" i="5" s="1"/>
  <c r="B869" i="5"/>
  <c r="E868" i="5" s="1" a="1"/>
  <c r="E868" i="5" s="1"/>
  <c r="B4369" i="5"/>
  <c r="B916" i="5"/>
  <c r="B1236" i="5"/>
  <c r="B1492" i="5"/>
  <c r="B2531" i="5"/>
  <c r="B3332" i="5"/>
  <c r="B832" i="5"/>
  <c r="B1068" i="5"/>
  <c r="E1067" i="5" s="1" a="1"/>
  <c r="E1067" i="5" s="1"/>
  <c r="B1324" i="5"/>
  <c r="B2666" i="5"/>
  <c r="E2665" i="5" s="1" a="1"/>
  <c r="E2665" i="5" s="1"/>
  <c r="B3101" i="5"/>
  <c r="E3100" i="5" s="1" a="1"/>
  <c r="E3100" i="5" s="1"/>
  <c r="B3554" i="5"/>
  <c r="B3958" i="5"/>
  <c r="B3862" i="5"/>
  <c r="B4035" i="5"/>
  <c r="E4034" i="5" s="1" a="1"/>
  <c r="E4034" i="5" s="1"/>
  <c r="B617" i="5"/>
  <c r="B55" i="5"/>
  <c r="E55" i="5" s="1" a="1"/>
  <c r="E55" i="5" s="1"/>
  <c r="B2652" i="5"/>
  <c r="B3930" i="5"/>
  <c r="B4076" i="5"/>
  <c r="B526" i="5"/>
  <c r="B782" i="5"/>
  <c r="E781" i="5" s="1" a="1"/>
  <c r="E781" i="5" s="1"/>
  <c r="B2375" i="5"/>
  <c r="B2253" i="5"/>
  <c r="B2630" i="5"/>
  <c r="B2758" i="5"/>
  <c r="B3604" i="5"/>
  <c r="B3868" i="5"/>
  <c r="B210" i="5"/>
  <c r="B738" i="5"/>
  <c r="B2608" i="5"/>
  <c r="B2736" i="5"/>
  <c r="B3560" i="5"/>
  <c r="B3824" i="5"/>
  <c r="B4181" i="5"/>
  <c r="B321" i="5"/>
  <c r="E320" i="5" s="1" a="1"/>
  <c r="E320" i="5" s="1"/>
  <c r="B885" i="5"/>
  <c r="E884" i="5" s="1" a="1"/>
  <c r="E884" i="5" s="1"/>
  <c r="B4930" i="5"/>
  <c r="B87" i="5"/>
  <c r="B3677" i="5"/>
  <c r="B3897" i="5"/>
  <c r="B4363" i="5"/>
  <c r="B1097" i="5"/>
  <c r="B1353" i="5"/>
  <c r="B150" i="5"/>
  <c r="E149" i="5" s="1" a="1"/>
  <c r="E149" i="5" s="1"/>
  <c r="B856" i="5"/>
  <c r="B331" i="5"/>
  <c r="B2356" i="5"/>
  <c r="E2355" i="5" s="1" a="1"/>
  <c r="E2355" i="5" s="1"/>
  <c r="B2830" i="5"/>
  <c r="B3602" i="5"/>
  <c r="B4998" i="5"/>
  <c r="B45" i="5"/>
  <c r="E44" i="5" s="1" a="1"/>
  <c r="E44" i="5" s="1"/>
  <c r="B665" i="5"/>
  <c r="B2052" i="5"/>
  <c r="B4624" i="5"/>
  <c r="B291" i="5"/>
  <c r="E290" i="5" s="1" a="1"/>
  <c r="E290" i="5" s="1"/>
  <c r="B2008" i="5"/>
  <c r="B2632" i="5"/>
  <c r="B2760" i="5"/>
  <c r="B4579" i="5"/>
  <c r="B183" i="5"/>
  <c r="E182" i="5" s="1" a="1"/>
  <c r="E182" i="5" s="1"/>
  <c r="B678" i="5"/>
  <c r="E677" i="5" s="1" a="1"/>
  <c r="E677" i="5" s="1"/>
  <c r="B110" i="5"/>
  <c r="B376" i="5"/>
  <c r="B1148" i="5"/>
  <c r="E1147" i="5" s="1" a="1"/>
  <c r="E1147" i="5" s="1"/>
  <c r="B1404" i="5"/>
  <c r="E1403" i="5" s="1" a="1"/>
  <c r="E1403" i="5" s="1"/>
  <c r="B3378" i="5"/>
  <c r="B3634" i="5"/>
  <c r="B129" i="5"/>
  <c r="B650" i="5"/>
  <c r="B858" i="5"/>
  <c r="B1083" i="5"/>
  <c r="B1339" i="5"/>
  <c r="B2233" i="5"/>
  <c r="B606" i="5"/>
  <c r="B1039" i="5"/>
  <c r="B1295" i="5"/>
  <c r="B90" i="5"/>
  <c r="B562" i="5"/>
  <c r="B2096" i="5"/>
  <c r="B1127" i="5"/>
  <c r="E1126" i="5" s="1" a="1"/>
  <c r="E1126" i="5" s="1"/>
  <c r="B2586" i="5"/>
  <c r="B688" i="5"/>
  <c r="B1136" i="5"/>
  <c r="E1135" i="5" s="1" a="1"/>
  <c r="E1135" i="5" s="1"/>
  <c r="B2572" i="5"/>
  <c r="B2700" i="5"/>
  <c r="B1092" i="5"/>
  <c r="B1348" i="5"/>
  <c r="B2550" i="5"/>
  <c r="B2678" i="5"/>
  <c r="B3125" i="5"/>
  <c r="B4203" i="5"/>
  <c r="B2656" i="5"/>
  <c r="B1383" i="5"/>
  <c r="E1382" i="5" s="1" a="1"/>
  <c r="E1382" i="5" s="1"/>
  <c r="B2714" i="5"/>
  <c r="B4200" i="5"/>
  <c r="B4518" i="5"/>
  <c r="B144" i="5"/>
  <c r="E143" i="5" s="1" a="1"/>
  <c r="E143" i="5" s="1"/>
  <c r="B757" i="5"/>
  <c r="B1180" i="5"/>
  <c r="E1179" i="5" s="1" a="1"/>
  <c r="E1179" i="5" s="1"/>
  <c r="B1436" i="5"/>
  <c r="E1435" i="5" s="1" a="1"/>
  <c r="E1435" i="5" s="1"/>
  <c r="B1743" i="5"/>
  <c r="B2894" i="5"/>
  <c r="E2893" i="5" s="1" a="1"/>
  <c r="E2893" i="5" s="1"/>
  <c r="B3213" i="5"/>
  <c r="E3212" i="5" s="1" a="1"/>
  <c r="E3212" i="5" s="1"/>
  <c r="B3996" i="5"/>
  <c r="B874" i="5"/>
  <c r="B1152" i="5"/>
  <c r="E1151" i="5" s="1" a="1"/>
  <c r="E1151" i="5" s="1"/>
  <c r="B1408" i="5"/>
  <c r="E1407" i="5" s="1" a="1"/>
  <c r="E1407" i="5" s="1"/>
  <c r="B3185" i="5"/>
  <c r="B142" i="5"/>
  <c r="B1108" i="5"/>
  <c r="B1364" i="5"/>
  <c r="B2347" i="5"/>
  <c r="E2346" i="5" s="1" a="1"/>
  <c r="E2346" i="5" s="1"/>
  <c r="B880" i="5"/>
  <c r="E879" i="5" s="1" a="1"/>
  <c r="E879" i="5" s="1"/>
  <c r="B198" i="5"/>
  <c r="B233" i="5"/>
  <c r="E232" i="5" s="1" a="1"/>
  <c r="E232" i="5" s="1"/>
  <c r="B896" i="5"/>
  <c r="E895" i="5" s="1" a="1"/>
  <c r="E895" i="5" s="1"/>
  <c r="B813" i="5"/>
  <c r="B941" i="5"/>
  <c r="E940" i="5" s="1" a="1"/>
  <c r="E940" i="5" s="1"/>
  <c r="B1196" i="5"/>
  <c r="E1195" i="5" s="1" a="1"/>
  <c r="E1195" i="5" s="1"/>
  <c r="B1452" i="5"/>
  <c r="E1451" i="5" s="1" a="1"/>
  <c r="E1451" i="5" s="1"/>
  <c r="B2160" i="5"/>
  <c r="B2602" i="5"/>
  <c r="E2601" i="5" s="1" a="1"/>
  <c r="E2601" i="5" s="1"/>
  <c r="B2730" i="5"/>
  <c r="E2729" i="5" s="1" a="1"/>
  <c r="E2729" i="5" s="1"/>
  <c r="B3062" i="5"/>
  <c r="E3061" i="5" s="1" a="1"/>
  <c r="E3061" i="5" s="1"/>
  <c r="B3229" i="5"/>
  <c r="E3228" i="5" s="1" a="1"/>
  <c r="E3228" i="5" s="1"/>
  <c r="B3192" i="5"/>
  <c r="B3698" i="5"/>
  <c r="E3697" i="5" s="1" a="1"/>
  <c r="E3697" i="5" s="1"/>
  <c r="B4177" i="5"/>
  <c r="B4857" i="5"/>
  <c r="B4901" i="5"/>
  <c r="E4900" i="5" s="1" a="1"/>
  <c r="E4900" i="5" s="1"/>
  <c r="B1078" i="5"/>
  <c r="B1334" i="5"/>
  <c r="B4313" i="5"/>
  <c r="B4448" i="5"/>
  <c r="E4447" i="5" s="1" a="1"/>
  <c r="E4447" i="5" s="1"/>
  <c r="B654" i="5"/>
  <c r="B610" i="5"/>
  <c r="B3432" i="5"/>
  <c r="B223" i="5"/>
  <c r="B2969" i="5"/>
  <c r="B2458" i="5"/>
  <c r="B3119" i="5"/>
  <c r="B4656" i="5"/>
  <c r="B4811" i="5"/>
  <c r="E4810" i="5" s="1" a="1"/>
  <c r="E4810" i="5" s="1"/>
  <c r="B220" i="5"/>
  <c r="B3414" i="5"/>
  <c r="B4948" i="5"/>
  <c r="B3370" i="5"/>
  <c r="B3626" i="5"/>
  <c r="B742" i="5"/>
  <c r="B2208" i="5"/>
  <c r="B953" i="5"/>
  <c r="B1209" i="5"/>
  <c r="B1465" i="5"/>
  <c r="B421" i="5"/>
  <c r="B2499" i="5"/>
  <c r="B4962" i="5"/>
  <c r="E4961" i="5" s="1" a="1"/>
  <c r="E4961" i="5" s="1"/>
  <c r="B1163" i="5"/>
  <c r="B1419" i="5"/>
  <c r="B211" i="5"/>
  <c r="E210" i="5" s="1" a="1"/>
  <c r="E210" i="5" s="1"/>
  <c r="B3552" i="5"/>
  <c r="E3551" i="5" s="1" a="1"/>
  <c r="E3551" i="5" s="1"/>
  <c r="B374" i="5"/>
  <c r="B1119" i="5"/>
  <c r="B1375" i="5"/>
  <c r="B3508" i="5"/>
  <c r="B411" i="5"/>
  <c r="B3353" i="5"/>
  <c r="B2237" i="5"/>
  <c r="B2449" i="5"/>
  <c r="B3305" i="5"/>
  <c r="B960" i="5"/>
  <c r="B1216" i="5"/>
  <c r="E1215" i="5" s="1" a="1"/>
  <c r="E1215" i="5" s="1"/>
  <c r="B1472" i="5"/>
  <c r="E1471" i="5" s="1" a="1"/>
  <c r="E1471" i="5" s="1"/>
  <c r="B2612" i="5"/>
  <c r="B2740" i="5"/>
  <c r="B3249" i="5"/>
  <c r="E3248" i="5" s="1" a="1"/>
  <c r="E3248" i="5" s="1"/>
  <c r="B4496" i="5"/>
  <c r="B1172" i="5"/>
  <c r="B1428" i="5"/>
  <c r="B2590" i="5"/>
  <c r="B2718" i="5"/>
  <c r="B1004" i="5"/>
  <c r="E1003" i="5" s="1" a="1"/>
  <c r="E1003" i="5" s="1"/>
  <c r="B3037" i="5"/>
  <c r="E3036" i="5" s="1" a="1"/>
  <c r="E3036" i="5" s="1"/>
  <c r="B4586" i="5"/>
  <c r="B406" i="5"/>
  <c r="B1260" i="5"/>
  <c r="B246" i="5"/>
  <c r="B4630" i="5"/>
  <c r="B3600" i="5"/>
  <c r="B407" i="5"/>
  <c r="E406" i="5" s="1" a="1"/>
  <c r="E406" i="5" s="1"/>
  <c r="B3556" i="5"/>
  <c r="B264" i="5"/>
  <c r="E263" i="5" s="1" a="1"/>
  <c r="E263" i="5" s="1"/>
  <c r="B1599" i="5"/>
  <c r="B1855" i="5"/>
  <c r="B4127" i="5"/>
  <c r="B2248" i="5"/>
  <c r="E2247" i="5" s="1" a="1"/>
  <c r="E2247" i="5" s="1"/>
  <c r="B2504" i="5"/>
  <c r="E2503" i="5" s="1" a="1"/>
  <c r="E2503" i="5" s="1"/>
  <c r="B2254" i="5"/>
  <c r="E2253" i="5" s="1" a="1"/>
  <c r="E2253" i="5" s="1"/>
  <c r="B4005" i="5"/>
  <c r="B4182" i="5"/>
  <c r="B4691" i="5"/>
  <c r="B1190" i="5"/>
  <c r="B1446" i="5"/>
  <c r="B251" i="5"/>
  <c r="B4560" i="5"/>
  <c r="B2772" i="5"/>
  <c r="B4709" i="5"/>
  <c r="B453" i="5"/>
  <c r="B2816" i="5"/>
  <c r="B3899" i="5"/>
  <c r="B2668" i="5"/>
  <c r="B4334" i="5"/>
  <c r="B4265" i="5"/>
  <c r="B4918" i="5"/>
  <c r="B2646" i="5"/>
  <c r="B4202" i="5"/>
  <c r="B1762" i="5"/>
  <c r="B2562" i="5"/>
  <c r="E2561" i="5" s="1" a="1"/>
  <c r="E2561" i="5" s="1"/>
  <c r="B2690" i="5"/>
  <c r="E2689" i="5" s="1" a="1"/>
  <c r="E2689" i="5" s="1"/>
  <c r="B2362" i="5"/>
  <c r="E2361" i="5" s="1" a="1"/>
  <c r="E2361" i="5" s="1"/>
  <c r="B3468" i="5"/>
  <c r="E3467" i="5" s="1" a="1"/>
  <c r="E3467" i="5" s="1"/>
  <c r="B4356" i="5"/>
  <c r="E4355" i="5" s="1" a="1"/>
  <c r="E4355" i="5" s="1"/>
  <c r="B4645" i="5"/>
  <c r="B842" i="5"/>
  <c r="B3314" i="5"/>
  <c r="B820" i="5"/>
  <c r="B2349" i="5"/>
  <c r="B3396" i="5"/>
  <c r="B4752" i="5"/>
  <c r="B2068" i="5"/>
  <c r="B2923" i="5"/>
  <c r="B3994" i="5"/>
  <c r="E3993" i="5" s="1" a="1"/>
  <c r="E3993" i="5" s="1"/>
  <c r="B3825" i="5"/>
  <c r="B544" i="5"/>
  <c r="B590" i="5"/>
  <c r="B3950" i="5"/>
  <c r="B4031" i="5"/>
  <c r="B4623" i="5"/>
  <c r="B546" i="5"/>
  <c r="B802" i="5"/>
  <c r="B864" i="5"/>
  <c r="E863" i="5" s="1" a="1"/>
  <c r="E863" i="5" s="1"/>
  <c r="B739" i="5"/>
  <c r="E738" i="5" s="1" a="1"/>
  <c r="E738" i="5" s="1"/>
  <c r="B160" i="5"/>
  <c r="B2173" i="5"/>
  <c r="B2578" i="5"/>
  <c r="E2577" i="5" s="1" a="1"/>
  <c r="E2577" i="5" s="1"/>
  <c r="B2706" i="5"/>
  <c r="E2705" i="5" s="1" a="1"/>
  <c r="E2705" i="5" s="1"/>
  <c r="B2609" i="5"/>
  <c r="E2608" i="5" s="1" a="1"/>
  <c r="E2608" i="5" s="1"/>
  <c r="B2737" i="5"/>
  <c r="B2967" i="5"/>
  <c r="E2966" i="5" s="1" a="1"/>
  <c r="E2966" i="5" s="1"/>
  <c r="B3869" i="5"/>
  <c r="B4808" i="5"/>
  <c r="B5009" i="5"/>
  <c r="B154" i="5"/>
  <c r="E154" i="5" s="1" a="1"/>
  <c r="E154" i="5" s="1"/>
  <c r="B903" i="5"/>
  <c r="E903" i="5" s="1" a="1"/>
  <c r="E903" i="5" s="1"/>
  <c r="B2564" i="5"/>
  <c r="B2692" i="5"/>
  <c r="B3242" i="5"/>
  <c r="B3116" i="5"/>
  <c r="E3116" i="5" s="1" a="1"/>
  <c r="E3116" i="5" s="1"/>
  <c r="B3606" i="5"/>
  <c r="B2670" i="5"/>
  <c r="B176" i="5"/>
  <c r="B925" i="5"/>
  <c r="E924" i="5" s="1" a="1"/>
  <c r="E924" i="5" s="1"/>
  <c r="B3030" i="5"/>
  <c r="E3029" i="5" s="1" a="1"/>
  <c r="E3029" i="5" s="1"/>
  <c r="B3160" i="5"/>
  <c r="B3747" i="5"/>
  <c r="B2376" i="5"/>
  <c r="E2375" i="5" s="1" a="1"/>
  <c r="E2375" i="5" s="1"/>
  <c r="B4297" i="5"/>
  <c r="B1055" i="5"/>
  <c r="E1055" i="5" s="1" a="1"/>
  <c r="E1055" i="5" s="1"/>
  <c r="B1311" i="5"/>
  <c r="B106" i="5"/>
  <c r="B4275" i="5"/>
  <c r="B2420" i="5"/>
  <c r="B3718" i="5"/>
  <c r="B4680" i="5"/>
  <c r="E4679" i="5" s="1" a="1"/>
  <c r="E4679" i="5" s="1"/>
  <c r="B3439" i="5"/>
  <c r="B4772" i="5"/>
  <c r="B3548" i="5"/>
  <c r="E3547" i="5" s="1" a="1"/>
  <c r="E3547" i="5" s="1"/>
  <c r="B3483" i="5"/>
  <c r="B2132" i="5"/>
  <c r="B2925" i="5"/>
  <c r="B2414" i="5"/>
  <c r="B3075" i="5"/>
  <c r="B3520" i="5"/>
  <c r="E3519" i="5" s="1" a="1"/>
  <c r="E3519" i="5" s="1"/>
  <c r="B2088" i="5"/>
  <c r="B3476" i="5"/>
  <c r="B3580" i="5"/>
  <c r="E3579" i="5" s="1" a="1"/>
  <c r="E3579" i="5" s="1"/>
  <c r="B2582" i="5"/>
  <c r="B2710" i="5"/>
  <c r="B1713" i="5"/>
  <c r="B1600" i="5"/>
  <c r="B1856" i="5"/>
  <c r="B2123" i="5"/>
  <c r="E2122" i="5" s="1" a="1"/>
  <c r="E2122" i="5" s="1"/>
  <c r="B1606" i="5"/>
  <c r="B1862" i="5"/>
  <c r="B1685" i="5"/>
  <c r="B1941" i="5"/>
  <c r="B1572" i="5"/>
  <c r="B1828" i="5"/>
  <c r="B2095" i="5"/>
  <c r="B4865" i="5"/>
  <c r="B525" i="5"/>
  <c r="B3388" i="5"/>
  <c r="E3387" i="5" s="1" a="1"/>
  <c r="E3387" i="5" s="1"/>
  <c r="B3616" i="5"/>
  <c r="E3615" i="5" s="1" a="1"/>
  <c r="E3615" i="5" s="1"/>
  <c r="B3572" i="5"/>
  <c r="B1777" i="5"/>
  <c r="B4822" i="5"/>
  <c r="E4821" i="5" s="1" a="1"/>
  <c r="E4821" i="5" s="1"/>
  <c r="B1749" i="5"/>
  <c r="B1977" i="5"/>
  <c r="E1976" i="5" s="1" a="1"/>
  <c r="E1976" i="5" s="1"/>
  <c r="B3420" i="5"/>
  <c r="E3419" i="5" s="1" a="1"/>
  <c r="E3419" i="5" s="1"/>
  <c r="B4395" i="5"/>
  <c r="B4445" i="5"/>
  <c r="E4444" i="5" s="1" a="1"/>
  <c r="E4444" i="5" s="1"/>
  <c r="B1652" i="5"/>
  <c r="B1908" i="5"/>
  <c r="B2175" i="5"/>
  <c r="B3392" i="5"/>
  <c r="E3391" i="5" s="1" a="1"/>
  <c r="E3391" i="5" s="1"/>
  <c r="B4400" i="5"/>
  <c r="B222" i="5"/>
  <c r="B4750" i="5"/>
  <c r="E4749" i="5" s="1" a="1"/>
  <c r="E4749" i="5" s="1"/>
  <c r="B600" i="5"/>
  <c r="B1734" i="5"/>
  <c r="B4455" i="5"/>
  <c r="E4454" i="5" s="1" a="1"/>
  <c r="E4454" i="5" s="1"/>
  <c r="B348" i="5"/>
  <c r="B1649" i="5"/>
  <c r="B1905" i="5"/>
  <c r="B4883" i="5"/>
  <c r="B1621" i="5"/>
  <c r="B1877" i="5"/>
  <c r="B4786" i="5"/>
  <c r="B2588" i="5"/>
  <c r="B2716" i="5"/>
  <c r="B3876" i="5"/>
  <c r="E3875" i="5" s="1" a="1"/>
  <c r="E3875" i="5" s="1"/>
  <c r="B4637" i="5"/>
  <c r="E4636" i="5" s="1" a="1"/>
  <c r="E4636" i="5" s="1"/>
  <c r="B4880" i="5"/>
  <c r="E4879" i="5" s="1" a="1"/>
  <c r="E4879" i="5" s="1"/>
  <c r="B427" i="5"/>
  <c r="B3848" i="5"/>
  <c r="B4247" i="5"/>
  <c r="B4609" i="5"/>
  <c r="E4608" i="5" s="1" a="1"/>
  <c r="E4608" i="5" s="1"/>
  <c r="B5032" i="5"/>
  <c r="E5031" i="5" s="1" a="1"/>
  <c r="E5031" i="5" s="1"/>
  <c r="B1578" i="5"/>
  <c r="B1834" i="5"/>
  <c r="B1657" i="5"/>
  <c r="B1913" i="5"/>
  <c r="B3540" i="5"/>
  <c r="B3804" i="5"/>
  <c r="E3804" i="5" s="1" a="1"/>
  <c r="E3804" i="5" s="1"/>
  <c r="B4565" i="5"/>
  <c r="E4564" i="5" s="1" a="1"/>
  <c r="E4564" i="5" s="1"/>
  <c r="B1790" i="5"/>
  <c r="B1613" i="5"/>
  <c r="B1869" i="5"/>
  <c r="B3496" i="5"/>
  <c r="B3760" i="5"/>
  <c r="E3760" i="5" s="1" a="1"/>
  <c r="E3760" i="5" s="1"/>
  <c r="B1664" i="5"/>
  <c r="E1663" i="5" s="1" a="1"/>
  <c r="E1663" i="5" s="1"/>
  <c r="B1920" i="5"/>
  <c r="E1919" i="5" s="1" a="1"/>
  <c r="E1919" i="5" s="1"/>
  <c r="B2187" i="5"/>
  <c r="E2186" i="5" s="1" a="1"/>
  <c r="E2186" i="5" s="1"/>
  <c r="B2658" i="5"/>
  <c r="E2657" i="5" s="1" a="1"/>
  <c r="E2657" i="5" s="1"/>
  <c r="B4226" i="5"/>
  <c r="E4225" i="5" s="1" a="1"/>
  <c r="E4225" i="5" s="1"/>
  <c r="B4971" i="5"/>
  <c r="E4970" i="5" s="1" a="1"/>
  <c r="E4970" i="5" s="1"/>
  <c r="B1636" i="5"/>
  <c r="B1892" i="5"/>
  <c r="B2463" i="5"/>
  <c r="E2462" i="5" s="1" a="1"/>
  <c r="E2462" i="5" s="1"/>
  <c r="B2159" i="5"/>
  <c r="B2644" i="5"/>
  <c r="B3926" i="5"/>
  <c r="B2622" i="5"/>
  <c r="B2750" i="5"/>
  <c r="B2600" i="5"/>
  <c r="B2728" i="5"/>
  <c r="B1686" i="5"/>
  <c r="B1942" i="5"/>
  <c r="E1941" i="5" s="1" a="1"/>
  <c r="E1941" i="5" s="1"/>
  <c r="B4135" i="5"/>
  <c r="B1598" i="5"/>
  <c r="B1854" i="5"/>
  <c r="B2674" i="5"/>
  <c r="E2673" i="5" s="1" a="1"/>
  <c r="E2673" i="5" s="1"/>
  <c r="B2660" i="5"/>
  <c r="B2616" i="5"/>
  <c r="B2744" i="5"/>
  <c r="B1728" i="5"/>
  <c r="E1727" i="5" s="1" a="1"/>
  <c r="E1727" i="5" s="1"/>
  <c r="B1995" i="5"/>
  <c r="E1994" i="5" s="1" a="1"/>
  <c r="E1994" i="5" s="1"/>
  <c r="B4410" i="5"/>
  <c r="E4409" i="5" s="1" a="1"/>
  <c r="E4409" i="5" s="1"/>
  <c r="B4739" i="5"/>
  <c r="E4738" i="5" s="1" a="1"/>
  <c r="E4738" i="5" s="1"/>
  <c r="B1700" i="5"/>
  <c r="B4509" i="5"/>
  <c r="E4508" i="5" s="1" a="1"/>
  <c r="E4508" i="5" s="1"/>
  <c r="B4733" i="5"/>
  <c r="B2662" i="5"/>
  <c r="B1741" i="5"/>
  <c r="B2640" i="5"/>
  <c r="B4112" i="5"/>
  <c r="E4111" i="5" s="1" a="1"/>
  <c r="E4111" i="5" s="1"/>
  <c r="B1570" i="5"/>
  <c r="B1826" i="5"/>
  <c r="B1792" i="5"/>
  <c r="E1791" i="5" s="1" a="1"/>
  <c r="E1791" i="5" s="1"/>
  <c r="B2059" i="5"/>
  <c r="E2058" i="5" s="1" a="1"/>
  <c r="E2058" i="5" s="1"/>
  <c r="B3532" i="5"/>
  <c r="E3531" i="5" s="1" a="1"/>
  <c r="E3531" i="5" s="1"/>
  <c r="B1798" i="5"/>
  <c r="B1764" i="5"/>
  <c r="B1982" i="5"/>
  <c r="B2031" i="5"/>
  <c r="B3504" i="5"/>
  <c r="E3503" i="5" s="1" a="1"/>
  <c r="E3503" i="5" s="1"/>
  <c r="B636" i="5"/>
  <c r="B3416" i="5"/>
  <c r="B3812" i="5"/>
  <c r="E3811" i="5" s="1" a="1"/>
  <c r="E3811" i="5" s="1"/>
  <c r="B4114" i="5"/>
  <c r="E4113" i="5" s="1" a="1"/>
  <c r="E4113" i="5" s="1"/>
  <c r="B4573" i="5"/>
  <c r="E4572" i="5" s="1" a="1"/>
  <c r="E4572" i="5" s="1"/>
  <c r="B1558" i="5"/>
  <c r="B1814" i="5"/>
  <c r="E1813" i="5" s="1" a="1"/>
  <c r="E1813" i="5" s="1"/>
  <c r="B1637" i="5"/>
  <c r="E1636" i="5" s="1" a="1"/>
  <c r="E1636" i="5" s="1"/>
  <c r="B1893" i="5"/>
  <c r="B1780" i="5"/>
  <c r="B2047" i="5"/>
  <c r="B3784" i="5"/>
  <c r="B4545" i="5"/>
  <c r="E4544" i="5" s="1" a="1"/>
  <c r="E4544" i="5" s="1"/>
  <c r="B4932" i="5"/>
  <c r="B1770" i="5"/>
  <c r="B2566" i="5"/>
  <c r="B2694" i="5"/>
  <c r="B4758" i="5"/>
  <c r="B1726" i="5"/>
  <c r="B1805" i="5"/>
  <c r="B2672" i="5"/>
  <c r="B805" i="5"/>
  <c r="B1191" i="5"/>
  <c r="E1190" i="5" s="1" a="1"/>
  <c r="E1190" i="5" s="1"/>
  <c r="B1447" i="5"/>
  <c r="E1446" i="5" s="1" a="1"/>
  <c r="E1446" i="5" s="1"/>
  <c r="B2618" i="5"/>
  <c r="E2617" i="5" s="1" a="1"/>
  <c r="E2617" i="5" s="1"/>
  <c r="B2746" i="5"/>
  <c r="E2745" i="5" s="1" a="1"/>
  <c r="E2745" i="5" s="1"/>
  <c r="B2942" i="5"/>
  <c r="E2941" i="5" s="1" a="1"/>
  <c r="E2941" i="5" s="1"/>
  <c r="B4949" i="5"/>
  <c r="B237" i="5"/>
  <c r="E236" i="5" s="1" a="1"/>
  <c r="E236" i="5" s="1"/>
  <c r="B944" i="5"/>
  <c r="B1200" i="5"/>
  <c r="E1199" i="5" s="1" a="1"/>
  <c r="E1199" i="5" s="1"/>
  <c r="B1456" i="5"/>
  <c r="E1455" i="5" s="1" a="1"/>
  <c r="E1455" i="5" s="1"/>
  <c r="B2604" i="5"/>
  <c r="B2732" i="5"/>
  <c r="B988" i="5"/>
  <c r="E987" i="5" s="1" a="1"/>
  <c r="E987" i="5" s="1"/>
  <c r="B1244" i="5"/>
  <c r="E1243" i="5" s="1" a="1"/>
  <c r="E1243" i="5" s="1"/>
  <c r="B1500" i="5"/>
  <c r="E1499" i="5" s="1" a="1"/>
  <c r="E1499" i="5" s="1"/>
  <c r="B1634" i="5"/>
  <c r="B1890" i="5"/>
  <c r="B2626" i="5"/>
  <c r="B2754" i="5"/>
  <c r="E2753" i="5" s="1" a="1"/>
  <c r="E2753" i="5" s="1"/>
  <c r="B3021" i="5"/>
  <c r="E3020" i="5" s="1" a="1"/>
  <c r="E3020" i="5" s="1"/>
  <c r="B3596" i="5"/>
  <c r="B3568" i="5"/>
  <c r="B3957" i="5"/>
  <c r="B2337" i="5"/>
  <c r="B3524" i="5"/>
  <c r="B3480" i="5"/>
  <c r="B928" i="5"/>
  <c r="E927" i="5" s="1" a="1"/>
  <c r="E927" i="5" s="1"/>
  <c r="B2634" i="5"/>
  <c r="E2633" i="5" s="1" a="1"/>
  <c r="E2633" i="5" s="1"/>
  <c r="B2762" i="5"/>
  <c r="E2761" i="5" s="1" a="1"/>
  <c r="E2761" i="5" s="1"/>
  <c r="B2500" i="5"/>
  <c r="E2499" i="5" s="1" a="1"/>
  <c r="E2499" i="5" s="1"/>
  <c r="B3612" i="5"/>
  <c r="E3611" i="5" s="1" a="1"/>
  <c r="E3611" i="5" s="1"/>
  <c r="B4001" i="5"/>
  <c r="E4000" i="5" s="1" a="1"/>
  <c r="E4000" i="5" s="1"/>
  <c r="B270" i="5"/>
  <c r="E269" i="5" s="1" a="1"/>
  <c r="E269" i="5" s="1"/>
  <c r="B914" i="5"/>
  <c r="B1622" i="5"/>
  <c r="B1878" i="5"/>
  <c r="B1701" i="5"/>
  <c r="B1588" i="5"/>
  <c r="B1844" i="5"/>
  <c r="B2111" i="5"/>
  <c r="B2620" i="5"/>
  <c r="B2748" i="5"/>
  <c r="B3328" i="5"/>
  <c r="B3584" i="5"/>
  <c r="E3583" i="5" s="1" a="1"/>
  <c r="E3583" i="5" s="1"/>
  <c r="B3657" i="5"/>
  <c r="B718" i="5"/>
  <c r="B892" i="5"/>
  <c r="B153" i="5"/>
  <c r="E152" i="5" s="1" a="1"/>
  <c r="E152" i="5" s="1"/>
  <c r="B4495" i="5"/>
  <c r="B4892" i="5"/>
  <c r="B704" i="5"/>
  <c r="B674" i="5"/>
  <c r="B4451" i="5"/>
  <c r="B4521" i="5"/>
  <c r="E4521" i="5" s="1" a="1"/>
  <c r="E4521" i="5" s="1"/>
  <c r="B550" i="5"/>
  <c r="B806" i="5"/>
  <c r="B936" i="5"/>
  <c r="E935" i="5" s="1" a="1"/>
  <c r="E935" i="5" s="1"/>
  <c r="B471" i="5"/>
  <c r="E470" i="5" s="1" a="1"/>
  <c r="E470" i="5" s="1"/>
  <c r="B2642" i="5"/>
  <c r="E2641" i="5" s="1" a="1"/>
  <c r="E2641" i="5" s="1"/>
  <c r="B3372" i="5"/>
  <c r="B3628" i="5"/>
  <c r="B3922" i="5"/>
  <c r="E3921" i="5" s="1" a="1"/>
  <c r="E3921" i="5" s="1"/>
  <c r="B4583" i="5"/>
  <c r="E4582" i="5" s="1" a="1"/>
  <c r="E4582" i="5" s="1"/>
  <c r="B522" i="5"/>
  <c r="E521" i="5" s="1" a="1"/>
  <c r="E521" i="5" s="1"/>
  <c r="B778" i="5"/>
  <c r="E777" i="5" s="1" a="1"/>
  <c r="E777" i="5" s="1"/>
  <c r="B569" i="5"/>
  <c r="B2628" i="5"/>
  <c r="B2756" i="5"/>
  <c r="B4166" i="5"/>
  <c r="E4165" i="5" s="1" a="1"/>
  <c r="E4165" i="5" s="1"/>
  <c r="B4555" i="5"/>
  <c r="B206" i="5"/>
  <c r="B734" i="5"/>
  <c r="E733" i="5" s="1" a="1"/>
  <c r="E733" i="5" s="1"/>
  <c r="B2606" i="5"/>
  <c r="B2734" i="5"/>
  <c r="B4193" i="5"/>
  <c r="E4193" i="5" s="1" a="1"/>
  <c r="E4193" i="5" s="1"/>
  <c r="B4511" i="5"/>
  <c r="B5002" i="5"/>
  <c r="B690" i="5"/>
  <c r="B123" i="5"/>
  <c r="B2584" i="5"/>
  <c r="B2712" i="5"/>
  <c r="B4467" i="5"/>
  <c r="B2650" i="5"/>
  <c r="E2649" i="5" s="1" a="1"/>
  <c r="E2649" i="5" s="1"/>
  <c r="B2855" i="5"/>
  <c r="E2854" i="5" s="1" a="1"/>
  <c r="E2854" i="5" s="1"/>
  <c r="B3927" i="5"/>
  <c r="E3926" i="5" s="1" a="1"/>
  <c r="E3926" i="5" s="1"/>
  <c r="B3757" i="5"/>
  <c r="B847" i="5"/>
  <c r="B2636" i="5"/>
  <c r="B2614" i="5"/>
  <c r="B2742" i="5"/>
  <c r="B2592" i="5"/>
  <c r="B2720" i="5"/>
  <c r="B2343" i="5"/>
  <c r="B4347" i="5"/>
  <c r="B4263" i="5"/>
  <c r="E4262" i="5" s="1" a="1"/>
  <c r="E4262" i="5" s="1"/>
  <c r="B4104" i="5"/>
  <c r="B288" i="5"/>
  <c r="E287" i="5" s="1" a="1"/>
  <c r="E287" i="5" s="1"/>
  <c r="B2527" i="5"/>
  <c r="E2526" i="5" s="1" a="1"/>
  <c r="E2526" i="5" s="1"/>
  <c r="B1642" i="5"/>
  <c r="B1898" i="5"/>
  <c r="B2492" i="5"/>
  <c r="B4559" i="5"/>
  <c r="B4629" i="5"/>
  <c r="E4628" i="5" s="1" a="1"/>
  <c r="E4628" i="5" s="1"/>
  <c r="B4869" i="5"/>
  <c r="B4974" i="5"/>
  <c r="B4515" i="5"/>
  <c r="B4585" i="5"/>
  <c r="H12" i="3"/>
  <c r="B2005" i="5"/>
  <c r="E2004" i="5" s="1" a="1"/>
  <c r="E2004" i="5" s="1"/>
  <c r="B2459" i="5"/>
  <c r="E2458" i="5" s="1" a="1"/>
  <c r="E2458" i="5" s="1"/>
  <c r="B3436" i="5"/>
  <c r="E3435" i="5" s="1" a="1"/>
  <c r="E3435" i="5" s="1"/>
  <c r="B3371" i="5"/>
  <c r="B3627" i="5"/>
  <c r="E3626" i="5" s="1" a="1"/>
  <c r="E3626" i="5" s="1"/>
  <c r="B4043" i="5"/>
  <c r="E4042" i="5" s="1" a="1"/>
  <c r="E4042" i="5" s="1"/>
  <c r="B536" i="5"/>
  <c r="B2020" i="5"/>
  <c r="B3219" i="5"/>
  <c r="B3408" i="5"/>
  <c r="E3407" i="5" s="1" a="1"/>
  <c r="E3407" i="5" s="1"/>
  <c r="B4167" i="5"/>
  <c r="B4619" i="5"/>
  <c r="E4618" i="5" s="1" a="1"/>
  <c r="E4618" i="5" s="1"/>
  <c r="B2638" i="5"/>
  <c r="B2508" i="5"/>
  <c r="B3620" i="5"/>
  <c r="B4575" i="5"/>
  <c r="B432" i="5"/>
  <c r="B3576" i="5"/>
  <c r="B2782" i="5"/>
  <c r="E2781" i="5" s="1" a="1"/>
  <c r="E2781" i="5" s="1"/>
  <c r="B2064" i="5"/>
  <c r="B2857" i="5"/>
  <c r="B3263" i="5"/>
  <c r="B3452" i="5"/>
  <c r="E3451" i="5" s="1" a="1"/>
  <c r="E3451" i="5" s="1"/>
  <c r="B3424" i="5"/>
  <c r="E3423" i="5" s="1" a="1"/>
  <c r="E3423" i="5" s="1"/>
  <c r="B3558" i="5"/>
  <c r="B3380" i="5"/>
  <c r="B3514" i="5"/>
  <c r="B4075" i="5"/>
  <c r="E4074" i="5" s="1" a="1"/>
  <c r="E4074" i="5" s="1"/>
  <c r="B3592" i="5"/>
  <c r="B1051" i="5"/>
  <c r="E1051" i="5" s="1" a="1"/>
  <c r="E1051" i="5" s="1"/>
  <c r="B1307" i="5"/>
  <c r="B102" i="5"/>
  <c r="B2548" i="5"/>
  <c r="E2547" i="5" s="1" a="1"/>
  <c r="E2547" i="5" s="1"/>
  <c r="B2676" i="5"/>
  <c r="B3440" i="5"/>
  <c r="B4725" i="5"/>
  <c r="B1007" i="5"/>
  <c r="E1007" i="5" s="1" a="1"/>
  <c r="E1007" i="5" s="1"/>
  <c r="B1263" i="5"/>
  <c r="B2654" i="5"/>
  <c r="B4943" i="5"/>
  <c r="E4943" i="5" s="1" a="1"/>
  <c r="E4943" i="5" s="1"/>
  <c r="B357" i="5"/>
  <c r="E356" i="5" s="1" a="1"/>
  <c r="E356" i="5" s="1"/>
  <c r="B1095" i="5"/>
  <c r="E1094" i="5" s="1" a="1"/>
  <c r="E1094" i="5" s="1"/>
  <c r="B1351" i="5"/>
  <c r="B1132" i="5"/>
  <c r="E1131" i="5" s="1" a="1"/>
  <c r="E1131" i="5" s="1"/>
  <c r="B1388" i="5"/>
  <c r="E1387" i="5" s="1" a="1"/>
  <c r="E1387" i="5" s="1"/>
  <c r="B2570" i="5"/>
  <c r="E2569" i="5" s="1" a="1"/>
  <c r="E2569" i="5" s="1"/>
  <c r="B2698" i="5"/>
  <c r="E2697" i="5" s="1" a="1"/>
  <c r="E2697" i="5" s="1"/>
  <c r="B3165" i="5"/>
  <c r="E3164" i="5" s="1" a="1"/>
  <c r="E3164" i="5" s="1"/>
  <c r="B3484" i="5"/>
  <c r="B3748" i="5"/>
  <c r="E3747" i="5" s="1" a="1"/>
  <c r="E3747" i="5" s="1"/>
  <c r="B1104" i="5"/>
  <c r="E1103" i="5" s="1" a="1"/>
  <c r="E1103" i="5" s="1"/>
  <c r="B1360" i="5"/>
  <c r="E1359" i="5" s="1" a="1"/>
  <c r="E1359" i="5" s="1"/>
  <c r="B1750" i="5"/>
  <c r="E1749" i="5" s="1" a="1"/>
  <c r="E1749" i="5" s="1"/>
  <c r="B1573" i="5"/>
  <c r="E1572" i="5" s="1" a="1"/>
  <c r="E1572" i="5" s="1"/>
  <c r="B1829" i="5"/>
  <c r="E1828" i="5" s="1" a="1"/>
  <c r="E1828" i="5" s="1"/>
  <c r="B1716" i="5"/>
  <c r="B1983" i="5"/>
  <c r="E1982" i="5" s="1" a="1"/>
  <c r="E1982" i="5" s="1"/>
  <c r="B2556" i="5"/>
  <c r="B2684" i="5"/>
  <c r="B3137" i="5"/>
  <c r="B3456" i="5"/>
  <c r="E3455" i="5" s="1" a="1"/>
  <c r="E3455" i="5" s="1"/>
  <c r="B4398" i="5"/>
  <c r="B4481" i="5"/>
  <c r="E4480" i="5" s="1" a="1"/>
  <c r="E4480" i="5" s="1"/>
  <c r="B312" i="5"/>
  <c r="B1060" i="5"/>
  <c r="B1316" i="5"/>
  <c r="B1706" i="5"/>
  <c r="B1968" i="5"/>
  <c r="B1785" i="5"/>
  <c r="B2381" i="5"/>
  <c r="B2306" i="5"/>
  <c r="E2305" i="5" s="1" a="1"/>
  <c r="E2305" i="5" s="1"/>
  <c r="B3093" i="5"/>
  <c r="B3412" i="5"/>
  <c r="B3901" i="5"/>
  <c r="B4437" i="5"/>
  <c r="E4436" i="5" s="1" a="1"/>
  <c r="E4436" i="5" s="1"/>
  <c r="B1662" i="5"/>
  <c r="B1918" i="5"/>
  <c r="B3624" i="5"/>
  <c r="B4896" i="5"/>
  <c r="E4895" i="5" s="1" a="1"/>
  <c r="E4895" i="5" s="1"/>
  <c r="B3181" i="5"/>
  <c r="E3180" i="5" s="1" a="1"/>
  <c r="E3180" i="5" s="1"/>
  <c r="B3500" i="5"/>
  <c r="E3499" i="5" s="1" a="1"/>
  <c r="E3499" i="5" s="1"/>
  <c r="B697" i="5"/>
  <c r="B134" i="5"/>
  <c r="B716" i="5"/>
  <c r="B3472" i="5"/>
  <c r="E3471" i="5" s="1" a="1"/>
  <c r="E3471" i="5" s="1"/>
  <c r="B316" i="5"/>
  <c r="B108" i="5"/>
  <c r="B1989" i="5"/>
  <c r="B3428" i="5"/>
  <c r="B4868" i="5"/>
  <c r="B3384" i="5"/>
  <c r="B387" i="5"/>
  <c r="E386" i="5" s="1" a="1"/>
  <c r="E386" i="5" s="1"/>
  <c r="B4311" i="5"/>
  <c r="E4310" i="5" s="1" a="1"/>
  <c r="E4310" i="5" s="1"/>
  <c r="B4664" i="5"/>
  <c r="E4663" i="5" s="1" a="1"/>
  <c r="E4663" i="5" s="1"/>
  <c r="B148" i="5"/>
  <c r="E147" i="5" s="1" a="1"/>
  <c r="E147" i="5" s="1"/>
  <c r="B3400" i="5"/>
  <c r="B2594" i="5"/>
  <c r="E2593" i="5" s="1" a="1"/>
  <c r="E2593" i="5" s="1"/>
  <c r="B2722" i="5"/>
  <c r="E2721" i="5" s="1" a="1"/>
  <c r="E2721" i="5" s="1"/>
  <c r="B371" i="5"/>
  <c r="B2387" i="5"/>
  <c r="B4072" i="5"/>
  <c r="B339" i="5"/>
  <c r="B3460" i="5"/>
  <c r="B4050" i="5"/>
  <c r="B351" i="5"/>
  <c r="E350" i="5" s="1" a="1"/>
  <c r="E350" i="5" s="1"/>
  <c r="B1593" i="5"/>
  <c r="B1849" i="5"/>
  <c r="B3740" i="5"/>
  <c r="B4431" i="5"/>
  <c r="B4501" i="5"/>
  <c r="B1997" i="5"/>
  <c r="E1997" i="5" s="1" a="1"/>
  <c r="E1997" i="5" s="1"/>
  <c r="B4041" i="5"/>
  <c r="B4116" i="5"/>
  <c r="B4407" i="5"/>
  <c r="B4457" i="5"/>
  <c r="B4872" i="5"/>
  <c r="B4136" i="5"/>
  <c r="E4135" i="5" s="1" a="1"/>
  <c r="E4135" i="5" s="1"/>
  <c r="B345" i="5"/>
  <c r="E344" i="5" s="1" a="1"/>
  <c r="E344" i="5" s="1"/>
  <c r="B83" i="5"/>
  <c r="B383" i="5"/>
  <c r="E382" i="5" s="1" a="1"/>
  <c r="E382" i="5" s="1"/>
  <c r="B629" i="5"/>
  <c r="B951" i="5"/>
  <c r="E950" i="5" s="1" a="1"/>
  <c r="E950" i="5" s="1"/>
  <c r="B1015" i="5"/>
  <c r="E1014" i="5" s="1" a="1"/>
  <c r="E1014" i="5" s="1"/>
  <c r="B1079" i="5"/>
  <c r="B1143" i="5"/>
  <c r="E1142" i="5" s="1" a="1"/>
  <c r="E1142" i="5" s="1"/>
  <c r="B1207" i="5"/>
  <c r="E1206" i="5" s="1" a="1"/>
  <c r="E1206" i="5" s="1"/>
  <c r="B1271" i="5"/>
  <c r="E1270" i="5" s="1" a="1"/>
  <c r="E1270" i="5" s="1"/>
  <c r="B1335" i="5"/>
  <c r="E1334" i="5" s="1" a="1"/>
  <c r="E1334" i="5" s="1"/>
  <c r="B1399" i="5"/>
  <c r="E1398" i="5" s="1" a="1"/>
  <c r="E1398" i="5" s="1"/>
  <c r="B1463" i="5"/>
  <c r="E1462" i="5" s="1" a="1"/>
  <c r="E1462" i="5" s="1"/>
  <c r="B306" i="5"/>
  <c r="E305" i="5" s="1" a="1"/>
  <c r="E305" i="5" s="1"/>
  <c r="B1979" i="5"/>
  <c r="B2292" i="5"/>
  <c r="E2291" i="5" s="1" a="1"/>
  <c r="E2291" i="5" s="1"/>
  <c r="B3732" i="5"/>
  <c r="E3731" i="5" s="1" a="1"/>
  <c r="E3731" i="5" s="1"/>
  <c r="B3796" i="5"/>
  <c r="E3795" i="5" s="1" a="1"/>
  <c r="E3795" i="5" s="1"/>
  <c r="B3860" i="5"/>
  <c r="B3985" i="5"/>
  <c r="E3984" i="5" s="1" a="1"/>
  <c r="E3984" i="5" s="1"/>
  <c r="B3908" i="5"/>
  <c r="B4054" i="5"/>
  <c r="E4053" i="5" s="1" a="1"/>
  <c r="E4053" i="5" s="1"/>
  <c r="B3890" i="5"/>
  <c r="E3889" i="5" s="1" a="1"/>
  <c r="E3889" i="5" s="1"/>
  <c r="B4215" i="5"/>
  <c r="E4214" i="5" s="1" a="1"/>
  <c r="E4214" i="5" s="1"/>
  <c r="B4260" i="5"/>
  <c r="E4259" i="5" s="1" a="1"/>
  <c r="E4259" i="5" s="1"/>
  <c r="B4287" i="5"/>
  <c r="B4319" i="5"/>
  <c r="B4351" i="5"/>
  <c r="E4350" i="5" s="1" a="1"/>
  <c r="E4350" i="5" s="1"/>
  <c r="B4412" i="5"/>
  <c r="E4411" i="5" s="1" a="1"/>
  <c r="E4411" i="5" s="1"/>
  <c r="B4429" i="5"/>
  <c r="E4428" i="5" s="1" a="1"/>
  <c r="E4428" i="5" s="1"/>
  <c r="B4493" i="5"/>
  <c r="E4492" i="5" s="1" a="1"/>
  <c r="E4492" i="5" s="1"/>
  <c r="B4557" i="5"/>
  <c r="E4556" i="5" s="1" a="1"/>
  <c r="E4556" i="5" s="1"/>
  <c r="B4621" i="5"/>
  <c r="E4620" i="5" s="1" a="1"/>
  <c r="E4620" i="5" s="1"/>
  <c r="B218" i="5"/>
  <c r="B3974" i="5"/>
  <c r="E3973" i="5" s="1" a="1"/>
  <c r="E3973" i="5" s="1"/>
  <c r="B375" i="5"/>
  <c r="B556" i="5"/>
  <c r="B1562" i="5"/>
  <c r="B1626" i="5"/>
  <c r="B1690" i="5"/>
  <c r="B1754" i="5"/>
  <c r="B1818" i="5"/>
  <c r="B1882" i="5"/>
  <c r="B1577" i="5"/>
  <c r="B1641" i="5"/>
  <c r="B1705" i="5"/>
  <c r="B1769" i="5"/>
  <c r="B1833" i="5"/>
  <c r="B1897" i="5"/>
  <c r="B1592" i="5"/>
  <c r="B1656" i="5"/>
  <c r="B1720" i="5"/>
  <c r="B1784" i="5"/>
  <c r="B1848" i="5"/>
  <c r="B1912" i="5"/>
  <c r="B1987" i="5"/>
  <c r="B2051" i="5"/>
  <c r="B2115" i="5"/>
  <c r="B2179" i="5"/>
  <c r="E2179" i="5" s="1" a="1"/>
  <c r="E2179" i="5" s="1"/>
  <c r="B3077" i="5"/>
  <c r="E3077" i="5" s="1" a="1"/>
  <c r="E3077" i="5" s="1"/>
  <c r="B3141" i="5"/>
  <c r="B3205" i="5"/>
  <c r="B3334" i="5"/>
  <c r="B3724" i="5"/>
  <c r="B3788" i="5"/>
  <c r="B3852" i="5"/>
  <c r="B3915" i="5"/>
  <c r="B4023" i="5"/>
  <c r="E4023" i="5" s="1" a="1"/>
  <c r="E4023" i="5" s="1"/>
  <c r="B4129" i="5"/>
  <c r="E4129" i="5" s="1" a="1"/>
  <c r="E4129" i="5" s="1"/>
  <c r="B4249" i="5"/>
  <c r="B4218" i="5"/>
  <c r="B4404" i="5"/>
  <c r="B4402" i="5"/>
  <c r="B4452" i="5"/>
  <c r="E4451" i="5" s="1" a="1"/>
  <c r="E4451" i="5" s="1"/>
  <c r="B4516" i="5"/>
  <c r="E4515" i="5" s="1" a="1"/>
  <c r="E4515" i="5" s="1"/>
  <c r="B4580" i="5"/>
  <c r="E4579" i="5" s="1" a="1"/>
  <c r="E4579" i="5" s="1"/>
  <c r="B4735" i="5"/>
  <c r="B4814" i="5"/>
  <c r="E4814" i="5" s="1" a="1"/>
  <c r="E4814" i="5" s="1"/>
  <c r="B4954" i="5"/>
  <c r="E4954" i="5" s="1" a="1"/>
  <c r="E4954" i="5" s="1"/>
  <c r="B253" i="5"/>
  <c r="E253" i="5" s="1" a="1"/>
  <c r="E253" i="5" s="1"/>
  <c r="B444" i="5"/>
  <c r="E444" i="5" s="1" a="1"/>
  <c r="E444" i="5" s="1"/>
  <c r="B79" i="5"/>
  <c r="B141" i="5"/>
  <c r="B1582" i="5"/>
  <c r="B1646" i="5"/>
  <c r="E1646" i="5" s="1" a="1"/>
  <c r="E1646" i="5" s="1"/>
  <c r="B1710" i="5"/>
  <c r="B1774" i="5"/>
  <c r="E1774" i="5" s="1" a="1"/>
  <c r="E1774" i="5" s="1"/>
  <c r="B1838" i="5"/>
  <c r="B1902" i="5"/>
  <c r="E1902" i="5" s="1" a="1"/>
  <c r="E1902" i="5" s="1"/>
  <c r="B1597" i="5"/>
  <c r="B1661" i="5"/>
  <c r="B1725" i="5"/>
  <c r="B1789" i="5"/>
  <c r="B1853" i="5"/>
  <c r="B1917" i="5"/>
  <c r="B1612" i="5"/>
  <c r="B1676" i="5"/>
  <c r="B1740" i="5"/>
  <c r="B1804" i="5"/>
  <c r="B1868" i="5"/>
  <c r="B1932" i="5"/>
  <c r="B2007" i="5"/>
  <c r="B2071" i="5"/>
  <c r="B2135" i="5"/>
  <c r="E2135" i="5" s="1" a="1"/>
  <c r="E2135" i="5" s="1"/>
  <c r="B4149" i="5"/>
  <c r="B4762" i="5"/>
  <c r="E4762" i="5" s="1" a="1"/>
  <c r="E4762" i="5" s="1"/>
  <c r="B4941" i="5"/>
  <c r="B4910" i="5"/>
  <c r="B518" i="5"/>
  <c r="E517" i="5" s="1" a="1"/>
  <c r="E517" i="5" s="1"/>
  <c r="B582" i="5"/>
  <c r="B646" i="5"/>
  <c r="E645" i="5" s="1" a="1"/>
  <c r="E645" i="5" s="1"/>
  <c r="B710" i="5"/>
  <c r="B774" i="5"/>
  <c r="E773" i="5" s="1" a="1"/>
  <c r="E773" i="5" s="1"/>
  <c r="B2315" i="5"/>
  <c r="E2314" i="5" s="1" a="1"/>
  <c r="E2314" i="5" s="1"/>
  <c r="B1666" i="5"/>
  <c r="B1794" i="5"/>
  <c r="B1922" i="5"/>
  <c r="B1617" i="5"/>
  <c r="B1745" i="5"/>
  <c r="B1873" i="5"/>
  <c r="B1937" i="5"/>
  <c r="B1568" i="5"/>
  <c r="E1567" i="5" s="1" a="1"/>
  <c r="E1567" i="5" s="1"/>
  <c r="B1632" i="5"/>
  <c r="B1696" i="5"/>
  <c r="E1695" i="5" s="1" a="1"/>
  <c r="E1695" i="5" s="1"/>
  <c r="B1760" i="5"/>
  <c r="E1759" i="5" s="1" a="1"/>
  <c r="E1759" i="5" s="1"/>
  <c r="B1824" i="5"/>
  <c r="E1823" i="5" s="1" a="1"/>
  <c r="E1823" i="5" s="1"/>
  <c r="B1888" i="5"/>
  <c r="E1887" i="5" s="1" a="1"/>
  <c r="E1887" i="5" s="1"/>
  <c r="B1978" i="5"/>
  <c r="B2048" i="5"/>
  <c r="E2047" i="5" s="1" a="1"/>
  <c r="E2047" i="5" s="1"/>
  <c r="B2112" i="5"/>
  <c r="E2111" i="5" s="1" a="1"/>
  <c r="E2111" i="5" s="1"/>
  <c r="B2176" i="5"/>
  <c r="E2175" i="5" s="1" a="1"/>
  <c r="E2175" i="5" s="1"/>
  <c r="B2027" i="5"/>
  <c r="E2026" i="5" s="1" a="1"/>
  <c r="E2026" i="5" s="1"/>
  <c r="B2091" i="5"/>
  <c r="E2090" i="5" s="1" a="1"/>
  <c r="E2090" i="5" s="1"/>
  <c r="B272" i="5"/>
  <c r="E271" i="5" s="1" a="1"/>
  <c r="E271" i="5" s="1"/>
  <c r="B459" i="5"/>
  <c r="E458" i="5" s="1" a="1"/>
  <c r="E458" i="5" s="1"/>
  <c r="B789" i="5"/>
  <c r="B1602" i="5"/>
  <c r="B1730" i="5"/>
  <c r="B1858" i="5"/>
  <c r="B1681" i="5"/>
  <c r="B1809" i="5"/>
  <c r="B425" i="5"/>
  <c r="B132" i="5"/>
  <c r="B2155" i="5"/>
  <c r="E2154" i="5" s="1" a="1"/>
  <c r="E2154" i="5" s="1"/>
  <c r="B2251" i="5"/>
  <c r="E2250" i="5" s="1" a="1"/>
  <c r="E2250" i="5" s="1"/>
  <c r="B2379" i="5"/>
  <c r="E2378" i="5" s="1" a="1"/>
  <c r="E2378" i="5" s="1"/>
  <c r="B2516" i="5"/>
  <c r="E2515" i="5" s="1" a="1"/>
  <c r="E2515" i="5" s="1"/>
  <c r="B2798" i="5"/>
  <c r="B2862" i="5"/>
  <c r="E2861" i="5" s="1" a="1"/>
  <c r="E2861" i="5" s="1"/>
  <c r="B2926" i="5"/>
  <c r="E2925" i="5" s="1" a="1"/>
  <c r="E2925" i="5" s="1"/>
  <c r="B2543" i="5"/>
  <c r="E2542" i="5" s="1" a="1"/>
  <c r="E2542" i="5" s="1"/>
  <c r="B2330" i="5"/>
  <c r="E2329" i="5" s="1" a="1"/>
  <c r="E2329" i="5" s="1"/>
  <c r="B3700" i="5"/>
  <c r="B4233" i="5"/>
  <c r="B4782" i="5"/>
  <c r="E4781" i="5" s="1" a="1"/>
  <c r="E4781" i="5" s="1"/>
  <c r="B439" i="5"/>
  <c r="B309" i="5"/>
  <c r="B1574" i="5"/>
  <c r="B1638" i="5"/>
  <c r="B1702" i="5"/>
  <c r="E1701" i="5" s="1" a="1"/>
  <c r="E1701" i="5" s="1"/>
  <c r="B1766" i="5"/>
  <c r="E1765" i="5" s="1" a="1"/>
  <c r="E1765" i="5" s="1"/>
  <c r="B1830" i="5"/>
  <c r="E1829" i="5" s="1" a="1"/>
  <c r="E1829" i="5" s="1"/>
  <c r="B1894" i="5"/>
  <c r="E1893" i="5" s="1" a="1"/>
  <c r="E1893" i="5" s="1"/>
  <c r="B1961" i="5"/>
  <c r="B1589" i="5"/>
  <c r="E1588" i="5" s="1" a="1"/>
  <c r="E1588" i="5" s="1"/>
  <c r="B1653" i="5"/>
  <c r="E1652" i="5" s="1" a="1"/>
  <c r="E1652" i="5" s="1"/>
  <c r="B1717" i="5"/>
  <c r="B1781" i="5"/>
  <c r="B1845" i="5"/>
  <c r="E1844" i="5" s="1" a="1"/>
  <c r="E1844" i="5" s="1"/>
  <c r="B1909" i="5"/>
  <c r="E1908" i="5" s="1" a="1"/>
  <c r="E1908" i="5" s="1"/>
  <c r="B1984" i="5"/>
  <c r="E1983" i="5" s="1" a="1"/>
  <c r="E1983" i="5" s="1"/>
  <c r="B1604" i="5"/>
  <c r="B1668" i="5"/>
  <c r="B1732" i="5"/>
  <c r="B1796" i="5"/>
  <c r="B1860" i="5"/>
  <c r="B1924" i="5"/>
  <c r="B1999" i="5"/>
  <c r="E1998" i="5" s="1" a="1"/>
  <c r="E1998" i="5" s="1"/>
  <c r="B2063" i="5"/>
  <c r="B2127" i="5"/>
  <c r="B2191" i="5"/>
  <c r="B2424" i="5"/>
  <c r="E2423" i="5" s="1" a="1"/>
  <c r="E2423" i="5" s="1"/>
  <c r="B3736" i="5"/>
  <c r="B3800" i="5"/>
  <c r="B3864" i="5"/>
  <c r="B4029" i="5"/>
  <c r="B4102" i="5"/>
  <c r="E4101" i="5" s="1" a="1"/>
  <c r="E4101" i="5" s="1"/>
  <c r="B4414" i="5"/>
  <c r="B4433" i="5"/>
  <c r="E4432" i="5" s="1" a="1"/>
  <c r="E4432" i="5" s="1"/>
  <c r="B4497" i="5"/>
  <c r="E4496" i="5" s="1" a="1"/>
  <c r="E4496" i="5" s="1"/>
  <c r="B4561" i="5"/>
  <c r="E4560" i="5" s="1" a="1"/>
  <c r="E4560" i="5" s="1"/>
  <c r="B4625" i="5"/>
  <c r="E4624" i="5" s="1" a="1"/>
  <c r="E4624" i="5" s="1"/>
  <c r="B4754" i="5"/>
  <c r="B4741" i="5"/>
  <c r="B4826" i="5"/>
  <c r="B5007" i="5"/>
  <c r="E5006" i="5" s="1" a="1"/>
  <c r="E5006" i="5" s="1"/>
  <c r="B589" i="5"/>
  <c r="B1594" i="5"/>
  <c r="B1658" i="5"/>
  <c r="E1657" i="5" s="1" a="1"/>
  <c r="E1657" i="5" s="1"/>
  <c r="B1722" i="5"/>
  <c r="E1721" i="5" s="1" a="1"/>
  <c r="E1721" i="5" s="1"/>
  <c r="B1786" i="5"/>
  <c r="B1850" i="5"/>
  <c r="E1849" i="5" s="1" a="1"/>
  <c r="E1849" i="5" s="1"/>
  <c r="B1914" i="5"/>
  <c r="B1609" i="5"/>
  <c r="B1673" i="5"/>
  <c r="B1737" i="5"/>
  <c r="B1801" i="5"/>
  <c r="B1865" i="5"/>
  <c r="B1929" i="5"/>
  <c r="B2285" i="5"/>
  <c r="B4453" i="5"/>
  <c r="B4517" i="5"/>
  <c r="B4581" i="5"/>
  <c r="B4889" i="5"/>
  <c r="B195" i="5"/>
  <c r="B315" i="5"/>
  <c r="B673" i="5"/>
  <c r="B737" i="5"/>
  <c r="B1949" i="5"/>
  <c r="E1949" i="5" s="1" a="1"/>
  <c r="E1949" i="5" s="1"/>
  <c r="B3776" i="5"/>
  <c r="B3840" i="5"/>
  <c r="E3840" i="5" s="1" a="1"/>
  <c r="E3840" i="5" s="1"/>
  <c r="B4392" i="5"/>
  <c r="E4392" i="5" s="1" a="1"/>
  <c r="E4392" i="5" s="1"/>
  <c r="B4473" i="5"/>
  <c r="B4537" i="5"/>
  <c r="B4601" i="5"/>
  <c r="E4601" i="5" s="1" a="1"/>
  <c r="E4601" i="5" s="1"/>
  <c r="B4942" i="5"/>
  <c r="B5024" i="5"/>
  <c r="B549" i="5"/>
  <c r="B3394" i="5"/>
  <c r="B3458" i="5"/>
  <c r="B3522" i="5"/>
  <c r="B3586" i="5"/>
  <c r="B3652" i="5"/>
  <c r="B4027" i="5"/>
  <c r="E4026" i="5" s="1" a="1"/>
  <c r="E4026" i="5" s="1"/>
  <c r="B4487" i="5"/>
  <c r="E4486" i="5" s="1" a="1"/>
  <c r="E4486" i="5" s="1"/>
  <c r="B4551" i="5"/>
  <c r="B4615" i="5"/>
  <c r="E4614" i="5" s="1" a="1"/>
  <c r="E4614" i="5" s="1"/>
  <c r="B4861" i="5"/>
  <c r="E4860" i="5" s="1" a="1"/>
  <c r="E4860" i="5" s="1"/>
  <c r="B554" i="5"/>
  <c r="E553" i="5" s="1" a="1"/>
  <c r="E553" i="5" s="1"/>
  <c r="B618" i="5"/>
  <c r="B682" i="5"/>
  <c r="B746" i="5"/>
  <c r="B810" i="5"/>
  <c r="E809" i="5" s="1" a="1"/>
  <c r="E809" i="5" s="1"/>
  <c r="B1608" i="5"/>
  <c r="B1672" i="5"/>
  <c r="B1736" i="5"/>
  <c r="B1800" i="5"/>
  <c r="B1864" i="5"/>
  <c r="B1928" i="5"/>
  <c r="B2003" i="5"/>
  <c r="B2067" i="5"/>
  <c r="B2131" i="5"/>
  <c r="B2195" i="5"/>
  <c r="B2300" i="5"/>
  <c r="B3916" i="5"/>
  <c r="B1564" i="5"/>
  <c r="B1628" i="5"/>
  <c r="B1692" i="5"/>
  <c r="B1756" i="5"/>
  <c r="B1820" i="5"/>
  <c r="B1884" i="5"/>
  <c r="B2023" i="5"/>
  <c r="E2023" i="5" s="1" a="1"/>
  <c r="E2023" i="5" s="1"/>
  <c r="B2087" i="5"/>
  <c r="B2151" i="5"/>
  <c r="E2151" i="5" s="1" a="1"/>
  <c r="E2151" i="5" s="1"/>
  <c r="B2256" i="5"/>
  <c r="E2256" i="5" s="1" a="1"/>
  <c r="E2256" i="5" s="1"/>
  <c r="B2320" i="5"/>
  <c r="B2384" i="5"/>
  <c r="E2384" i="5" s="1" a="1"/>
  <c r="E2384" i="5" s="1"/>
  <c r="B2262" i="5"/>
  <c r="E2262" i="5" s="1" a="1"/>
  <c r="E2262" i="5" s="1"/>
  <c r="B2326" i="5"/>
  <c r="B2390" i="5"/>
  <c r="E2390" i="5" s="1" a="1"/>
  <c r="E2390" i="5" s="1"/>
  <c r="B3696" i="5"/>
  <c r="M25" i="4"/>
  <c r="B257" i="5"/>
  <c r="E256" i="5" s="1" a="1"/>
  <c r="E256" i="5" s="1"/>
  <c r="B401" i="5"/>
  <c r="E400" i="5" s="1" a="1"/>
  <c r="E400" i="5" s="1"/>
  <c r="B534" i="5"/>
  <c r="E533" i="5" s="1" a="1"/>
  <c r="E533" i="5" s="1"/>
  <c r="B598" i="5"/>
  <c r="E597" i="5" s="1" a="1"/>
  <c r="E597" i="5" s="1"/>
  <c r="B662" i="5"/>
  <c r="B726" i="5"/>
  <c r="B790" i="5"/>
  <c r="B161" i="5"/>
  <c r="E160" i="5" s="1" a="1"/>
  <c r="E160" i="5" s="1"/>
  <c r="B447" i="5"/>
  <c r="E446" i="5" s="1" a="1"/>
  <c r="E446" i="5" s="1"/>
  <c r="B709" i="5"/>
  <c r="B82" i="5"/>
  <c r="E81" i="5" s="1" a="1"/>
  <c r="E81" i="5" s="1"/>
  <c r="B145" i="5"/>
  <c r="B1586" i="5"/>
  <c r="E1585" i="5" s="1" a="1"/>
  <c r="E1585" i="5" s="1"/>
  <c r="B1650" i="5"/>
  <c r="E1649" i="5" s="1" a="1"/>
  <c r="E1649" i="5" s="1"/>
  <c r="B1714" i="5"/>
  <c r="E1713" i="5" s="1" a="1"/>
  <c r="E1713" i="5" s="1"/>
  <c r="B1778" i="5"/>
  <c r="E1777" i="5" s="1" a="1"/>
  <c r="E1777" i="5" s="1"/>
  <c r="B1842" i="5"/>
  <c r="E1841" i="5" s="1" a="1"/>
  <c r="E1841" i="5" s="1"/>
  <c r="B1906" i="5"/>
  <c r="B1601" i="5"/>
  <c r="B1665" i="5"/>
  <c r="B1729" i="5"/>
  <c r="E1728" i="5" s="1" a="1"/>
  <c r="E1728" i="5" s="1"/>
  <c r="B1793" i="5"/>
  <c r="E1792" i="5" s="1" a="1"/>
  <c r="E1792" i="5" s="1"/>
  <c r="B1857" i="5"/>
  <c r="E1856" i="5" s="1" a="1"/>
  <c r="E1856" i="5" s="1"/>
  <c r="B1921" i="5"/>
  <c r="B1507" i="5"/>
  <c r="E1506" i="5" s="1" a="1"/>
  <c r="E1506" i="5" s="1"/>
  <c r="B1616" i="5"/>
  <c r="E1615" i="5" s="1" a="1"/>
  <c r="E1615" i="5" s="1"/>
  <c r="B1680" i="5"/>
  <c r="E1679" i="5" s="1" a="1"/>
  <c r="E1679" i="5" s="1"/>
  <c r="B1744" i="5"/>
  <c r="B1808" i="5"/>
  <c r="E1807" i="5" s="1" a="1"/>
  <c r="E1807" i="5" s="1"/>
  <c r="B1872" i="5"/>
  <c r="E1871" i="5" s="1" a="1"/>
  <c r="E1871" i="5" s="1"/>
  <c r="B1936" i="5"/>
  <c r="E1935" i="5" s="1" a="1"/>
  <c r="E1935" i="5" s="1"/>
  <c r="B2011" i="5"/>
  <c r="E2010" i="5" s="1" a="1"/>
  <c r="E2010" i="5" s="1"/>
  <c r="B2075" i="5"/>
  <c r="E2074" i="5" s="1" a="1"/>
  <c r="E2074" i="5" s="1"/>
  <c r="B2139" i="5"/>
  <c r="E2138" i="5" s="1" a="1"/>
  <c r="E2138" i="5" s="1"/>
  <c r="B2436" i="5"/>
  <c r="E2435" i="5" s="1" a="1"/>
  <c r="E2435" i="5" s="1"/>
  <c r="B3294" i="5"/>
  <c r="E3293" i="5" s="1" a="1"/>
  <c r="E3293" i="5" s="1"/>
  <c r="B3421" i="5"/>
  <c r="B3485" i="5"/>
  <c r="E3484" i="5" s="1" a="1"/>
  <c r="E3484" i="5" s="1"/>
  <c r="B3549" i="5"/>
  <c r="B3613" i="5"/>
  <c r="E3612" i="5" s="1" a="1"/>
  <c r="E3612" i="5" s="1"/>
  <c r="B3699" i="5"/>
  <c r="B4178" i="5"/>
  <c r="E4177" i="5" s="1" a="1"/>
  <c r="E4177" i="5" s="1"/>
  <c r="B4232" i="5"/>
  <c r="E4231" i="5" s="1" a="1"/>
  <c r="E4231" i="5" s="1"/>
  <c r="B4439" i="5"/>
  <c r="E4438" i="5" s="1" a="1"/>
  <c r="E4438" i="5" s="1"/>
  <c r="B4503" i="5"/>
  <c r="E4502" i="5" s="1" a="1"/>
  <c r="E4502" i="5" s="1"/>
  <c r="B4567" i="5"/>
  <c r="E4566" i="5" s="1" a="1"/>
  <c r="E4566" i="5" s="1"/>
  <c r="B4631" i="5"/>
  <c r="E4630" i="5" s="1" a="1"/>
  <c r="E4630" i="5" s="1"/>
  <c r="B4766" i="5"/>
  <c r="E4765" i="5" s="1" a="1"/>
  <c r="E4765" i="5" s="1"/>
  <c r="B4996" i="5"/>
  <c r="E4995" i="5" s="1" a="1"/>
  <c r="E4995" i="5" s="1"/>
  <c r="B114" i="5"/>
  <c r="E113" i="5" s="1" a="1"/>
  <c r="E113" i="5" s="1"/>
  <c r="B628" i="5"/>
  <c r="E627" i="5" s="1" a="1"/>
  <c r="E627" i="5" s="1"/>
  <c r="B567" i="5"/>
  <c r="B631" i="5"/>
  <c r="B695" i="5"/>
  <c r="B759" i="5"/>
  <c r="B957" i="5"/>
  <c r="E956" i="5" s="1" a="1"/>
  <c r="E956" i="5" s="1"/>
  <c r="B1021" i="5"/>
  <c r="E1020" i="5" s="1" a="1"/>
  <c r="E1020" i="5" s="1"/>
  <c r="B1085" i="5"/>
  <c r="E1084" i="5" s="1" a="1"/>
  <c r="E1084" i="5" s="1"/>
  <c r="B1149" i="5"/>
  <c r="E1148" i="5" s="1" a="1"/>
  <c r="E1148" i="5" s="1"/>
  <c r="B1213" i="5"/>
  <c r="E1212" i="5" s="1" a="1"/>
  <c r="E1212" i="5" s="1"/>
  <c r="B1277" i="5"/>
  <c r="E1276" i="5" s="1" a="1"/>
  <c r="E1276" i="5" s="1"/>
  <c r="B1341" i="5"/>
  <c r="B1405" i="5"/>
  <c r="E1404" i="5" s="1" a="1"/>
  <c r="E1404" i="5" s="1"/>
  <c r="B1469" i="5"/>
  <c r="E1468" i="5" s="1" a="1"/>
  <c r="E1468" i="5" s="1"/>
  <c r="B70" i="5"/>
  <c r="B570" i="5"/>
  <c r="B634" i="5"/>
  <c r="E633" i="5" s="1" a="1"/>
  <c r="E633" i="5" s="1"/>
  <c r="B698" i="5"/>
  <c r="B762" i="5"/>
  <c r="E761" i="5" s="1" a="1"/>
  <c r="E761" i="5" s="1"/>
  <c r="B131" i="5"/>
  <c r="E130" i="5" s="1" a="1"/>
  <c r="E130" i="5" s="1"/>
  <c r="B322" i="5"/>
  <c r="B372" i="5"/>
  <c r="E371" i="5" s="1" a="1"/>
  <c r="E371" i="5" s="1"/>
  <c r="B424" i="5"/>
  <c r="E423" i="5" s="1" a="1"/>
  <c r="E423" i="5" s="1"/>
  <c r="B473" i="5"/>
  <c r="E473" i="5" s="1" a="1"/>
  <c r="E473" i="5" s="1"/>
  <c r="B491" i="5"/>
  <c r="B507" i="5"/>
  <c r="E506" i="5" s="1" a="1"/>
  <c r="E506" i="5" s="1"/>
  <c r="B681" i="5"/>
  <c r="E680" i="5" s="1" a="1"/>
  <c r="E680" i="5" s="1"/>
  <c r="B745" i="5"/>
  <c r="B117" i="5"/>
  <c r="B180" i="5"/>
  <c r="E179" i="5" s="1" a="1"/>
  <c r="E179" i="5" s="1"/>
  <c r="B244" i="5"/>
  <c r="E243" i="5" s="1" a="1"/>
  <c r="E243" i="5" s="1"/>
  <c r="B298" i="5"/>
  <c r="E297" i="5" s="1" a="1"/>
  <c r="E297" i="5" s="1"/>
  <c r="B391" i="5"/>
  <c r="E390" i="5" s="1" a="1"/>
  <c r="E390" i="5" s="1"/>
  <c r="B438" i="5"/>
  <c r="B548" i="5"/>
  <c r="E547" i="5" s="1" a="1"/>
  <c r="E547" i="5" s="1"/>
  <c r="B788" i="5"/>
  <c r="E787" i="5" s="1" a="1"/>
  <c r="E787" i="5" s="1"/>
  <c r="B1603" i="5"/>
  <c r="E1602" i="5" s="1" a="1"/>
  <c r="E1602" i="5" s="1"/>
  <c r="B1667" i="5"/>
  <c r="B1731" i="5"/>
  <c r="B1795" i="5"/>
  <c r="B1859" i="5"/>
  <c r="E1858" i="5" s="1" a="1"/>
  <c r="E1858" i="5" s="1"/>
  <c r="B1923" i="5"/>
  <c r="E1922" i="5" s="1" a="1"/>
  <c r="E1922" i="5" s="1"/>
  <c r="B1963" i="5"/>
  <c r="E1962" i="5" s="1" a="1"/>
  <c r="E1962" i="5" s="1"/>
  <c r="B1516" i="5"/>
  <c r="E1515" i="5" s="1" a="1"/>
  <c r="E1515" i="5" s="1"/>
  <c r="B1532" i="5"/>
  <c r="E1531" i="5" s="1" a="1"/>
  <c r="E1531" i="5" s="1"/>
  <c r="B1548" i="5"/>
  <c r="E1547" i="5" s="1" a="1"/>
  <c r="E1547" i="5" s="1"/>
  <c r="B1985" i="5"/>
  <c r="E1984" i="5" s="1" a="1"/>
  <c r="E1984" i="5" s="1"/>
  <c r="B2062" i="5"/>
  <c r="E2061" i="5" s="1" a="1"/>
  <c r="E2061" i="5" s="1"/>
  <c r="B2126" i="5"/>
  <c r="E2125" i="5" s="1" a="1"/>
  <c r="E2125" i="5" s="1"/>
  <c r="B2190" i="5"/>
  <c r="E2189" i="5" s="1" a="1"/>
  <c r="E2189" i="5" s="1"/>
  <c r="B2065" i="5"/>
  <c r="B2129" i="5"/>
  <c r="E2128" i="5" s="1" a="1"/>
  <c r="E2128" i="5" s="1"/>
  <c r="B2193" i="5"/>
  <c r="E2192" i="5" s="1" a="1"/>
  <c r="E2192" i="5" s="1"/>
  <c r="B2213" i="5"/>
  <c r="E2212" i="5" s="1" a="1"/>
  <c r="E2212" i="5" s="1"/>
  <c r="B2341" i="5"/>
  <c r="B2437" i="5"/>
  <c r="B2501" i="5"/>
  <c r="B2408" i="5"/>
  <c r="B2472" i="5"/>
  <c r="E2471" i="5" s="1" a="1"/>
  <c r="E2471" i="5" s="1"/>
  <c r="B2536" i="5"/>
  <c r="E2535" i="5" s="1" a="1"/>
  <c r="E2535" i="5" s="1"/>
  <c r="B2555" i="5"/>
  <c r="B2587" i="5"/>
  <c r="B2619" i="5"/>
  <c r="E2618" i="5" s="1" a="1"/>
  <c r="E2618" i="5" s="1"/>
  <c r="B2651" i="5"/>
  <c r="E2650" i="5" s="1" a="1"/>
  <c r="E2650" i="5" s="1"/>
  <c r="B2683" i="5"/>
  <c r="E2682" i="5" s="1" a="1"/>
  <c r="E2682" i="5" s="1"/>
  <c r="B2715" i="5"/>
  <c r="E2714" i="5" s="1" a="1"/>
  <c r="E2714" i="5" s="1"/>
  <c r="B2747" i="5"/>
  <c r="B2197" i="5"/>
  <c r="E2196" i="5" s="1" a="1"/>
  <c r="E2196" i="5" s="1"/>
  <c r="B2990" i="5"/>
  <c r="E2989" i="5" s="1" a="1"/>
  <c r="E2989" i="5" s="1"/>
  <c r="B3006" i="5"/>
  <c r="E3005" i="5" s="1" a="1"/>
  <c r="E3005" i="5" s="1"/>
  <c r="B3279" i="5"/>
  <c r="B3280" i="5"/>
  <c r="B3342" i="5"/>
  <c r="E3341" i="5" s="1" a="1"/>
  <c r="E3341" i="5" s="1"/>
  <c r="B3358" i="5"/>
  <c r="B3654" i="5"/>
  <c r="B3651" i="5"/>
  <c r="B3655" i="5"/>
  <c r="B3393" i="5"/>
  <c r="B3457" i="5"/>
  <c r="E3456" i="5" s="1" a="1"/>
  <c r="E3456" i="5" s="1"/>
  <c r="B3521" i="5"/>
  <c r="B3585" i="5"/>
  <c r="E3584" i="5" s="1" a="1"/>
  <c r="E3584" i="5" s="1"/>
  <c r="B3656" i="5"/>
  <c r="B3751" i="5"/>
  <c r="E3750" i="5" s="1" a="1"/>
  <c r="E3750" i="5" s="1"/>
  <c r="B3815" i="5"/>
  <c r="E3814" i="5" s="1" a="1"/>
  <c r="E3814" i="5" s="1"/>
  <c r="B3879" i="5"/>
  <c r="E3878" i="5" s="1" a="1"/>
  <c r="E3878" i="5" s="1"/>
  <c r="B3959" i="5"/>
  <c r="E3958" i="5" s="1" a="1"/>
  <c r="E3958" i="5" s="1"/>
  <c r="B4028" i="5"/>
  <c r="B3907" i="5"/>
  <c r="E3906" i="5" s="1" a="1"/>
  <c r="E3906" i="5" s="1"/>
  <c r="B4021" i="5"/>
  <c r="E4020" i="5" s="1" a="1"/>
  <c r="E4020" i="5" s="1"/>
  <c r="B4121" i="5"/>
  <c r="E4120" i="5" s="1" a="1"/>
  <c r="E4120" i="5" s="1"/>
  <c r="B4099" i="5"/>
  <c r="E4098" i="5" s="1" a="1"/>
  <c r="E4098" i="5" s="1"/>
  <c r="B4413" i="5"/>
  <c r="B4475" i="5"/>
  <c r="E4474" i="5" s="1" a="1"/>
  <c r="E4474" i="5" s="1"/>
  <c r="B4539" i="5"/>
  <c r="E4538" i="5" s="1" a="1"/>
  <c r="E4538" i="5" s="1"/>
  <c r="B4603" i="5"/>
  <c r="E4602" i="5" s="1" a="1"/>
  <c r="E4602" i="5" s="1"/>
  <c r="B4740" i="5"/>
  <c r="E4739" i="5" s="1" a="1"/>
  <c r="E4739" i="5" s="1"/>
  <c r="B4751" i="5"/>
  <c r="E4750" i="5" s="1" a="1"/>
  <c r="E4750" i="5" s="1"/>
  <c r="B4753" i="5"/>
  <c r="B4825" i="5"/>
  <c r="E4824" i="5" s="1" a="1"/>
  <c r="E4824" i="5" s="1"/>
  <c r="B4830" i="5"/>
  <c r="E4829" i="5" s="1" a="1"/>
  <c r="E4829" i="5" s="1"/>
  <c r="B4881" i="5"/>
  <c r="E4880" i="5" s="1" a="1"/>
  <c r="E4880" i="5" s="1"/>
  <c r="B4866" i="5"/>
  <c r="E4865" i="5" s="1" a="1"/>
  <c r="E4865" i="5" s="1"/>
  <c r="B4886" i="5"/>
  <c r="E4885" i="5" s="1" a="1"/>
  <c r="E4885" i="5" s="1"/>
  <c r="B4950" i="5"/>
  <c r="B5029" i="5"/>
  <c r="B133" i="5"/>
  <c r="B250" i="5"/>
  <c r="E249" i="5" s="1" a="1"/>
  <c r="E249" i="5" s="1"/>
  <c r="B396" i="5"/>
  <c r="E395" i="5" s="1" a="1"/>
  <c r="E395" i="5" s="1"/>
  <c r="B668" i="5"/>
  <c r="B523" i="5"/>
  <c r="B587" i="5"/>
  <c r="B651" i="5"/>
  <c r="B715" i="5"/>
  <c r="E714" i="5" s="1" a="1"/>
  <c r="E714" i="5" s="1"/>
  <c r="B779" i="5"/>
  <c r="B977" i="5"/>
  <c r="B1041" i="5"/>
  <c r="E1040" i="5" s="1" a="1"/>
  <c r="E1040" i="5" s="1"/>
  <c r="B1105" i="5"/>
  <c r="E1104" i="5" s="1" a="1"/>
  <c r="E1104" i="5" s="1"/>
  <c r="B1169" i="5"/>
  <c r="B1233" i="5"/>
  <c r="E1232" i="5" s="1" a="1"/>
  <c r="E1232" i="5" s="1"/>
  <c r="B1297" i="5"/>
  <c r="E1296" i="5" s="1" a="1"/>
  <c r="E1296" i="5" s="1"/>
  <c r="B1361" i="5"/>
  <c r="B1425" i="5"/>
  <c r="E1424" i="5" s="1" a="1"/>
  <c r="E1424" i="5" s="1"/>
  <c r="B1489" i="5"/>
  <c r="E1488" i="5" s="1" a="1"/>
  <c r="E1488" i="5" s="1"/>
  <c r="B970" i="5"/>
  <c r="E969" i="5" s="1" a="1"/>
  <c r="E969" i="5" s="1"/>
  <c r="B1034" i="5"/>
  <c r="E1033" i="5" s="1" a="1"/>
  <c r="E1033" i="5" s="1"/>
  <c r="B1098" i="5"/>
  <c r="E1097" i="5" s="1" a="1"/>
  <c r="E1097" i="5" s="1"/>
  <c r="B1162" i="5"/>
  <c r="E1161" i="5" s="1" a="1"/>
  <c r="E1161" i="5" s="1"/>
  <c r="B1226" i="5"/>
  <c r="E1225" i="5" s="1" a="1"/>
  <c r="E1225" i="5" s="1"/>
  <c r="B1290" i="5"/>
  <c r="E1289" i="5" s="1" a="1"/>
  <c r="E1289" i="5" s="1"/>
  <c r="B1354" i="5"/>
  <c r="B1418" i="5"/>
  <c r="E1417" i="5" s="1" a="1"/>
  <c r="E1417" i="5" s="1"/>
  <c r="B1482" i="5"/>
  <c r="E1481" i="5" s="1" a="1"/>
  <c r="E1481" i="5" s="1"/>
  <c r="B84" i="5"/>
  <c r="E83" i="5" s="1" a="1"/>
  <c r="E83" i="5" s="1"/>
  <c r="B286" i="5"/>
  <c r="B337" i="5"/>
  <c r="E336" i="5" s="1" a="1"/>
  <c r="E336" i="5" s="1"/>
  <c r="B440" i="5"/>
  <c r="B480" i="5"/>
  <c r="B496" i="5"/>
  <c r="B512" i="5"/>
  <c r="B573" i="5"/>
  <c r="E572" i="5" s="1" a="1"/>
  <c r="E572" i="5" s="1"/>
  <c r="B637" i="5"/>
  <c r="E636" i="5" s="1" a="1"/>
  <c r="E636" i="5" s="1"/>
  <c r="B75" i="5"/>
  <c r="B138" i="5"/>
  <c r="E137" i="5" s="1" a="1"/>
  <c r="E137" i="5" s="1"/>
  <c r="B200" i="5"/>
  <c r="E200" i="5" s="1" a="1"/>
  <c r="E200" i="5" s="1"/>
  <c r="B358" i="5"/>
  <c r="E357" i="5" s="1" a="1"/>
  <c r="E357" i="5" s="1"/>
  <c r="B452" i="5"/>
  <c r="B588" i="5"/>
  <c r="B724" i="5"/>
  <c r="E723" i="5" s="1" a="1"/>
  <c r="E723" i="5" s="1"/>
  <c r="B808" i="5"/>
  <c r="B841" i="5"/>
  <c r="B873" i="5"/>
  <c r="E872" i="5" s="1" a="1"/>
  <c r="E872" i="5" s="1"/>
  <c r="B905" i="5"/>
  <c r="E904" i="5" s="1" a="1"/>
  <c r="E904" i="5" s="1"/>
  <c r="B937" i="5"/>
  <c r="E936" i="5" s="1" a="1"/>
  <c r="E936" i="5" s="1"/>
  <c r="B1559" i="5"/>
  <c r="B1623" i="5"/>
  <c r="E1622" i="5" s="1" a="1"/>
  <c r="E1622" i="5" s="1"/>
  <c r="B1687" i="5"/>
  <c r="E1686" i="5" s="1" a="1"/>
  <c r="E1686" i="5" s="1"/>
  <c r="B1751" i="5"/>
  <c r="E1750" i="5" s="1" a="1"/>
  <c r="E1750" i="5" s="1"/>
  <c r="B1815" i="5"/>
  <c r="B1879" i="5"/>
  <c r="E1878" i="5" s="1" a="1"/>
  <c r="E1878" i="5" s="1"/>
  <c r="B1943" i="5"/>
  <c r="B1521" i="5"/>
  <c r="B1537" i="5"/>
  <c r="B1553" i="5"/>
  <c r="B1954" i="5"/>
  <c r="E1953" i="5" s="1" a="1"/>
  <c r="E1953" i="5" s="1"/>
  <c r="B2018" i="5"/>
  <c r="B2082" i="5"/>
  <c r="B2146" i="5"/>
  <c r="B2021" i="5"/>
  <c r="B2085" i="5"/>
  <c r="E2084" i="5" s="1" a="1"/>
  <c r="E2084" i="5" s="1"/>
  <c r="B2149" i="5"/>
  <c r="E2148" i="5" s="1" a="1"/>
  <c r="E2148" i="5" s="1"/>
  <c r="B2331" i="5"/>
  <c r="B2457" i="5"/>
  <c r="E2456" i="5" s="1" a="1"/>
  <c r="E2456" i="5" s="1"/>
  <c r="B2521" i="5"/>
  <c r="E2520" i="5" s="1" a="1"/>
  <c r="E2520" i="5" s="1"/>
  <c r="B2817" i="5"/>
  <c r="E2816" i="5" s="1" a="1"/>
  <c r="E2816" i="5" s="1"/>
  <c r="B2881" i="5"/>
  <c r="E2880" i="5" s="1" a="1"/>
  <c r="E2880" i="5" s="1"/>
  <c r="B2945" i="5"/>
  <c r="E2944" i="5" s="1" a="1"/>
  <c r="E2944" i="5" s="1"/>
  <c r="B2236" i="5"/>
  <c r="B2364" i="5"/>
  <c r="B2428" i="5"/>
  <c r="B2565" i="5"/>
  <c r="E2564" i="5" s="1" a="1"/>
  <c r="E2564" i="5" s="1"/>
  <c r="B2597" i="5"/>
  <c r="B2629" i="5"/>
  <c r="E2628" i="5" s="1" a="1"/>
  <c r="E2628" i="5" s="1"/>
  <c r="B2661" i="5"/>
  <c r="B2693" i="5"/>
  <c r="B2725" i="5"/>
  <c r="E2724" i="5" s="1" a="1"/>
  <c r="E2724" i="5" s="1"/>
  <c r="B2757" i="5"/>
  <c r="B2815" i="5"/>
  <c r="E2814" i="5" s="1" a="1"/>
  <c r="E2814" i="5" s="1"/>
  <c r="B2879" i="5"/>
  <c r="E2878" i="5" s="1" a="1"/>
  <c r="E2878" i="5" s="1"/>
  <c r="B2943" i="5"/>
  <c r="E2942" i="5" s="1" a="1"/>
  <c r="E2942" i="5" s="1"/>
  <c r="B2202" i="5"/>
  <c r="B2242" i="5"/>
  <c r="E2241" i="5" s="1" a="1"/>
  <c r="E2241" i="5" s="1"/>
  <c r="B2370" i="5"/>
  <c r="B2434" i="5"/>
  <c r="B2498" i="5"/>
  <c r="E2497" i="5" s="1" a="1"/>
  <c r="E2497" i="5" s="1"/>
  <c r="B2776" i="5"/>
  <c r="B2840" i="5"/>
  <c r="E2839" i="5" s="1" a="1"/>
  <c r="E2839" i="5" s="1"/>
  <c r="B2904" i="5"/>
  <c r="B2968" i="5"/>
  <c r="E2967" i="5" s="1" a="1"/>
  <c r="E2967" i="5" s="1"/>
  <c r="B2995" i="5"/>
  <c r="B3011" i="5"/>
  <c r="B3054" i="5"/>
  <c r="E3053" i="5" s="1" a="1"/>
  <c r="E3053" i="5" s="1"/>
  <c r="B3118" i="5"/>
  <c r="E3117" i="5" s="1" a="1"/>
  <c r="E3117" i="5" s="1"/>
  <c r="B3182" i="5"/>
  <c r="E3181" i="5" s="1" a="1"/>
  <c r="E3181" i="5" s="1"/>
  <c r="B3246" i="5"/>
  <c r="E3245" i="5" s="1" a="1"/>
  <c r="E3245" i="5" s="1"/>
  <c r="B3289" i="5"/>
  <c r="B3313" i="5"/>
  <c r="B3056" i="5"/>
  <c r="E3055" i="5" s="1" a="1"/>
  <c r="E3055" i="5" s="1"/>
  <c r="B3120" i="5"/>
  <c r="E3119" i="5" s="1" a="1"/>
  <c r="E3119" i="5" s="1"/>
  <c r="B3184" i="5"/>
  <c r="E3183" i="5" s="1" a="1"/>
  <c r="E3183" i="5" s="1"/>
  <c r="B3248" i="5"/>
  <c r="E3247" i="5" s="1" a="1"/>
  <c r="E3247" i="5" s="1"/>
  <c r="B3290" i="5"/>
  <c r="B3031" i="5"/>
  <c r="E3030" i="5" s="1" a="1"/>
  <c r="E3030" i="5" s="1"/>
  <c r="B3095" i="5"/>
  <c r="E3094" i="5" s="1" a="1"/>
  <c r="E3094" i="5" s="1"/>
  <c r="B3159" i="5"/>
  <c r="B3223" i="5"/>
  <c r="E3222" i="5" s="1" a="1"/>
  <c r="E3222" i="5" s="1"/>
  <c r="B3311" i="5"/>
  <c r="E3310" i="5" s="1" a="1"/>
  <c r="E3310" i="5" s="1"/>
  <c r="B3347" i="5"/>
  <c r="B3363" i="5"/>
  <c r="B3679" i="5"/>
  <c r="B3411" i="5"/>
  <c r="B3475" i="5"/>
  <c r="E3474" i="5" s="1" a="1"/>
  <c r="E3474" i="5" s="1"/>
  <c r="B3539" i="5"/>
  <c r="E3538" i="5" s="1" a="1"/>
  <c r="E3538" i="5" s="1"/>
  <c r="B3603" i="5"/>
  <c r="B3682" i="5"/>
  <c r="E3681" i="5" s="1" a="1"/>
  <c r="E3681" i="5" s="1"/>
  <c r="B3413" i="5"/>
  <c r="E3412" i="5" s="1" a="1"/>
  <c r="E3412" i="5" s="1"/>
  <c r="B3477" i="5"/>
  <c r="E3476" i="5" s="1" a="1"/>
  <c r="E3476" i="5" s="1"/>
  <c r="B3541" i="5"/>
  <c r="E3540" i="5" s="1" a="1"/>
  <c r="E3540" i="5" s="1"/>
  <c r="B3605" i="5"/>
  <c r="B3683" i="5"/>
  <c r="B3676" i="5"/>
  <c r="B3771" i="5"/>
  <c r="E3770" i="5" s="1" a="1"/>
  <c r="E3770" i="5" s="1"/>
  <c r="B3835" i="5"/>
  <c r="E3834" i="5" s="1" a="1"/>
  <c r="E3834" i="5" s="1"/>
  <c r="B3979" i="5"/>
  <c r="E3978" i="5" s="1" a="1"/>
  <c r="E3978" i="5" s="1"/>
  <c r="B3726" i="5"/>
  <c r="B3790" i="5"/>
  <c r="E3789" i="5" s="1" a="1"/>
  <c r="E3789" i="5" s="1"/>
  <c r="B3854" i="5"/>
  <c r="E3853" i="5" s="1" a="1"/>
  <c r="E3853" i="5" s="1"/>
  <c r="B3940" i="5"/>
  <c r="E3939" i="5" s="1" a="1"/>
  <c r="E3939" i="5" s="1"/>
  <c r="B4004" i="5"/>
  <c r="E4003" i="5" s="1" a="1"/>
  <c r="E4003" i="5" s="1"/>
  <c r="B3717" i="5"/>
  <c r="E3716" i="5" s="1" a="1"/>
  <c r="E3716" i="5" s="1"/>
  <c r="B3781" i="5"/>
  <c r="B3845" i="5"/>
  <c r="B3929" i="5"/>
  <c r="B4063" i="5"/>
  <c r="E4062" i="5" s="1" a="1"/>
  <c r="E4062" i="5" s="1"/>
  <c r="B4141" i="5"/>
  <c r="E4140" i="5" s="1" a="1"/>
  <c r="E4140" i="5" s="1"/>
  <c r="B3898" i="5"/>
  <c r="E3897" i="5" s="1" a="1"/>
  <c r="E3897" i="5" s="1"/>
  <c r="B4264" i="5"/>
  <c r="E4263" i="5" s="1" a="1"/>
  <c r="E4263" i="5" s="1"/>
  <c r="B4296" i="5"/>
  <c r="E4295" i="5" s="1" a="1"/>
  <c r="E4295" i="5" s="1"/>
  <c r="B4328" i="5"/>
  <c r="B4360" i="5"/>
  <c r="E4359" i="5" s="1" a="1"/>
  <c r="E4359" i="5" s="1"/>
  <c r="B4234" i="5"/>
  <c r="B4096" i="5"/>
  <c r="E4095" i="5" s="1" a="1"/>
  <c r="E4095" i="5" s="1"/>
  <c r="B4160" i="5"/>
  <c r="E4159" i="5" s="1" a="1"/>
  <c r="E4159" i="5" s="1"/>
  <c r="B4224" i="5"/>
  <c r="E4223" i="5" s="1" a="1"/>
  <c r="E4223" i="5" s="1"/>
  <c r="B4380" i="5"/>
  <c r="B4417" i="5"/>
  <c r="B4478" i="5"/>
  <c r="B4542" i="5"/>
  <c r="B4606" i="5"/>
  <c r="B4713" i="5"/>
  <c r="E4712" i="5" s="1" a="1"/>
  <c r="E4712" i="5" s="1"/>
  <c r="B4771" i="5"/>
  <c r="B4699" i="5"/>
  <c r="E4698" i="5" s="1" a="1"/>
  <c r="E4698" i="5" s="1"/>
  <c r="B4650" i="5"/>
  <c r="B4690" i="5"/>
  <c r="E4689" i="5" s="1" a="1"/>
  <c r="E4689" i="5" s="1"/>
  <c r="B4773" i="5"/>
  <c r="B4844" i="5"/>
  <c r="E4844" i="5" s="1" a="1"/>
  <c r="E4844" i="5" s="1"/>
  <c r="B4850" i="5"/>
  <c r="E4849" i="5" s="1" a="1"/>
  <c r="E4849" i="5" s="1"/>
  <c r="B4831" i="5"/>
  <c r="E4830" i="5" s="1" a="1"/>
  <c r="E4830" i="5" s="1"/>
  <c r="B4858" i="5"/>
  <c r="B4933" i="5"/>
  <c r="E4932" i="5" s="1" a="1"/>
  <c r="E4932" i="5" s="1"/>
  <c r="B4952" i="5"/>
  <c r="B4906" i="5"/>
  <c r="B4985" i="5"/>
  <c r="E4984" i="5" s="1" a="1"/>
  <c r="E4984" i="5" s="1"/>
  <c r="B5019" i="5"/>
  <c r="E5018" i="5" s="1" a="1"/>
  <c r="E5018" i="5" s="1"/>
  <c r="B5042" i="5"/>
  <c r="E5041" i="5" s="1" a="1"/>
  <c r="E5041" i="5" s="1"/>
  <c r="B92" i="5"/>
  <c r="B151" i="5"/>
  <c r="B319" i="5"/>
  <c r="B365" i="5"/>
  <c r="E364" i="5" s="1" a="1"/>
  <c r="E364" i="5" s="1"/>
  <c r="B410" i="5"/>
  <c r="B584" i="5"/>
  <c r="B543" i="5"/>
  <c r="E542" i="5" s="1" a="1"/>
  <c r="E542" i="5" s="1"/>
  <c r="B607" i="5"/>
  <c r="E606" i="5" s="1" a="1"/>
  <c r="E606" i="5" s="1"/>
  <c r="B671" i="5"/>
  <c r="E670" i="5" s="1" a="1"/>
  <c r="E670" i="5" s="1"/>
  <c r="B735" i="5"/>
  <c r="E734" i="5" s="1" a="1"/>
  <c r="E734" i="5" s="1"/>
  <c r="B799" i="5"/>
  <c r="B997" i="5"/>
  <c r="E996" i="5" s="1" a="1"/>
  <c r="E996" i="5" s="1"/>
  <c r="B1061" i="5"/>
  <c r="E1060" i="5" s="1" a="1"/>
  <c r="E1060" i="5" s="1"/>
  <c r="B1125" i="5"/>
  <c r="E1124" i="5" s="1" a="1"/>
  <c r="E1124" i="5" s="1"/>
  <c r="B1189" i="5"/>
  <c r="E1188" i="5" s="1" a="1"/>
  <c r="E1188" i="5" s="1"/>
  <c r="B1253" i="5"/>
  <c r="E1252" i="5" s="1" a="1"/>
  <c r="E1252" i="5" s="1"/>
  <c r="B1317" i="5"/>
  <c r="B1381" i="5"/>
  <c r="E1380" i="5" s="1" a="1"/>
  <c r="E1380" i="5" s="1"/>
  <c r="B1445" i="5"/>
  <c r="E1444" i="5" s="1" a="1"/>
  <c r="E1444" i="5" s="1"/>
  <c r="B46" i="5"/>
  <c r="B112" i="5"/>
  <c r="B178" i="5"/>
  <c r="B245" i="5"/>
  <c r="B838" i="5"/>
  <c r="E837" i="5" s="1" a="1"/>
  <c r="E837" i="5" s="1"/>
  <c r="B870" i="5"/>
  <c r="B902" i="5"/>
  <c r="B934" i="5"/>
  <c r="E933" i="5" s="1" a="1"/>
  <c r="E933" i="5" s="1"/>
  <c r="B990" i="5"/>
  <c r="B1054" i="5"/>
  <c r="E1054" i="5" s="1" a="1"/>
  <c r="E1054" i="5" s="1"/>
  <c r="B1118" i="5"/>
  <c r="B1182" i="5"/>
  <c r="B1246" i="5"/>
  <c r="B1310" i="5"/>
  <c r="B1374" i="5"/>
  <c r="B1438" i="5"/>
  <c r="B1502" i="5"/>
  <c r="B105" i="5"/>
  <c r="E104" i="5" s="1" a="1"/>
  <c r="E104" i="5" s="1"/>
  <c r="B175" i="5"/>
  <c r="B242" i="5"/>
  <c r="E241" i="5" s="1" a="1"/>
  <c r="E241" i="5" s="1"/>
  <c r="B302" i="5"/>
  <c r="B353" i="5"/>
  <c r="E352" i="5" s="1" a="1"/>
  <c r="E352" i="5" s="1"/>
  <c r="B405" i="5"/>
  <c r="B457" i="5"/>
  <c r="E456" i="5" s="1" a="1"/>
  <c r="E456" i="5" s="1"/>
  <c r="B485" i="5"/>
  <c r="B501" i="5"/>
  <c r="E501" i="5" s="1" a="1"/>
  <c r="E501" i="5" s="1"/>
  <c r="B529" i="5"/>
  <c r="E528" i="5" s="1" a="1"/>
  <c r="E528" i="5" s="1"/>
  <c r="B593" i="5"/>
  <c r="E592" i="5" s="1" a="1"/>
  <c r="E592" i="5" s="1"/>
  <c r="B657" i="5"/>
  <c r="E656" i="5" s="1" a="1"/>
  <c r="E656" i="5" s="1"/>
  <c r="B721" i="5"/>
  <c r="B785" i="5"/>
  <c r="B979" i="5"/>
  <c r="E978" i="5" s="1" a="1"/>
  <c r="E978" i="5" s="1"/>
  <c r="B1043" i="5"/>
  <c r="E1042" i="5" s="1" a="1"/>
  <c r="E1042" i="5" s="1"/>
  <c r="B1107" i="5"/>
  <c r="E1106" i="5" s="1" a="1"/>
  <c r="E1106" i="5" s="1"/>
  <c r="B1171" i="5"/>
  <c r="E1170" i="5" s="1" a="1"/>
  <c r="E1170" i="5" s="1"/>
  <c r="B1235" i="5"/>
  <c r="E1234" i="5" s="1" a="1"/>
  <c r="E1234" i="5" s="1"/>
  <c r="B1299" i="5"/>
  <c r="E1298" i="5" s="1" a="1"/>
  <c r="E1298" i="5" s="1"/>
  <c r="B1363" i="5"/>
  <c r="E1362" i="5" s="1" a="1"/>
  <c r="E1362" i="5" s="1"/>
  <c r="B1427" i="5"/>
  <c r="E1426" i="5" s="1" a="1"/>
  <c r="E1426" i="5" s="1"/>
  <c r="B1491" i="5"/>
  <c r="E1490" i="5" s="1" a="1"/>
  <c r="E1490" i="5" s="1"/>
  <c r="B94" i="5"/>
  <c r="E93" i="5" s="1" a="1"/>
  <c r="E93" i="5" s="1"/>
  <c r="B156" i="5"/>
  <c r="E155" i="5" s="1" a="1"/>
  <c r="E155" i="5" s="1"/>
  <c r="B219" i="5"/>
  <c r="B281" i="5"/>
  <c r="E280" i="5" s="1" a="1"/>
  <c r="E280" i="5" s="1"/>
  <c r="B326" i="5"/>
  <c r="B373" i="5"/>
  <c r="E372" i="5" s="1" a="1"/>
  <c r="E372" i="5" s="1"/>
  <c r="B420" i="5"/>
  <c r="E419" i="5" s="1" a="1"/>
  <c r="E419" i="5" s="1"/>
  <c r="B467" i="5"/>
  <c r="B632" i="5"/>
  <c r="B764" i="5"/>
  <c r="E764" i="5" s="1" a="1"/>
  <c r="E764" i="5" s="1"/>
  <c r="B819" i="5"/>
  <c r="E818" i="5" s="1" a="1"/>
  <c r="E818" i="5" s="1"/>
  <c r="B851" i="5"/>
  <c r="E850" i="5" s="1" a="1"/>
  <c r="E850" i="5" s="1"/>
  <c r="B883" i="5"/>
  <c r="E882" i="5" s="1" a="1"/>
  <c r="E882" i="5" s="1"/>
  <c r="B915" i="5"/>
  <c r="B952" i="5"/>
  <c r="B1016" i="5"/>
  <c r="E1015" i="5" s="1" a="1"/>
  <c r="E1015" i="5" s="1"/>
  <c r="B1080" i="5"/>
  <c r="E1079" i="5" s="1" a="1"/>
  <c r="E1079" i="5" s="1"/>
  <c r="B1144" i="5"/>
  <c r="E1143" i="5" s="1" a="1"/>
  <c r="E1143" i="5" s="1"/>
  <c r="B1208" i="5"/>
  <c r="B1272" i="5"/>
  <c r="E1271" i="5" s="1" a="1"/>
  <c r="E1271" i="5" s="1"/>
  <c r="B1336" i="5"/>
  <c r="E1335" i="5" s="1" a="1"/>
  <c r="E1335" i="5" s="1"/>
  <c r="B1400" i="5"/>
  <c r="E1399" i="5" s="1" a="1"/>
  <c r="E1399" i="5" s="1"/>
  <c r="B1464" i="5"/>
  <c r="B1579" i="5"/>
  <c r="B1643" i="5"/>
  <c r="E1642" i="5" s="1" a="1"/>
  <c r="E1642" i="5" s="1"/>
  <c r="B1707" i="5"/>
  <c r="E1706" i="5" s="1" a="1"/>
  <c r="E1706" i="5" s="1"/>
  <c r="B1771" i="5"/>
  <c r="E1770" i="5" s="1" a="1"/>
  <c r="E1770" i="5" s="1"/>
  <c r="B1835" i="5"/>
  <c r="B1899" i="5"/>
  <c r="B1971" i="5"/>
  <c r="E1970" i="5" s="1" a="1"/>
  <c r="E1970" i="5" s="1"/>
  <c r="B1510" i="5"/>
  <c r="B1526" i="5"/>
  <c r="B1542" i="5"/>
  <c r="B1951" i="5"/>
  <c r="E1950" i="5" s="1" a="1"/>
  <c r="E1950" i="5" s="1"/>
  <c r="B1974" i="5"/>
  <c r="B2038" i="5"/>
  <c r="B2102" i="5"/>
  <c r="B2166" i="5"/>
  <c r="B2281" i="5"/>
  <c r="E2280" i="5" s="1" a="1"/>
  <c r="E2280" i="5" s="1"/>
  <c r="B2419" i="5"/>
  <c r="B2041" i="5"/>
  <c r="E2040" i="5" s="1" a="1"/>
  <c r="E2040" i="5" s="1"/>
  <c r="B2105" i="5"/>
  <c r="E2104" i="5" s="1" a="1"/>
  <c r="E2104" i="5" s="1"/>
  <c r="B2169" i="5"/>
  <c r="E2168" i="5" s="1" a="1"/>
  <c r="E2168" i="5" s="1"/>
  <c r="B2287" i="5"/>
  <c r="E2286" i="5" s="1" a="1"/>
  <c r="E2286" i="5" s="1"/>
  <c r="B2431" i="5"/>
  <c r="E2430" i="5" s="1" a="1"/>
  <c r="E2430" i="5" s="1"/>
  <c r="B2044" i="5"/>
  <c r="B2108" i="5"/>
  <c r="B2172" i="5"/>
  <c r="B2293" i="5"/>
  <c r="B2443" i="5"/>
  <c r="E2442" i="5" s="1" a="1"/>
  <c r="E2442" i="5" s="1"/>
  <c r="B2243" i="5"/>
  <c r="B2371" i="5"/>
  <c r="B2413" i="5"/>
  <c r="B2477" i="5"/>
  <c r="B2541" i="5"/>
  <c r="E2540" i="5" s="1" a="1"/>
  <c r="E2540" i="5" s="1"/>
  <c r="B2773" i="5"/>
  <c r="E2772" i="5" s="1" a="1"/>
  <c r="E2772" i="5" s="1"/>
  <c r="B2837" i="5"/>
  <c r="E2836" i="5" s="1" a="1"/>
  <c r="E2836" i="5" s="1"/>
  <c r="B2901" i="5"/>
  <c r="E2900" i="5" s="1" a="1"/>
  <c r="E2900" i="5" s="1"/>
  <c r="B2965" i="5"/>
  <c r="E2964" i="5" s="1" a="1"/>
  <c r="E2964" i="5" s="1"/>
  <c r="B2448" i="5"/>
  <c r="E2447" i="5" s="1" a="1"/>
  <c r="E2447" i="5" s="1"/>
  <c r="B2512" i="5"/>
  <c r="E2511" i="5" s="1" a="1"/>
  <c r="E2511" i="5" s="1"/>
  <c r="B2794" i="5"/>
  <c r="E2793" i="5" s="1" a="1"/>
  <c r="E2793" i="5" s="1"/>
  <c r="B2858" i="5"/>
  <c r="E2857" i="5" s="1" a="1"/>
  <c r="E2857" i="5" s="1"/>
  <c r="B2922" i="5"/>
  <c r="E2921" i="5" s="1" a="1"/>
  <c r="E2921" i="5" s="1"/>
  <c r="B2539" i="5"/>
  <c r="E2538" i="5" s="1" a="1"/>
  <c r="E2538" i="5" s="1"/>
  <c r="B2575" i="5"/>
  <c r="E2574" i="5" s="1" a="1"/>
  <c r="E2574" i="5" s="1"/>
  <c r="B2607" i="5"/>
  <c r="B2639" i="5"/>
  <c r="E2638" i="5" s="1" a="1"/>
  <c r="E2638" i="5" s="1"/>
  <c r="B2671" i="5"/>
  <c r="B2703" i="5"/>
  <c r="E2702" i="5" s="1" a="1"/>
  <c r="E2702" i="5" s="1"/>
  <c r="B2735" i="5"/>
  <c r="E2734" i="5" s="1" a="1"/>
  <c r="E2734" i="5" s="1"/>
  <c r="B2771" i="5"/>
  <c r="E2770" i="5" s="1" a="1"/>
  <c r="E2770" i="5" s="1"/>
  <c r="B2835" i="5"/>
  <c r="E2834" i="5" s="1" a="1"/>
  <c r="E2834" i="5" s="1"/>
  <c r="B2899" i="5"/>
  <c r="B2963" i="5"/>
  <c r="E2962" i="5" s="1" a="1"/>
  <c r="E2962" i="5" s="1"/>
  <c r="B2207" i="5"/>
  <c r="B2454" i="5"/>
  <c r="B2518" i="5"/>
  <c r="B2796" i="5"/>
  <c r="E2795" i="5" s="1" a="1"/>
  <c r="E2795" i="5" s="1"/>
  <c r="B2860" i="5"/>
  <c r="E2859" i="5" s="1" a="1"/>
  <c r="E2859" i="5" s="1"/>
  <c r="B2924" i="5"/>
  <c r="E2923" i="5" s="1" a="1"/>
  <c r="E2923" i="5" s="1"/>
  <c r="B2984" i="5"/>
  <c r="B3000" i="5"/>
  <c r="B3016" i="5"/>
  <c r="B3074" i="5"/>
  <c r="E3073" i="5" s="1" a="1"/>
  <c r="E3073" i="5" s="1"/>
  <c r="B3138" i="5"/>
  <c r="E3137" i="5" s="1" a="1"/>
  <c r="E3137" i="5" s="1"/>
  <c r="B3202" i="5"/>
  <c r="B3266" i="5"/>
  <c r="E3265" i="5" s="1" a="1"/>
  <c r="E3265" i="5" s="1"/>
  <c r="B3304" i="5"/>
  <c r="E3303" i="5" s="1" a="1"/>
  <c r="E3303" i="5" s="1"/>
  <c r="B3049" i="5"/>
  <c r="B3113" i="5"/>
  <c r="B3177" i="5"/>
  <c r="E3176" i="5" s="1" a="1"/>
  <c r="E3176" i="5" s="1"/>
  <c r="B3241" i="5"/>
  <c r="E3240" i="5" s="1" a="1"/>
  <c r="E3240" i="5" s="1"/>
  <c r="B3333" i="5"/>
  <c r="B3076" i="5"/>
  <c r="E3075" i="5" s="1" a="1"/>
  <c r="E3075" i="5" s="1"/>
  <c r="B3140" i="5"/>
  <c r="E3139" i="5" s="1" a="1"/>
  <c r="E3139" i="5" s="1"/>
  <c r="B3204" i="5"/>
  <c r="B3268" i="5"/>
  <c r="E3267" i="5" s="1" a="1"/>
  <c r="E3267" i="5" s="1"/>
  <c r="B3306" i="5"/>
  <c r="E3305" i="5" s="1" a="1"/>
  <c r="E3305" i="5" s="1"/>
  <c r="B3051" i="5"/>
  <c r="B3115" i="5"/>
  <c r="B3179" i="5"/>
  <c r="E3178" i="5" s="1" a="1"/>
  <c r="E3178" i="5" s="1"/>
  <c r="B3243" i="5"/>
  <c r="E3242" i="5" s="1" a="1"/>
  <c r="E3242" i="5" s="1"/>
  <c r="B3331" i="5"/>
  <c r="E3330" i="5" s="1" a="1"/>
  <c r="E3330" i="5" s="1"/>
  <c r="B3352" i="5"/>
  <c r="B3368" i="5"/>
  <c r="B3719" i="5"/>
  <c r="E3718" i="5" s="1" a="1"/>
  <c r="E3718" i="5" s="1"/>
  <c r="B3431" i="5"/>
  <c r="E3430" i="5" s="1" a="1"/>
  <c r="E3430" i="5" s="1"/>
  <c r="B3495" i="5"/>
  <c r="E3494" i="5" s="1" a="1"/>
  <c r="E3494" i="5" s="1"/>
  <c r="B3559" i="5"/>
  <c r="B3623" i="5"/>
  <c r="E3622" i="5" s="1" a="1"/>
  <c r="E3622" i="5" s="1"/>
  <c r="B3374" i="5"/>
  <c r="B3438" i="5"/>
  <c r="B3502" i="5"/>
  <c r="B3566" i="5"/>
  <c r="B3630" i="5"/>
  <c r="B3369" i="5"/>
  <c r="B3433" i="5"/>
  <c r="B3497" i="5"/>
  <c r="E3496" i="5" s="1" a="1"/>
  <c r="E3496" i="5" s="1"/>
  <c r="B3561" i="5"/>
  <c r="E3560" i="5" s="1" a="1"/>
  <c r="E3560" i="5" s="1"/>
  <c r="B3625" i="5"/>
  <c r="E3624" i="5" s="1" a="1"/>
  <c r="E3624" i="5" s="1"/>
  <c r="B3723" i="5"/>
  <c r="B3891" i="5"/>
  <c r="E3890" i="5" s="1" a="1"/>
  <c r="E3890" i="5" s="1"/>
  <c r="B3970" i="5"/>
  <c r="E3969" i="5" s="1" a="1"/>
  <c r="E3969" i="5" s="1"/>
  <c r="B3727" i="5"/>
  <c r="E3726" i="5" s="1" a="1"/>
  <c r="E3726" i="5" s="1"/>
  <c r="B3791" i="5"/>
  <c r="E3790" i="5" s="1" a="1"/>
  <c r="E3790" i="5" s="1"/>
  <c r="B3855" i="5"/>
  <c r="B3935" i="5"/>
  <c r="E3934" i="5" s="1" a="1"/>
  <c r="E3934" i="5" s="1"/>
  <c r="B3999" i="5"/>
  <c r="B3746" i="5"/>
  <c r="E3745" i="5" s="1" a="1"/>
  <c r="E3745" i="5" s="1"/>
  <c r="B3810" i="5"/>
  <c r="E3809" i="5" s="1" a="1"/>
  <c r="E3809" i="5" s="1"/>
  <c r="B3874" i="5"/>
  <c r="E3873" i="5" s="1" a="1"/>
  <c r="E3873" i="5" s="1"/>
  <c r="B3960" i="5"/>
  <c r="E3959" i="5" s="1" a="1"/>
  <c r="E3959" i="5" s="1"/>
  <c r="B4030" i="5"/>
  <c r="E4029" i="5" s="1" a="1"/>
  <c r="E4029" i="5" s="1"/>
  <c r="B3737" i="5"/>
  <c r="E3736" i="5" s="1" a="1"/>
  <c r="E3736" i="5" s="1"/>
  <c r="B3801" i="5"/>
  <c r="B3865" i="5"/>
  <c r="E3864" i="5" s="1" a="1"/>
  <c r="E3864" i="5" s="1"/>
  <c r="B3949" i="5"/>
  <c r="E3948" i="5" s="1" a="1"/>
  <c r="E3948" i="5" s="1"/>
  <c r="B4013" i="5"/>
  <c r="B4073" i="5"/>
  <c r="B4201" i="5"/>
  <c r="B4087" i="5"/>
  <c r="E4086" i="5" s="1" a="1"/>
  <c r="E4086" i="5" s="1"/>
  <c r="B4217" i="5"/>
  <c r="B4068" i="5"/>
  <c r="E4067" i="5" s="1" a="1"/>
  <c r="E4067" i="5" s="1"/>
  <c r="B3918" i="5"/>
  <c r="E3917" i="5" s="1" a="1"/>
  <c r="E3917" i="5" s="1"/>
  <c r="B4179" i="5"/>
  <c r="B4242" i="5"/>
  <c r="E4241" i="5" s="1" a="1"/>
  <c r="E4241" i="5" s="1"/>
  <c r="B4274" i="5"/>
  <c r="E4273" i="5" s="1" a="1"/>
  <c r="E4273" i="5" s="1"/>
  <c r="B4306" i="5"/>
  <c r="B4338" i="5"/>
  <c r="E4337" i="5" s="1" a="1"/>
  <c r="E4337" i="5" s="1"/>
  <c r="B4370" i="5"/>
  <c r="E4369" i="5" s="1" a="1"/>
  <c r="E4369" i="5" s="1"/>
  <c r="B4126" i="5"/>
  <c r="E4125" i="5" s="1" a="1"/>
  <c r="E4125" i="5" s="1"/>
  <c r="B4190" i="5"/>
  <c r="B4269" i="5"/>
  <c r="B4301" i="5"/>
  <c r="E4300" i="5" s="1" a="1"/>
  <c r="E4300" i="5" s="1"/>
  <c r="B4333" i="5"/>
  <c r="E4332" i="5" s="1" a="1"/>
  <c r="E4332" i="5" s="1"/>
  <c r="B4365" i="5"/>
  <c r="E4364" i="5" s="1" a="1"/>
  <c r="E4364" i="5" s="1"/>
  <c r="B4180" i="5"/>
  <c r="B4389" i="5"/>
  <c r="B4385" i="5"/>
  <c r="B4424" i="5"/>
  <c r="B4488" i="5"/>
  <c r="E4487" i="5" s="1" a="1"/>
  <c r="E4487" i="5" s="1"/>
  <c r="B4552" i="5"/>
  <c r="B4616" i="5"/>
  <c r="B4434" i="5"/>
  <c r="B4498" i="5"/>
  <c r="B4562" i="5"/>
  <c r="B4626" i="5"/>
  <c r="B4669" i="5"/>
  <c r="E4668" i="5" s="1" a="1"/>
  <c r="E4668" i="5" s="1"/>
  <c r="B4728" i="5"/>
  <c r="B4708" i="5"/>
  <c r="E4707" i="5" s="1" a="1"/>
  <c r="E4707" i="5" s="1"/>
  <c r="B4791" i="5"/>
  <c r="B4719" i="5"/>
  <c r="B4764" i="5"/>
  <c r="E4763" i="5" s="1" a="1"/>
  <c r="E4763" i="5" s="1"/>
  <c r="B4655" i="5"/>
  <c r="B4710" i="5"/>
  <c r="E4709" i="5" s="1" a="1"/>
  <c r="E4709" i="5" s="1"/>
  <c r="B4801" i="5"/>
  <c r="B4804" i="5"/>
  <c r="E4803" i="5" s="1" a="1"/>
  <c r="E4803" i="5" s="1"/>
  <c r="B4807" i="5"/>
  <c r="B4795" i="5"/>
  <c r="B4851" i="5"/>
  <c r="B4953" i="5"/>
  <c r="B4917" i="5"/>
  <c r="B4981" i="5"/>
  <c r="B4947" i="5"/>
  <c r="B4987" i="5"/>
  <c r="E4986" i="5" s="1" a="1"/>
  <c r="E4986" i="5" s="1"/>
  <c r="B4926" i="5"/>
  <c r="B5005" i="5"/>
  <c r="B5008" i="5"/>
  <c r="E5007" i="5" s="1" a="1"/>
  <c r="E5007" i="5" s="1"/>
  <c r="B5039" i="5"/>
  <c r="E5038" i="5" s="1" a="1"/>
  <c r="E5038" i="5" s="1"/>
  <c r="T50" i="3"/>
  <c r="F51" i="3" s="1"/>
  <c r="I9" i="3" s="1"/>
  <c r="B214" i="5"/>
  <c r="E213" i="5" s="1" a="1"/>
  <c r="E213" i="5" s="1"/>
  <c r="B3270" i="5"/>
  <c r="E3269" i="5" s="1" a="1"/>
  <c r="E3269" i="5" s="1"/>
  <c r="B3373" i="5"/>
  <c r="E3372" i="5" s="1" a="1"/>
  <c r="E3372" i="5" s="1"/>
  <c r="B3437" i="5"/>
  <c r="E3436" i="5" s="1" a="1"/>
  <c r="E3436" i="5" s="1"/>
  <c r="B3501" i="5"/>
  <c r="E3500" i="5" s="1" a="1"/>
  <c r="E3500" i="5" s="1"/>
  <c r="B3565" i="5"/>
  <c r="E3564" i="5" s="1" a="1"/>
  <c r="E3564" i="5" s="1"/>
  <c r="B3629" i="5"/>
  <c r="E3628" i="5" s="1" a="1"/>
  <c r="E3628" i="5" s="1"/>
  <c r="B3764" i="5"/>
  <c r="E3763" i="5" s="1" a="1"/>
  <c r="E3763" i="5" s="1"/>
  <c r="B3828" i="5"/>
  <c r="E3827" i="5" s="1" a="1"/>
  <c r="E3827" i="5" s="1"/>
  <c r="B4411" i="5"/>
  <c r="E4410" i="5" s="1" a="1"/>
  <c r="E4410" i="5" s="1"/>
  <c r="B4461" i="5"/>
  <c r="E4460" i="5" s="1" a="1"/>
  <c r="E4460" i="5" s="1"/>
  <c r="B4525" i="5"/>
  <c r="E4524" i="5" s="1" a="1"/>
  <c r="E4524" i="5" s="1"/>
  <c r="B4589" i="5"/>
  <c r="E4588" i="5" s="1" a="1"/>
  <c r="E4588" i="5" s="1"/>
  <c r="B5012" i="5"/>
  <c r="E5011" i="5" s="1" a="1"/>
  <c r="E5011" i="5" s="1"/>
  <c r="B69" i="5"/>
  <c r="B247" i="5"/>
  <c r="B660" i="5"/>
  <c r="E659" i="5" s="1" a="1"/>
  <c r="E659" i="5" s="1"/>
  <c r="B519" i="5"/>
  <c r="B583" i="5"/>
  <c r="E582" i="5" s="1" a="1"/>
  <c r="E582" i="5" s="1"/>
  <c r="B647" i="5"/>
  <c r="B711" i="5"/>
  <c r="E711" i="5" s="1" a="1"/>
  <c r="E711" i="5" s="1"/>
  <c r="B775" i="5"/>
  <c r="B973" i="5"/>
  <c r="E972" i="5" s="1" a="1"/>
  <c r="E972" i="5" s="1"/>
  <c r="B1037" i="5"/>
  <c r="E1036" i="5" s="1" a="1"/>
  <c r="E1036" i="5" s="1"/>
  <c r="B1101" i="5"/>
  <c r="B1165" i="5"/>
  <c r="E1164" i="5" s="1" a="1"/>
  <c r="E1164" i="5" s="1"/>
  <c r="B1229" i="5"/>
  <c r="E1228" i="5" s="1" a="1"/>
  <c r="E1228" i="5" s="1"/>
  <c r="B1293" i="5"/>
  <c r="E1292" i="5" s="1" a="1"/>
  <c r="E1292" i="5" s="1"/>
  <c r="B1357" i="5"/>
  <c r="E1356" i="5" s="1" a="1"/>
  <c r="E1356" i="5" s="1"/>
  <c r="B1421" i="5"/>
  <c r="E1420" i="5" s="1" a="1"/>
  <c r="E1420" i="5" s="1"/>
  <c r="B1485" i="5"/>
  <c r="E1484" i="5" s="1" a="1"/>
  <c r="E1484" i="5" s="1"/>
  <c r="B217" i="5"/>
  <c r="B334" i="5"/>
  <c r="E333" i="5" s="1" a="1"/>
  <c r="E333" i="5" s="1"/>
  <c r="B437" i="5"/>
  <c r="B479" i="5"/>
  <c r="E478" i="5" s="1" a="1"/>
  <c r="E478" i="5" s="1"/>
  <c r="B495" i="5"/>
  <c r="E494" i="5" s="1" a="1"/>
  <c r="E494" i="5" s="1"/>
  <c r="B511" i="5"/>
  <c r="E510" i="5" s="1" a="1"/>
  <c r="E510" i="5" s="1"/>
  <c r="B71" i="5"/>
  <c r="E70" i="5" s="1" a="1"/>
  <c r="E70" i="5" s="1"/>
  <c r="B197" i="5"/>
  <c r="E196" i="5" s="1" a="1"/>
  <c r="E196" i="5" s="1"/>
  <c r="B449" i="5"/>
  <c r="E448" i="5" s="1" a="1"/>
  <c r="E448" i="5" s="1"/>
  <c r="B580" i="5"/>
  <c r="E579" i="5" s="1" a="1"/>
  <c r="E579" i="5" s="1"/>
  <c r="B804" i="5"/>
  <c r="E803" i="5" s="1" a="1"/>
  <c r="E803" i="5" s="1"/>
  <c r="B1619" i="5"/>
  <c r="B1683" i="5"/>
  <c r="B1747" i="5"/>
  <c r="B1811" i="5"/>
  <c r="B1875" i="5"/>
  <c r="B1939" i="5"/>
  <c r="B1520" i="5"/>
  <c r="E1519" i="5" s="1" a="1"/>
  <c r="E1519" i="5" s="1"/>
  <c r="B1536" i="5"/>
  <c r="B1552" i="5"/>
  <c r="E1551" i="5" s="1" a="1"/>
  <c r="E1551" i="5" s="1"/>
  <c r="B2014" i="5"/>
  <c r="E2013" i="5" s="1" a="1"/>
  <c r="E2013" i="5" s="1"/>
  <c r="B2078" i="5"/>
  <c r="E2077" i="5" s="1" a="1"/>
  <c r="E2077" i="5" s="1"/>
  <c r="B2142" i="5"/>
  <c r="E2141" i="5" s="1" a="1"/>
  <c r="E2141" i="5" s="1"/>
  <c r="B2017" i="5"/>
  <c r="E2016" i="5" s="1" a="1"/>
  <c r="E2016" i="5" s="1"/>
  <c r="B2081" i="5"/>
  <c r="E2080" i="5" s="1" a="1"/>
  <c r="E2080" i="5" s="1"/>
  <c r="B2145" i="5"/>
  <c r="E2144" i="5" s="1" a="1"/>
  <c r="E2144" i="5" s="1"/>
  <c r="B2245" i="5"/>
  <c r="E2244" i="5" s="1" a="1"/>
  <c r="E2244" i="5" s="1"/>
  <c r="B2373" i="5"/>
  <c r="E2372" i="5" s="1" a="1"/>
  <c r="E2372" i="5" s="1"/>
  <c r="B2453" i="5"/>
  <c r="E2452" i="5" s="1" a="1"/>
  <c r="E2452" i="5" s="1"/>
  <c r="B2517" i="5"/>
  <c r="B2232" i="5"/>
  <c r="E2231" i="5" s="1" a="1"/>
  <c r="E2231" i="5" s="1"/>
  <c r="B2296" i="5"/>
  <c r="E2295" i="5" s="1" a="1"/>
  <c r="E2295" i="5" s="1"/>
  <c r="B2360" i="5"/>
  <c r="B2488" i="5"/>
  <c r="E2487" i="5" s="1" a="1"/>
  <c r="E2487" i="5" s="1"/>
  <c r="B2563" i="5"/>
  <c r="E2562" i="5" s="1" a="1"/>
  <c r="E2562" i="5" s="1"/>
  <c r="B2595" i="5"/>
  <c r="E2594" i="5" s="1" a="1"/>
  <c r="E2594" i="5" s="1"/>
  <c r="B2627" i="5"/>
  <c r="B2659" i="5"/>
  <c r="B2691" i="5"/>
  <c r="E2690" i="5" s="1" a="1"/>
  <c r="E2690" i="5" s="1"/>
  <c r="B2723" i="5"/>
  <c r="B2755" i="5"/>
  <c r="E2754" i="5" s="1" a="1"/>
  <c r="E2754" i="5" s="1"/>
  <c r="B2201" i="5"/>
  <c r="E2200" i="5" s="1" a="1"/>
  <c r="E2200" i="5" s="1"/>
  <c r="B2238" i="5"/>
  <c r="B2302" i="5"/>
  <c r="E2301" i="5" s="1" a="1"/>
  <c r="E2301" i="5" s="1"/>
  <c r="B2366" i="5"/>
  <c r="E2365" i="5" s="1" a="1"/>
  <c r="E2365" i="5" s="1"/>
  <c r="B2994" i="5"/>
  <c r="E2993" i="5" s="1" a="1"/>
  <c r="E2993" i="5" s="1"/>
  <c r="B3010" i="5"/>
  <c r="B3287" i="5"/>
  <c r="B3309" i="5"/>
  <c r="E3308" i="5" s="1" a="1"/>
  <c r="E3308" i="5" s="1"/>
  <c r="B3288" i="5"/>
  <c r="B3346" i="5"/>
  <c r="E3345" i="5" s="1" a="1"/>
  <c r="E3345" i="5" s="1"/>
  <c r="B3362" i="5"/>
  <c r="E3361" i="5" s="1" a="1"/>
  <c r="E3361" i="5" s="1"/>
  <c r="B3674" i="5"/>
  <c r="E3673" i="5" s="1" a="1"/>
  <c r="E3673" i="5" s="1"/>
  <c r="B3678" i="5"/>
  <c r="E3677" i="5" s="1" a="1"/>
  <c r="E3677" i="5" s="1"/>
  <c r="B3409" i="5"/>
  <c r="E3408" i="5" s="1" a="1"/>
  <c r="E3408" i="5" s="1"/>
  <c r="B3473" i="5"/>
  <c r="B3537" i="5"/>
  <c r="E3536" i="5" s="1" a="1"/>
  <c r="E3536" i="5" s="1"/>
  <c r="B3601" i="5"/>
  <c r="E3600" i="5" s="1" a="1"/>
  <c r="E3600" i="5" s="1"/>
  <c r="B3675" i="5"/>
  <c r="B3672" i="5"/>
  <c r="E3672" i="5" s="1" a="1"/>
  <c r="E3672" i="5" s="1"/>
  <c r="B3767" i="5"/>
  <c r="E3766" i="5" s="1" a="1"/>
  <c r="E3766" i="5" s="1"/>
  <c r="B3831" i="5"/>
  <c r="E3830" i="5" s="1" a="1"/>
  <c r="E3830" i="5" s="1"/>
  <c r="B3975" i="5"/>
  <c r="B4153" i="5"/>
  <c r="B3894" i="5"/>
  <c r="E3893" i="5" s="1" a="1"/>
  <c r="E3893" i="5" s="1"/>
  <c r="B4131" i="5"/>
  <c r="E4130" i="5" s="1" a="1"/>
  <c r="E4130" i="5" s="1"/>
  <c r="B4230" i="5"/>
  <c r="E4229" i="5" s="1" a="1"/>
  <c r="E4229" i="5" s="1"/>
  <c r="B4092" i="5"/>
  <c r="E4091" i="5" s="1" a="1"/>
  <c r="E4091" i="5" s="1"/>
  <c r="B4156" i="5"/>
  <c r="E4155" i="5" s="1" a="1"/>
  <c r="E4155" i="5" s="1"/>
  <c r="B4220" i="5"/>
  <c r="E4219" i="5" s="1" a="1"/>
  <c r="E4219" i="5" s="1"/>
  <c r="B4379" i="5"/>
  <c r="E4378" i="5" s="1" a="1"/>
  <c r="E4378" i="5" s="1"/>
  <c r="B4427" i="5"/>
  <c r="E4426" i="5" s="1" a="1"/>
  <c r="E4426" i="5" s="1"/>
  <c r="B4767" i="5"/>
  <c r="E4766" i="5" s="1" a="1"/>
  <c r="E4766" i="5" s="1"/>
  <c r="B4649" i="5"/>
  <c r="E4648" i="5" s="1" a="1"/>
  <c r="E4648" i="5" s="1"/>
  <c r="B4769" i="5"/>
  <c r="B4840" i="5"/>
  <c r="E4839" i="5" s="1" a="1"/>
  <c r="E4839" i="5" s="1"/>
  <c r="B4846" i="5"/>
  <c r="E4845" i="5" s="1" a="1"/>
  <c r="E4845" i="5" s="1"/>
  <c r="B4904" i="5"/>
  <c r="E4903" i="5" s="1" a="1"/>
  <c r="E4903" i="5" s="1"/>
  <c r="B4979" i="5"/>
  <c r="E4978" i="5" s="1" a="1"/>
  <c r="E4978" i="5" s="1"/>
  <c r="B4972" i="5"/>
  <c r="B4902" i="5"/>
  <c r="E4901" i="5" s="1" a="1"/>
  <c r="E4901" i="5" s="1"/>
  <c r="B88" i="5"/>
  <c r="E87" i="5" s="1" a="1"/>
  <c r="E87" i="5" s="1"/>
  <c r="B265" i="5"/>
  <c r="B696" i="5"/>
  <c r="E695" i="5" s="1" a="1"/>
  <c r="E695" i="5" s="1"/>
  <c r="B539" i="5"/>
  <c r="B603" i="5"/>
  <c r="B667" i="5"/>
  <c r="B731" i="5"/>
  <c r="B795" i="5"/>
  <c r="B993" i="5"/>
  <c r="B1057" i="5"/>
  <c r="E1056" i="5" s="1" a="1"/>
  <c r="E1056" i="5" s="1"/>
  <c r="B1121" i="5"/>
  <c r="E1120" i="5" s="1" a="1"/>
  <c r="E1120" i="5" s="1"/>
  <c r="B1185" i="5"/>
  <c r="E1184" i="5" s="1" a="1"/>
  <c r="E1184" i="5" s="1"/>
  <c r="B1249" i="5"/>
  <c r="E1248" i="5" s="1" a="1"/>
  <c r="E1248" i="5" s="1"/>
  <c r="B1313" i="5"/>
  <c r="E1313" i="5" s="1" a="1"/>
  <c r="E1313" i="5" s="1"/>
  <c r="B1377" i="5"/>
  <c r="B1441" i="5"/>
  <c r="B1505" i="5"/>
  <c r="B174" i="5"/>
  <c r="B986" i="5"/>
  <c r="E985" i="5" s="1" a="1"/>
  <c r="E985" i="5" s="1"/>
  <c r="B1050" i="5"/>
  <c r="E1049" i="5" s="1" a="1"/>
  <c r="E1049" i="5" s="1"/>
  <c r="B1114" i="5"/>
  <c r="E1113" i="5" s="1" a="1"/>
  <c r="E1113" i="5" s="1"/>
  <c r="B1178" i="5"/>
  <c r="E1177" i="5" s="1" a="1"/>
  <c r="E1177" i="5" s="1"/>
  <c r="B1242" i="5"/>
  <c r="E1241" i="5" s="1" a="1"/>
  <c r="E1241" i="5" s="1"/>
  <c r="B1306" i="5"/>
  <c r="E1305" i="5" s="1" a="1"/>
  <c r="E1305" i="5" s="1"/>
  <c r="B1370" i="5"/>
  <c r="B1434" i="5"/>
  <c r="E1433" i="5" s="1" a="1"/>
  <c r="E1433" i="5" s="1"/>
  <c r="B1498" i="5"/>
  <c r="E1497" i="5" s="1" a="1"/>
  <c r="E1497" i="5" s="1"/>
  <c r="B101" i="5"/>
  <c r="E100" i="5" s="1" a="1"/>
  <c r="E100" i="5" s="1"/>
  <c r="B171" i="5"/>
  <c r="B238" i="5"/>
  <c r="E237" i="5" s="1" a="1"/>
  <c r="E237" i="5" s="1"/>
  <c r="B299" i="5"/>
  <c r="E298" i="5" s="1" a="1"/>
  <c r="E298" i="5" s="1"/>
  <c r="B402" i="5"/>
  <c r="E401" i="5" s="1" a="1"/>
  <c r="E401" i="5" s="1"/>
  <c r="B454" i="5"/>
  <c r="B484" i="5"/>
  <c r="B500" i="5"/>
  <c r="B653" i="5"/>
  <c r="E652" i="5" s="1" a="1"/>
  <c r="E652" i="5" s="1"/>
  <c r="B717" i="5"/>
  <c r="B215" i="5"/>
  <c r="E214" i="5" s="1" a="1"/>
  <c r="E214" i="5" s="1"/>
  <c r="B278" i="5"/>
  <c r="E277" i="5" s="1" a="1"/>
  <c r="E277" i="5" s="1"/>
  <c r="B323" i="5"/>
  <c r="E322" i="5" s="1" a="1"/>
  <c r="E322" i="5" s="1"/>
  <c r="B370" i="5"/>
  <c r="B417" i="5"/>
  <c r="E416" i="5" s="1" a="1"/>
  <c r="E416" i="5" s="1"/>
  <c r="B464" i="5"/>
  <c r="B756" i="5"/>
  <c r="E755" i="5" s="1" a="1"/>
  <c r="E755" i="5" s="1"/>
  <c r="B817" i="5"/>
  <c r="E816" i="5" s="1" a="1"/>
  <c r="E816" i="5" s="1"/>
  <c r="B849" i="5"/>
  <c r="E848" i="5" s="1" a="1"/>
  <c r="E848" i="5" s="1"/>
  <c r="B881" i="5"/>
  <c r="B913" i="5"/>
  <c r="E912" i="5" s="1" a="1"/>
  <c r="E912" i="5" s="1"/>
  <c r="B1575" i="5"/>
  <c r="E1574" i="5" s="1" a="1"/>
  <c r="E1574" i="5" s="1"/>
  <c r="B1639" i="5"/>
  <c r="B1703" i="5"/>
  <c r="B1767" i="5"/>
  <c r="B1831" i="5"/>
  <c r="E1830" i="5" s="1" a="1"/>
  <c r="E1830" i="5" s="1"/>
  <c r="B1895" i="5"/>
  <c r="B1964" i="5"/>
  <c r="B1509" i="5"/>
  <c r="B1525" i="5"/>
  <c r="B1541" i="5"/>
  <c r="B1560" i="5"/>
  <c r="B1624" i="5"/>
  <c r="B1688" i="5"/>
  <c r="E1687" i="5" s="1" a="1"/>
  <c r="E1687" i="5" s="1"/>
  <c r="B1752" i="5"/>
  <c r="B1816" i="5"/>
  <c r="B1880" i="5"/>
  <c r="B1944" i="5"/>
  <c r="E1943" i="5" s="1" a="1"/>
  <c r="E1943" i="5" s="1"/>
  <c r="B2034" i="5"/>
  <c r="B2098" i="5"/>
  <c r="B2162" i="5"/>
  <c r="B2037" i="5"/>
  <c r="E2036" i="5" s="1" a="1"/>
  <c r="E2036" i="5" s="1"/>
  <c r="B2101" i="5"/>
  <c r="E2100" i="5" s="1" a="1"/>
  <c r="E2100" i="5" s="1"/>
  <c r="B2165" i="5"/>
  <c r="B2415" i="5"/>
  <c r="E2414" i="5" s="1" a="1"/>
  <c r="E2414" i="5" s="1"/>
  <c r="B2427" i="5"/>
  <c r="E2426" i="5" s="1" a="1"/>
  <c r="E2426" i="5" s="1"/>
  <c r="B2019" i="5"/>
  <c r="B2083" i="5"/>
  <c r="E2082" i="5" s="1" a="1"/>
  <c r="E2082" i="5" s="1"/>
  <c r="B2147" i="5"/>
  <c r="E2146" i="5" s="1" a="1"/>
  <c r="E2146" i="5" s="1"/>
  <c r="B2235" i="5"/>
  <c r="E2234" i="5" s="1" a="1"/>
  <c r="E2234" i="5" s="1"/>
  <c r="B2363" i="5"/>
  <c r="E2362" i="5" s="1" a="1"/>
  <c r="E2362" i="5" s="1"/>
  <c r="B2409" i="5"/>
  <c r="B2473" i="5"/>
  <c r="B2537" i="5"/>
  <c r="B2769" i="5"/>
  <c r="E2768" i="5" s="1" a="1"/>
  <c r="E2768" i="5" s="1"/>
  <c r="B2833" i="5"/>
  <c r="E2832" i="5" s="1" a="1"/>
  <c r="E2832" i="5" s="1"/>
  <c r="B2897" i="5"/>
  <c r="B2961" i="5"/>
  <c r="B2252" i="5"/>
  <c r="B2316" i="5"/>
  <c r="E2315" i="5" s="1" a="1"/>
  <c r="E2315" i="5" s="1"/>
  <c r="B2380" i="5"/>
  <c r="E2379" i="5" s="1" a="1"/>
  <c r="E2379" i="5" s="1"/>
  <c r="B2573" i="5"/>
  <c r="B2605" i="5"/>
  <c r="B2637" i="5"/>
  <c r="B2669" i="5"/>
  <c r="E2668" i="5" s="1" a="1"/>
  <c r="E2668" i="5" s="1"/>
  <c r="B2701" i="5"/>
  <c r="B2733" i="5"/>
  <c r="E2732" i="5" s="1" a="1"/>
  <c r="E2732" i="5" s="1"/>
  <c r="B2767" i="5"/>
  <c r="E2766" i="5" s="1" a="1"/>
  <c r="E2766" i="5" s="1"/>
  <c r="B2831" i="5"/>
  <c r="E2830" i="5" s="1" a="1"/>
  <c r="E2830" i="5" s="1"/>
  <c r="B2895" i="5"/>
  <c r="E2894" i="5" s="1" a="1"/>
  <c r="E2894" i="5" s="1"/>
  <c r="B2959" i="5"/>
  <c r="E2958" i="5" s="1" a="1"/>
  <c r="E2958" i="5" s="1"/>
  <c r="B2206" i="5"/>
  <c r="B2258" i="5"/>
  <c r="E2257" i="5" s="1" a="1"/>
  <c r="E2257" i="5" s="1"/>
  <c r="B2322" i="5"/>
  <c r="E2321" i="5" s="1" a="1"/>
  <c r="E2321" i="5" s="1"/>
  <c r="B2386" i="5"/>
  <c r="E2385" i="5" s="1" a="1"/>
  <c r="E2385" i="5" s="1"/>
  <c r="B2450" i="5"/>
  <c r="E2449" i="5" s="1" a="1"/>
  <c r="E2449" i="5" s="1"/>
  <c r="B2514" i="5"/>
  <c r="E2513" i="5" s="1" a="1"/>
  <c r="E2513" i="5" s="1"/>
  <c r="B2792" i="5"/>
  <c r="B2856" i="5"/>
  <c r="B2920" i="5"/>
  <c r="B2983" i="5"/>
  <c r="E2982" i="5" s="1" a="1"/>
  <c r="E2982" i="5" s="1"/>
  <c r="B2999" i="5"/>
  <c r="B3015" i="5"/>
  <c r="B3070" i="5"/>
  <c r="B3134" i="5"/>
  <c r="B3198" i="5"/>
  <c r="E3197" i="5" s="1" a="1"/>
  <c r="E3197" i="5" s="1"/>
  <c r="B3262" i="5"/>
  <c r="E3261" i="5" s="1" a="1"/>
  <c r="E3261" i="5" s="1"/>
  <c r="B3329" i="5"/>
  <c r="E3328" i="5" s="1" a="1"/>
  <c r="E3328" i="5" s="1"/>
  <c r="B3072" i="5"/>
  <c r="E3071" i="5" s="1" a="1"/>
  <c r="E3071" i="5" s="1"/>
  <c r="B3136" i="5"/>
  <c r="E3135" i="5" s="1" a="1"/>
  <c r="E3135" i="5" s="1"/>
  <c r="B3200" i="5"/>
  <c r="E3199" i="5" s="1" a="1"/>
  <c r="E3199" i="5" s="1"/>
  <c r="B3264" i="5"/>
  <c r="B3047" i="5"/>
  <c r="E3046" i="5" s="1" a="1"/>
  <c r="E3046" i="5" s="1"/>
  <c r="B3111" i="5"/>
  <c r="B3175" i="5"/>
  <c r="B3239" i="5"/>
  <c r="E3238" i="5" s="1" a="1"/>
  <c r="E3238" i="5" s="1"/>
  <c r="B3327" i="5"/>
  <c r="E3326" i="5" s="1" a="1"/>
  <c r="E3326" i="5" s="1"/>
  <c r="B3351" i="5"/>
  <c r="B3367" i="5"/>
  <c r="B3710" i="5"/>
  <c r="E3709" i="5" s="1" a="1"/>
  <c r="E3709" i="5" s="1"/>
  <c r="B3427" i="5"/>
  <c r="E3426" i="5" s="1" a="1"/>
  <c r="E3426" i="5" s="1"/>
  <c r="B3491" i="5"/>
  <c r="E3490" i="5" s="1" a="1"/>
  <c r="E3490" i="5" s="1"/>
  <c r="B3555" i="5"/>
  <c r="E3554" i="5" s="1" a="1"/>
  <c r="E3554" i="5" s="1"/>
  <c r="B3619" i="5"/>
  <c r="E3618" i="5" s="1" a="1"/>
  <c r="E3618" i="5" s="1"/>
  <c r="B3714" i="5"/>
  <c r="E3713" i="5" s="1" a="1"/>
  <c r="E3713" i="5" s="1"/>
  <c r="B3429" i="5"/>
  <c r="E3428" i="5" s="1" a="1"/>
  <c r="E3428" i="5" s="1"/>
  <c r="B3493" i="5"/>
  <c r="E3492" i="5" s="1" a="1"/>
  <c r="E3492" i="5" s="1"/>
  <c r="B3557" i="5"/>
  <c r="E3556" i="5" s="1" a="1"/>
  <c r="E3556" i="5" s="1"/>
  <c r="B3621" i="5"/>
  <c r="E3620" i="5" s="1" a="1"/>
  <c r="E3620" i="5" s="1"/>
  <c r="B3715" i="5"/>
  <c r="B3756" i="5"/>
  <c r="B3820" i="5"/>
  <c r="B3884" i="5"/>
  <c r="B3787" i="5"/>
  <c r="E3786" i="5" s="1" a="1"/>
  <c r="E3786" i="5" s="1"/>
  <c r="B3851" i="5"/>
  <c r="B3931" i="5"/>
  <c r="E3930" i="5" s="1" a="1"/>
  <c r="E3930" i="5" s="1"/>
  <c r="B3995" i="5"/>
  <c r="E3994" i="5" s="1" a="1"/>
  <c r="E3994" i="5" s="1"/>
  <c r="B3742" i="5"/>
  <c r="B3806" i="5"/>
  <c r="E3805" i="5" s="1" a="1"/>
  <c r="E3805" i="5" s="1"/>
  <c r="B3870" i="5"/>
  <c r="E3869" i="5" s="1" a="1"/>
  <c r="E3869" i="5" s="1"/>
  <c r="B3956" i="5"/>
  <c r="E3955" i="5" s="1" a="1"/>
  <c r="E3955" i="5" s="1"/>
  <c r="B4022" i="5"/>
  <c r="E4021" i="5" s="1" a="1"/>
  <c r="E4021" i="5" s="1"/>
  <c r="B3733" i="5"/>
  <c r="B3797" i="5"/>
  <c r="E3796" i="5" s="1" a="1"/>
  <c r="E3796" i="5" s="1"/>
  <c r="B3861" i="5"/>
  <c r="B4039" i="5"/>
  <c r="B4071" i="5"/>
  <c r="E4070" i="5" s="1" a="1"/>
  <c r="E4070" i="5" s="1"/>
  <c r="B4173" i="5"/>
  <c r="E4172" i="5" s="1" a="1"/>
  <c r="E4172" i="5" s="1"/>
  <c r="B3914" i="5"/>
  <c r="E3913" i="5" s="1" a="1"/>
  <c r="E3913" i="5" s="1"/>
  <c r="B4171" i="5"/>
  <c r="E4170" i="5" s="1" a="1"/>
  <c r="E4170" i="5" s="1"/>
  <c r="B4272" i="5"/>
  <c r="E4271" i="5" s="1" a="1"/>
  <c r="E4271" i="5" s="1"/>
  <c r="B4304" i="5"/>
  <c r="E4303" i="5" s="1" a="1"/>
  <c r="E4303" i="5" s="1"/>
  <c r="B4336" i="5"/>
  <c r="E4335" i="5" s="1" a="1"/>
  <c r="E4335" i="5" s="1"/>
  <c r="B4368" i="5"/>
  <c r="E4367" i="5" s="1" a="1"/>
  <c r="E4367" i="5" s="1"/>
  <c r="B4122" i="5"/>
  <c r="E4121" i="5" s="1" a="1"/>
  <c r="E4121" i="5" s="1"/>
  <c r="B4186" i="5"/>
  <c r="B4176" i="5"/>
  <c r="E4175" i="5" s="1" a="1"/>
  <c r="E4175" i="5" s="1"/>
  <c r="B4240" i="5"/>
  <c r="E4239" i="5" s="1" a="1"/>
  <c r="E4239" i="5" s="1"/>
  <c r="B4384" i="5"/>
  <c r="B4403" i="5"/>
  <c r="E4402" i="5" s="1" a="1"/>
  <c r="E4402" i="5" s="1"/>
  <c r="B4430" i="5"/>
  <c r="E4429" i="5" s="1" a="1"/>
  <c r="E4429" i="5" s="1"/>
  <c r="B4494" i="5"/>
  <c r="B4558" i="5"/>
  <c r="B4622" i="5"/>
  <c r="B4665" i="5"/>
  <c r="B4726" i="5"/>
  <c r="B4774" i="5"/>
  <c r="B4787" i="5"/>
  <c r="E4786" i="5" s="1" a="1"/>
  <c r="E4786" i="5" s="1"/>
  <c r="B4715" i="5"/>
  <c r="E4714" i="5" s="1" a="1"/>
  <c r="E4714" i="5" s="1"/>
  <c r="B4654" i="5"/>
  <c r="B4706" i="5"/>
  <c r="E4705" i="5" s="1" a="1"/>
  <c r="E4705" i="5" s="1"/>
  <c r="B4789" i="5"/>
  <c r="E4788" i="5" s="1" a="1"/>
  <c r="E4788" i="5" s="1"/>
  <c r="B4800" i="5"/>
  <c r="B4794" i="5"/>
  <c r="B4847" i="5"/>
  <c r="B4915" i="5"/>
  <c r="E4914" i="5" s="1" a="1"/>
  <c r="E4914" i="5" s="1"/>
  <c r="B4973" i="5"/>
  <c r="B4922" i="5"/>
  <c r="E4921" i="5" s="1" a="1"/>
  <c r="E4921" i="5" s="1"/>
  <c r="B5001" i="5"/>
  <c r="B5004" i="5"/>
  <c r="B5035" i="5"/>
  <c r="B107" i="5"/>
  <c r="E106" i="5" s="1" a="1"/>
  <c r="E106" i="5" s="1"/>
  <c r="B167" i="5"/>
  <c r="E166" i="5" s="1" a="1"/>
  <c r="E166" i="5" s="1"/>
  <c r="B224" i="5"/>
  <c r="B282" i="5"/>
  <c r="B330" i="5"/>
  <c r="E329" i="5" s="1" a="1"/>
  <c r="E329" i="5" s="1"/>
  <c r="B377" i="5"/>
  <c r="B422" i="5"/>
  <c r="E422" i="5" s="1" a="1"/>
  <c r="E422" i="5" s="1"/>
  <c r="B468" i="5"/>
  <c r="E467" i="5" s="1" a="1"/>
  <c r="E467" i="5" s="1"/>
  <c r="B616" i="5"/>
  <c r="B732" i="5"/>
  <c r="B559" i="5"/>
  <c r="B623" i="5"/>
  <c r="E623" i="5" s="1" a="1"/>
  <c r="E623" i="5" s="1"/>
  <c r="B687" i="5"/>
  <c r="B751" i="5"/>
  <c r="B949" i="5"/>
  <c r="B1013" i="5"/>
  <c r="E1012" i="5" s="1" a="1"/>
  <c r="E1012" i="5" s="1"/>
  <c r="B1077" i="5"/>
  <c r="E1076" i="5" s="1" a="1"/>
  <c r="E1076" i="5" s="1"/>
  <c r="B1141" i="5"/>
  <c r="E1140" i="5" s="1" a="1"/>
  <c r="E1140" i="5" s="1"/>
  <c r="B1205" i="5"/>
  <c r="B1269" i="5"/>
  <c r="B1333" i="5"/>
  <c r="B1397" i="5"/>
  <c r="E1396" i="5" s="1" a="1"/>
  <c r="E1396" i="5" s="1"/>
  <c r="B1461" i="5"/>
  <c r="B61" i="5"/>
  <c r="E60" i="5" s="1" a="1"/>
  <c r="E60" i="5" s="1"/>
  <c r="B128" i="5"/>
  <c r="B262" i="5"/>
  <c r="E261" i="5" s="1" a="1"/>
  <c r="E261" i="5" s="1"/>
  <c r="B814" i="5"/>
  <c r="B846" i="5"/>
  <c r="E845" i="5" s="1" a="1"/>
  <c r="E845" i="5" s="1"/>
  <c r="B878" i="5"/>
  <c r="E877" i="5" s="1" a="1"/>
  <c r="E877" i="5" s="1"/>
  <c r="B910" i="5"/>
  <c r="E909" i="5" s="1" a="1"/>
  <c r="E909" i="5" s="1"/>
  <c r="B942" i="5"/>
  <c r="B1006" i="5"/>
  <c r="B1070" i="5"/>
  <c r="B1134" i="5"/>
  <c r="B1198" i="5"/>
  <c r="B1262" i="5"/>
  <c r="B1326" i="5"/>
  <c r="B1390" i="5"/>
  <c r="B1454" i="5"/>
  <c r="B54" i="5"/>
  <c r="B191" i="5"/>
  <c r="E190" i="5" s="1" a="1"/>
  <c r="E190" i="5" s="1"/>
  <c r="B260" i="5"/>
  <c r="E259" i="5" s="1" a="1"/>
  <c r="E259" i="5" s="1"/>
  <c r="B366" i="5"/>
  <c r="E365" i="5" s="1" a="1"/>
  <c r="E365" i="5" s="1"/>
  <c r="B418" i="5"/>
  <c r="B469" i="5"/>
  <c r="B489" i="5"/>
  <c r="B505" i="5"/>
  <c r="B545" i="5"/>
  <c r="E544" i="5" s="1" a="1"/>
  <c r="E544" i="5" s="1"/>
  <c r="B609" i="5"/>
  <c r="E608" i="5" s="1" a="1"/>
  <c r="E608" i="5" s="1"/>
  <c r="B801" i="5"/>
  <c r="E800" i="5" s="1" a="1"/>
  <c r="E800" i="5" s="1"/>
  <c r="B995" i="5"/>
  <c r="E994" i="5" s="1" a="1"/>
  <c r="E994" i="5" s="1"/>
  <c r="B1059" i="5"/>
  <c r="E1058" i="5" s="1" a="1"/>
  <c r="E1058" i="5" s="1"/>
  <c r="B1123" i="5"/>
  <c r="E1122" i="5" s="1" a="1"/>
  <c r="E1122" i="5" s="1"/>
  <c r="B1187" i="5"/>
  <c r="E1186" i="5" s="1" a="1"/>
  <c r="E1186" i="5" s="1"/>
  <c r="B1251" i="5"/>
  <c r="E1250" i="5" s="1" a="1"/>
  <c r="E1250" i="5" s="1"/>
  <c r="B1315" i="5"/>
  <c r="E1314" i="5" s="1" a="1"/>
  <c r="E1314" i="5" s="1"/>
  <c r="B1379" i="5"/>
  <c r="E1378" i="5" s="1" a="1"/>
  <c r="E1378" i="5" s="1"/>
  <c r="B1443" i="5"/>
  <c r="E1442" i="5" s="1" a="1"/>
  <c r="E1442" i="5" s="1"/>
  <c r="B47" i="5"/>
  <c r="E46" i="5" s="1" a="1"/>
  <c r="E46" i="5" s="1"/>
  <c r="B109" i="5"/>
  <c r="E108" i="5" s="1" a="1"/>
  <c r="E108" i="5" s="1"/>
  <c r="B172" i="5"/>
  <c r="E171" i="5" s="1" a="1"/>
  <c r="E171" i="5" s="1"/>
  <c r="B235" i="5"/>
  <c r="B293" i="5"/>
  <c r="E292" i="5" s="1" a="1"/>
  <c r="E292" i="5" s="1"/>
  <c r="B338" i="5"/>
  <c r="E337" i="5" s="1" a="1"/>
  <c r="E337" i="5" s="1"/>
  <c r="B384" i="5"/>
  <c r="B532" i="5"/>
  <c r="E531" i="5" s="1" a="1"/>
  <c r="E531" i="5" s="1"/>
  <c r="B664" i="5"/>
  <c r="B780" i="5"/>
  <c r="E779" i="5" s="1" a="1"/>
  <c r="E779" i="5" s="1"/>
  <c r="B827" i="5"/>
  <c r="E826" i="5" s="1" a="1"/>
  <c r="E826" i="5" s="1"/>
  <c r="B859" i="5"/>
  <c r="B891" i="5"/>
  <c r="E890" i="5" s="1" a="1"/>
  <c r="E890" i="5" s="1"/>
  <c r="B923" i="5"/>
  <c r="E922" i="5" s="1" a="1"/>
  <c r="E922" i="5" s="1"/>
  <c r="B968" i="5"/>
  <c r="E967" i="5" s="1" a="1"/>
  <c r="E967" i="5" s="1"/>
  <c r="B1032" i="5"/>
  <c r="E1031" i="5" s="1" a="1"/>
  <c r="E1031" i="5" s="1"/>
  <c r="B1096" i="5"/>
  <c r="E1095" i="5" s="1" a="1"/>
  <c r="E1095" i="5" s="1"/>
  <c r="B1160" i="5"/>
  <c r="B1224" i="5"/>
  <c r="E1223" i="5" s="1" a="1"/>
  <c r="E1223" i="5" s="1"/>
  <c r="B1288" i="5"/>
  <c r="E1287" i="5" s="1" a="1"/>
  <c r="E1287" i="5" s="1"/>
  <c r="B1352" i="5"/>
  <c r="E1351" i="5" s="1" a="1"/>
  <c r="E1351" i="5" s="1"/>
  <c r="B1416" i="5"/>
  <c r="B1480" i="5"/>
  <c r="E1479" i="5" s="1" a="1"/>
  <c r="E1479" i="5" s="1"/>
  <c r="B1595" i="5"/>
  <c r="B1659" i="5"/>
  <c r="E1658" i="5" s="1" a="1"/>
  <c r="E1658" i="5" s="1"/>
  <c r="B1723" i="5"/>
  <c r="E1722" i="5" s="1" a="1"/>
  <c r="E1722" i="5" s="1"/>
  <c r="B1787" i="5"/>
  <c r="E1786" i="5" s="1" a="1"/>
  <c r="E1786" i="5" s="1"/>
  <c r="B1851" i="5"/>
  <c r="B1915" i="5"/>
  <c r="E1914" i="5" s="1" a="1"/>
  <c r="E1914" i="5" s="1"/>
  <c r="B1996" i="5"/>
  <c r="E1995" i="5" s="1" a="1"/>
  <c r="E1995" i="5" s="1"/>
  <c r="B1614" i="5"/>
  <c r="E1613" i="5" s="1" a="1"/>
  <c r="E1613" i="5" s="1"/>
  <c r="B1678" i="5"/>
  <c r="B1742" i="5"/>
  <c r="B1806" i="5"/>
  <c r="B1870" i="5"/>
  <c r="E1869" i="5" s="1" a="1"/>
  <c r="E1869" i="5" s="1"/>
  <c r="B1934" i="5"/>
  <c r="E1933" i="5" s="1" a="1"/>
  <c r="E1933" i="5" s="1"/>
  <c r="B1565" i="5"/>
  <c r="E1564" i="5" s="1" a="1"/>
  <c r="E1564" i="5" s="1"/>
  <c r="B1629" i="5"/>
  <c r="B1693" i="5"/>
  <c r="B1757" i="5"/>
  <c r="B1821" i="5"/>
  <c r="E1820" i="5" s="1" a="1"/>
  <c r="E1820" i="5" s="1"/>
  <c r="B1885" i="5"/>
  <c r="E1884" i="5" s="1" a="1"/>
  <c r="E1884" i="5" s="1"/>
  <c r="B1514" i="5"/>
  <c r="B1530" i="5"/>
  <c r="B1546" i="5"/>
  <c r="B1580" i="5"/>
  <c r="E1579" i="5" s="1" a="1"/>
  <c r="E1579" i="5" s="1"/>
  <c r="B1644" i="5"/>
  <c r="E1643" i="5" s="1" a="1"/>
  <c r="E1643" i="5" s="1"/>
  <c r="B1708" i="5"/>
  <c r="E1707" i="5" s="1" a="1"/>
  <c r="E1707" i="5" s="1"/>
  <c r="B1772" i="5"/>
  <c r="B1836" i="5"/>
  <c r="B1900" i="5"/>
  <c r="B1969" i="5"/>
  <c r="B1990" i="5"/>
  <c r="B2054" i="5"/>
  <c r="B2118" i="5"/>
  <c r="B2182" i="5"/>
  <c r="B2313" i="5"/>
  <c r="E2312" i="5" s="1" a="1"/>
  <c r="E2312" i="5" s="1"/>
  <c r="B2483" i="5"/>
  <c r="B2057" i="5"/>
  <c r="E2056" i="5" s="1" a="1"/>
  <c r="E2056" i="5" s="1"/>
  <c r="B2121" i="5"/>
  <c r="E2120" i="5" s="1" a="1"/>
  <c r="E2120" i="5" s="1"/>
  <c r="B2185" i="5"/>
  <c r="E2184" i="5" s="1" a="1"/>
  <c r="E2184" i="5" s="1"/>
  <c r="B2319" i="5"/>
  <c r="E2318" i="5" s="1" a="1"/>
  <c r="E2318" i="5" s="1"/>
  <c r="B2495" i="5"/>
  <c r="E2494" i="5" s="1" a="1"/>
  <c r="E2494" i="5" s="1"/>
  <c r="B2060" i="5"/>
  <c r="B2124" i="5"/>
  <c r="B2188" i="5"/>
  <c r="E2187" i="5" s="1" a="1"/>
  <c r="E2187" i="5" s="1"/>
  <c r="B2325" i="5"/>
  <c r="E2324" i="5" s="1" a="1"/>
  <c r="E2324" i="5" s="1"/>
  <c r="B2507" i="5"/>
  <c r="E2506" i="5" s="1" a="1"/>
  <c r="E2506" i="5" s="1"/>
  <c r="B2039" i="5"/>
  <c r="B2103" i="5"/>
  <c r="E2102" i="5" s="1" a="1"/>
  <c r="E2102" i="5" s="1"/>
  <c r="B2167" i="5"/>
  <c r="E2166" i="5" s="1" a="1"/>
  <c r="E2166" i="5" s="1"/>
  <c r="B2275" i="5"/>
  <c r="B2403" i="5"/>
  <c r="B2429" i="5"/>
  <c r="B2493" i="5"/>
  <c r="E2492" i="5" s="1" a="1"/>
  <c r="E2492" i="5" s="1"/>
  <c r="B2789" i="5"/>
  <c r="B2853" i="5"/>
  <c r="E2852" i="5" s="1" a="1"/>
  <c r="E2852" i="5" s="1"/>
  <c r="B2917" i="5"/>
  <c r="E2916" i="5" s="1" a="1"/>
  <c r="E2916" i="5" s="1"/>
  <c r="B2981" i="5"/>
  <c r="E2980" i="5" s="1" a="1"/>
  <c r="E2980" i="5" s="1"/>
  <c r="B2272" i="5"/>
  <c r="E2272" i="5" s="1" a="1"/>
  <c r="E2272" i="5" s="1"/>
  <c r="B2336" i="5"/>
  <c r="B2400" i="5"/>
  <c r="B2464" i="5"/>
  <c r="E2463" i="5" s="1" a="1"/>
  <c r="E2463" i="5" s="1"/>
  <c r="B2528" i="5"/>
  <c r="B2810" i="5"/>
  <c r="E2809" i="5" s="1" a="1"/>
  <c r="E2809" i="5" s="1"/>
  <c r="B2874" i="5"/>
  <c r="E2873" i="5" s="1" a="1"/>
  <c r="E2873" i="5" s="1"/>
  <c r="B2938" i="5"/>
  <c r="E2937" i="5" s="1" a="1"/>
  <c r="E2937" i="5" s="1"/>
  <c r="B2551" i="5"/>
  <c r="E2550" i="5" s="1" a="1"/>
  <c r="E2550" i="5" s="1"/>
  <c r="B2583" i="5"/>
  <c r="E2582" i="5" s="1" a="1"/>
  <c r="E2582" i="5" s="1"/>
  <c r="B2615" i="5"/>
  <c r="E2614" i="5" s="1" a="1"/>
  <c r="E2614" i="5" s="1"/>
  <c r="B2647" i="5"/>
  <c r="E2646" i="5" s="1" a="1"/>
  <c r="E2646" i="5" s="1"/>
  <c r="B2679" i="5"/>
  <c r="E2678" i="5" s="1" a="1"/>
  <c r="E2678" i="5" s="1"/>
  <c r="B2711" i="5"/>
  <c r="B2743" i="5"/>
  <c r="E2742" i="5" s="1" a="1"/>
  <c r="E2742" i="5" s="1"/>
  <c r="B2787" i="5"/>
  <c r="E2786" i="5" s="1" a="1"/>
  <c r="E2786" i="5" s="1"/>
  <c r="B2851" i="5"/>
  <c r="E2850" i="5" s="1" a="1"/>
  <c r="E2850" i="5" s="1"/>
  <c r="B2915" i="5"/>
  <c r="E2914" i="5" s="1" a="1"/>
  <c r="E2914" i="5" s="1"/>
  <c r="B2979" i="5"/>
  <c r="E2978" i="5" s="1" a="1"/>
  <c r="E2978" i="5" s="1"/>
  <c r="B2214" i="5"/>
  <c r="E2213" i="5" s="1" a="1"/>
  <c r="E2213" i="5" s="1"/>
  <c r="B2278" i="5"/>
  <c r="B2342" i="5"/>
  <c r="E2341" i="5" s="1" a="1"/>
  <c r="E2341" i="5" s="1"/>
  <c r="B2406" i="5"/>
  <c r="B2470" i="5"/>
  <c r="B2534" i="5"/>
  <c r="B2812" i="5"/>
  <c r="E2811" i="5" s="1" a="1"/>
  <c r="E2811" i="5" s="1"/>
  <c r="B2876" i="5"/>
  <c r="B2940" i="5"/>
  <c r="E2939" i="5" s="1" a="1"/>
  <c r="E2939" i="5" s="1"/>
  <c r="B2988" i="5"/>
  <c r="B3004" i="5"/>
  <c r="B3026" i="5"/>
  <c r="B3090" i="5"/>
  <c r="B3154" i="5"/>
  <c r="E3153" i="5" s="1" a="1"/>
  <c r="E3153" i="5" s="1"/>
  <c r="B3218" i="5"/>
  <c r="E3217" i="5" s="1" a="1"/>
  <c r="E3217" i="5" s="1"/>
  <c r="B3275" i="5"/>
  <c r="B3320" i="5"/>
  <c r="B3065" i="5"/>
  <c r="E3064" i="5" s="1" a="1"/>
  <c r="E3064" i="5" s="1"/>
  <c r="B3129" i="5"/>
  <c r="E3128" i="5" s="1" a="1"/>
  <c r="E3128" i="5" s="1"/>
  <c r="B3193" i="5"/>
  <c r="E3192" i="5" s="1" a="1"/>
  <c r="E3192" i="5" s="1"/>
  <c r="B3257" i="5"/>
  <c r="B3028" i="5"/>
  <c r="E3027" i="5" s="1" a="1"/>
  <c r="E3027" i="5" s="1"/>
  <c r="B3092" i="5"/>
  <c r="E3091" i="5" s="1" a="1"/>
  <c r="E3091" i="5" s="1"/>
  <c r="B3156" i="5"/>
  <c r="E3155" i="5" s="1" a="1"/>
  <c r="E3155" i="5" s="1"/>
  <c r="B3220" i="5"/>
  <c r="E3219" i="5" s="1" a="1"/>
  <c r="E3219" i="5" s="1"/>
  <c r="B3276" i="5"/>
  <c r="B3322" i="5"/>
  <c r="E3321" i="5" s="1" a="1"/>
  <c r="E3321" i="5" s="1"/>
  <c r="B3067" i="5"/>
  <c r="B3131" i="5"/>
  <c r="B3195" i="5"/>
  <c r="E3194" i="5" s="1" a="1"/>
  <c r="E3194" i="5" s="1"/>
  <c r="B3259" i="5"/>
  <c r="E3258" i="5" s="1" a="1"/>
  <c r="E3258" i="5" s="1"/>
  <c r="B3340" i="5"/>
  <c r="B3356" i="5"/>
  <c r="B3645" i="5"/>
  <c r="E3644" i="5" s="1" a="1"/>
  <c r="E3644" i="5" s="1"/>
  <c r="B3383" i="5"/>
  <c r="E3382" i="5" s="1" a="1"/>
  <c r="E3382" i="5" s="1"/>
  <c r="B3447" i="5"/>
  <c r="B3511" i="5"/>
  <c r="B3575" i="5"/>
  <c r="E3574" i="5" s="1" a="1"/>
  <c r="E3574" i="5" s="1"/>
  <c r="B3642" i="5"/>
  <c r="B3390" i="5"/>
  <c r="B3454" i="5"/>
  <c r="B3518" i="5"/>
  <c r="B3582" i="5"/>
  <c r="B3646" i="5"/>
  <c r="B3385" i="5"/>
  <c r="E3384" i="5" s="1" a="1"/>
  <c r="E3384" i="5" s="1"/>
  <c r="B3449" i="5"/>
  <c r="B3513" i="5"/>
  <c r="E3512" i="5" s="1" a="1"/>
  <c r="E3512" i="5" s="1"/>
  <c r="B3577" i="5"/>
  <c r="B3643" i="5"/>
  <c r="B3648" i="5"/>
  <c r="B3712" i="5"/>
  <c r="E3711" i="5" s="1" a="1"/>
  <c r="E3711" i="5" s="1"/>
  <c r="B3919" i="5"/>
  <c r="B3986" i="5"/>
  <c r="E3985" i="5" s="1" a="1"/>
  <c r="E3985" i="5" s="1"/>
  <c r="B3743" i="5"/>
  <c r="B3807" i="5"/>
  <c r="B3871" i="5"/>
  <c r="B3951" i="5"/>
  <c r="E3950" i="5" s="1" a="1"/>
  <c r="E3950" i="5" s="1"/>
  <c r="B4015" i="5"/>
  <c r="B3762" i="5"/>
  <c r="E3761" i="5" s="1" a="1"/>
  <c r="E3761" i="5" s="1"/>
  <c r="B3826" i="5"/>
  <c r="E3825" i="5" s="1" a="1"/>
  <c r="E3825" i="5" s="1"/>
  <c r="B3892" i="5"/>
  <c r="E3891" i="5" s="1" a="1"/>
  <c r="E3891" i="5" s="1"/>
  <c r="B3976" i="5"/>
  <c r="B3689" i="5"/>
  <c r="B3753" i="5"/>
  <c r="B3817" i="5"/>
  <c r="B3881" i="5"/>
  <c r="B3965" i="5"/>
  <c r="E3964" i="5" s="1" a="1"/>
  <c r="E3964" i="5" s="1"/>
  <c r="B4040" i="5"/>
  <c r="E4039" i="5" s="1" a="1"/>
  <c r="E4039" i="5" s="1"/>
  <c r="B4049" i="5"/>
  <c r="E4048" i="5" s="1" a="1"/>
  <c r="E4048" i="5" s="1"/>
  <c r="B4105" i="5"/>
  <c r="B4243" i="5"/>
  <c r="E4242" i="5" s="1" a="1"/>
  <c r="E4242" i="5" s="1"/>
  <c r="B4119" i="5"/>
  <c r="E4118" i="5" s="1" a="1"/>
  <c r="E4118" i="5" s="1"/>
  <c r="B4261" i="5"/>
  <c r="E4260" i="5" s="1" a="1"/>
  <c r="E4260" i="5" s="1"/>
  <c r="B4083" i="5"/>
  <c r="B4211" i="5"/>
  <c r="B4250" i="5"/>
  <c r="E4249" i="5" s="1" a="1"/>
  <c r="E4249" i="5" s="1"/>
  <c r="B4282" i="5"/>
  <c r="E4281" i="5" s="1" a="1"/>
  <c r="E4281" i="5" s="1"/>
  <c r="B4314" i="5"/>
  <c r="B4346" i="5"/>
  <c r="E4345" i="5" s="1" a="1"/>
  <c r="E4345" i="5" s="1"/>
  <c r="B4078" i="5"/>
  <c r="B4142" i="5"/>
  <c r="B4206" i="5"/>
  <c r="B4277" i="5"/>
  <c r="E4276" i="5" s="1" a="1"/>
  <c r="E4276" i="5" s="1"/>
  <c r="B4309" i="5"/>
  <c r="E4308" i="5" s="1" a="1"/>
  <c r="E4308" i="5" s="1"/>
  <c r="B4341" i="5"/>
  <c r="E4340" i="5" s="1" a="1"/>
  <c r="E4340" i="5" s="1"/>
  <c r="B4373" i="5"/>
  <c r="E4372" i="5" s="1" a="1"/>
  <c r="E4372" i="5" s="1"/>
  <c r="B4132" i="5"/>
  <c r="B4196" i="5"/>
  <c r="B4405" i="5"/>
  <c r="E4404" i="5" s="1" a="1"/>
  <c r="E4404" i="5" s="1"/>
  <c r="B4390" i="5"/>
  <c r="B4440" i="5"/>
  <c r="E4439" i="5" s="1" a="1"/>
  <c r="E4439" i="5" s="1"/>
  <c r="B4504" i="5"/>
  <c r="B4568" i="5"/>
  <c r="B4632" i="5"/>
  <c r="B4450" i="5"/>
  <c r="B4514" i="5"/>
  <c r="B4578" i="5"/>
  <c r="B4640" i="5"/>
  <c r="E4639" i="5" s="1" a="1"/>
  <c r="E4639" i="5" s="1"/>
  <c r="B4685" i="5"/>
  <c r="E4684" i="5" s="1" a="1"/>
  <c r="E4684" i="5" s="1"/>
  <c r="B4736" i="5"/>
  <c r="B4660" i="5"/>
  <c r="E4659" i="5" s="1" a="1"/>
  <c r="E4659" i="5" s="1"/>
  <c r="B4743" i="5"/>
  <c r="B4671" i="5"/>
  <c r="E4670" i="5" s="1" a="1"/>
  <c r="E4670" i="5" s="1"/>
  <c r="B4729" i="5"/>
  <c r="E4728" i="5" s="1" a="1"/>
  <c r="E4728" i="5" s="1"/>
  <c r="B4780" i="5"/>
  <c r="E4779" i="5" s="1" a="1"/>
  <c r="E4779" i="5" s="1"/>
  <c r="B4662" i="5"/>
  <c r="E4661" i="5" s="1" a="1"/>
  <c r="E4661" i="5" s="1"/>
  <c r="B4745" i="5"/>
  <c r="E4744" i="5" s="1" a="1"/>
  <c r="E4744" i="5" s="1"/>
  <c r="B4817" i="5"/>
  <c r="B4820" i="5"/>
  <c r="E4819" i="5" s="1" a="1"/>
  <c r="E4819" i="5" s="1"/>
  <c r="B4823" i="5"/>
  <c r="B4802" i="5"/>
  <c r="E4801" i="5" s="1" a="1"/>
  <c r="E4801" i="5" s="1"/>
  <c r="B4871" i="5"/>
  <c r="B4983" i="5"/>
  <c r="E4982" i="5" s="1" a="1"/>
  <c r="E4982" i="5" s="1"/>
  <c r="B4945" i="5"/>
  <c r="E4944" i="5" s="1" a="1"/>
  <c r="E4944" i="5" s="1"/>
  <c r="B4919" i="5"/>
  <c r="B4891" i="5"/>
  <c r="B4924" i="5"/>
  <c r="E4923" i="5" s="1" a="1"/>
  <c r="E4923" i="5" s="1"/>
  <c r="B4960" i="5"/>
  <c r="E4959" i="5" s="1" a="1"/>
  <c r="E4959" i="5" s="1"/>
  <c r="B4878" i="5"/>
  <c r="B5021" i="5"/>
  <c r="B5014" i="5"/>
  <c r="E1057" i="5" a="1"/>
  <c r="E1057" i="5" s="1"/>
  <c r="E1441" i="5" a="1"/>
  <c r="E1441" i="5" s="1"/>
  <c r="B460" i="5"/>
  <c r="E459" i="5" s="1" a="1"/>
  <c r="E459" i="5" s="1"/>
  <c r="E1542" i="5" a="1"/>
  <c r="E1542" i="5" s="1"/>
  <c r="S50" i="3"/>
  <c r="J6" i="3"/>
  <c r="B111" i="5"/>
  <c r="E110" i="5" s="1" a="1"/>
  <c r="E110" i="5" s="1"/>
  <c r="B285" i="5"/>
  <c r="E284" i="5" s="1" a="1"/>
  <c r="E284" i="5" s="1"/>
  <c r="B740" i="5"/>
  <c r="B199" i="5"/>
  <c r="E198" i="5" s="1" a="1"/>
  <c r="E198" i="5" s="1"/>
  <c r="B566" i="5"/>
  <c r="B630" i="5"/>
  <c r="E629" i="5" s="1" a="1"/>
  <c r="E629" i="5" s="1"/>
  <c r="B694" i="5"/>
  <c r="E693" i="5" s="1" a="1"/>
  <c r="E693" i="5" s="1"/>
  <c r="B758" i="5"/>
  <c r="B127" i="5"/>
  <c r="B318" i="5"/>
  <c r="E317" i="5" s="1" a="1"/>
  <c r="E317" i="5" s="1"/>
  <c r="B369" i="5"/>
  <c r="E368" i="5" s="1" a="1"/>
  <c r="E368" i="5" s="1"/>
  <c r="B472" i="5"/>
  <c r="E471" i="5" s="1" a="1"/>
  <c r="E471" i="5" s="1"/>
  <c r="B741" i="5"/>
  <c r="B435" i="5"/>
  <c r="E434" i="5" s="1" a="1"/>
  <c r="E434" i="5" s="1"/>
  <c r="B676" i="5"/>
  <c r="E675" i="5" s="1" a="1"/>
  <c r="E675" i="5" s="1"/>
  <c r="B1618" i="5"/>
  <c r="E1617" i="5" s="1" a="1"/>
  <c r="E1617" i="5" s="1"/>
  <c r="B1682" i="5"/>
  <c r="E1681" i="5" s="1" a="1"/>
  <c r="E1681" i="5" s="1"/>
  <c r="B1746" i="5"/>
  <c r="E1745" i="5" s="1" a="1"/>
  <c r="E1745" i="5" s="1"/>
  <c r="B1810" i="5"/>
  <c r="B1874" i="5"/>
  <c r="B1938" i="5"/>
  <c r="E1937" i="5" s="1" a="1"/>
  <c r="E1937" i="5" s="1"/>
  <c r="B1569" i="5"/>
  <c r="E1568" i="5" s="1" a="1"/>
  <c r="E1568" i="5" s="1"/>
  <c r="B1633" i="5"/>
  <c r="E1632" i="5" s="1" a="1"/>
  <c r="E1632" i="5" s="1"/>
  <c r="B1697" i="5"/>
  <c r="B1761" i="5"/>
  <c r="B1825" i="5"/>
  <c r="E1824" i="5" s="1" a="1"/>
  <c r="E1824" i="5" s="1"/>
  <c r="B1889" i="5"/>
  <c r="B1956" i="5"/>
  <c r="B1584" i="5"/>
  <c r="E1583" i="5" s="1" a="1"/>
  <c r="E1583" i="5" s="1"/>
  <c r="B1648" i="5"/>
  <c r="E1647" i="5" s="1" a="1"/>
  <c r="E1647" i="5" s="1"/>
  <c r="B1712" i="5"/>
  <c r="E1711" i="5" s="1" a="1"/>
  <c r="E1711" i="5" s="1"/>
  <c r="B1776" i="5"/>
  <c r="E1775" i="5" s="1" a="1"/>
  <c r="E1775" i="5" s="1"/>
  <c r="B1840" i="5"/>
  <c r="E1839" i="5" s="1" a="1"/>
  <c r="E1839" i="5" s="1"/>
  <c r="B1904" i="5"/>
  <c r="E1903" i="5" s="1" a="1"/>
  <c r="E1903" i="5" s="1"/>
  <c r="B2523" i="5"/>
  <c r="E2522" i="5" s="1" a="1"/>
  <c r="E2522" i="5" s="1"/>
  <c r="B2043" i="5"/>
  <c r="E2042" i="5" s="1" a="1"/>
  <c r="E2042" i="5" s="1"/>
  <c r="B2107" i="5"/>
  <c r="E2106" i="5" s="1" a="1"/>
  <c r="E2106" i="5" s="1"/>
  <c r="B2171" i="5"/>
  <c r="E2170" i="5" s="1" a="1"/>
  <c r="E2170" i="5" s="1"/>
  <c r="B3278" i="5"/>
  <c r="E3277" i="5" s="1" a="1"/>
  <c r="E3277" i="5" s="1"/>
  <c r="B3389" i="5"/>
  <c r="E3388" i="5" s="1" a="1"/>
  <c r="E3388" i="5" s="1"/>
  <c r="B3453" i="5"/>
  <c r="E3452" i="5" s="1" a="1"/>
  <c r="E3452" i="5" s="1"/>
  <c r="B3517" i="5"/>
  <c r="E3516" i="5" s="1" a="1"/>
  <c r="E3516" i="5" s="1"/>
  <c r="B3581" i="5"/>
  <c r="E3580" i="5" s="1" a="1"/>
  <c r="E3580" i="5" s="1"/>
  <c r="B3650" i="5"/>
  <c r="E3649" i="5" s="1" a="1"/>
  <c r="E3649" i="5" s="1"/>
  <c r="B3780" i="5"/>
  <c r="E3779" i="5" s="1" a="1"/>
  <c r="E3779" i="5" s="1"/>
  <c r="B3844" i="5"/>
  <c r="E3843" i="5" s="1" a="1"/>
  <c r="E3843" i="5" s="1"/>
  <c r="B4252" i="5"/>
  <c r="E4251" i="5" s="1" a="1"/>
  <c r="E4251" i="5" s="1"/>
  <c r="B4082" i="5"/>
  <c r="E4081" i="5" s="1" a="1"/>
  <c r="E4081" i="5" s="1"/>
  <c r="B4146" i="5"/>
  <c r="E4145" i="5" s="1" a="1"/>
  <c r="E4145" i="5" s="1"/>
  <c r="B4210" i="5"/>
  <c r="E4209" i="5" s="1" a="1"/>
  <c r="E4209" i="5" s="1"/>
  <c r="B4396" i="5"/>
  <c r="B4394" i="5"/>
  <c r="E4393" i="5" s="1" a="1"/>
  <c r="E4393" i="5" s="1"/>
  <c r="B4471" i="5"/>
  <c r="E4470" i="5" s="1" a="1"/>
  <c r="E4470" i="5" s="1"/>
  <c r="B4535" i="5"/>
  <c r="B4599" i="5"/>
  <c r="E4598" i="5" s="1" a="1"/>
  <c r="E4598" i="5" s="1"/>
  <c r="B4477" i="5"/>
  <c r="E4476" i="5" s="1" a="1"/>
  <c r="E4476" i="5" s="1"/>
  <c r="B4541" i="5"/>
  <c r="E4540" i="5" s="1" a="1"/>
  <c r="E4540" i="5" s="1"/>
  <c r="B4605" i="5"/>
  <c r="E4604" i="5" s="1" a="1"/>
  <c r="E4604" i="5" s="1"/>
  <c r="B4731" i="5"/>
  <c r="E4730" i="5" s="1" a="1"/>
  <c r="E4730" i="5" s="1"/>
  <c r="B4806" i="5"/>
  <c r="E4805" i="5" s="1" a="1"/>
  <c r="E4805" i="5" s="1"/>
  <c r="B4862" i="5"/>
  <c r="E4861" i="5" s="1" a="1"/>
  <c r="E4861" i="5" s="1"/>
  <c r="B4928" i="5"/>
  <c r="E4927" i="5" s="1" a="1"/>
  <c r="E4927" i="5" s="1"/>
  <c r="B5028" i="5"/>
  <c r="E5027" i="5" s="1" a="1"/>
  <c r="E5027" i="5" s="1"/>
  <c r="B202" i="5"/>
  <c r="E201" i="5" s="1" a="1"/>
  <c r="E201" i="5" s="1"/>
  <c r="B360" i="5"/>
  <c r="E359" i="5" s="1" a="1"/>
  <c r="E359" i="5" s="1"/>
  <c r="B404" i="5"/>
  <c r="B450" i="5"/>
  <c r="B568" i="5"/>
  <c r="E567" i="5" s="1" a="1"/>
  <c r="E567" i="5" s="1"/>
  <c r="B535" i="5"/>
  <c r="E534" i="5" s="1" a="1"/>
  <c r="E534" i="5" s="1"/>
  <c r="B599" i="5"/>
  <c r="E598" i="5" s="1" a="1"/>
  <c r="E598" i="5" s="1"/>
  <c r="B663" i="5"/>
  <c r="E662" i="5" s="1" a="1"/>
  <c r="E662" i="5" s="1"/>
  <c r="B727" i="5"/>
  <c r="E726" i="5" s="1" a="1"/>
  <c r="E726" i="5" s="1"/>
  <c r="B791" i="5"/>
  <c r="E790" i="5" s="1" a="1"/>
  <c r="E790" i="5" s="1"/>
  <c r="B989" i="5"/>
  <c r="E988" i="5" s="1" a="1"/>
  <c r="E988" i="5" s="1"/>
  <c r="B1053" i="5"/>
  <c r="E1052" i="5" s="1" a="1"/>
  <c r="E1052" i="5" s="1"/>
  <c r="B1117" i="5"/>
  <c r="E1116" i="5" s="1" a="1"/>
  <c r="E1116" i="5" s="1"/>
  <c r="B1181" i="5"/>
  <c r="B1245" i="5"/>
  <c r="B1309" i="5"/>
  <c r="E1308" i="5" s="1" a="1"/>
  <c r="E1308" i="5" s="1"/>
  <c r="B1373" i="5"/>
  <c r="E1372" i="5" s="1" a="1"/>
  <c r="E1372" i="5" s="1"/>
  <c r="B1437" i="5"/>
  <c r="E1436" i="5" s="1" a="1"/>
  <c r="E1436" i="5" s="1"/>
  <c r="B1501" i="5"/>
  <c r="E1500" i="5" s="1" a="1"/>
  <c r="E1500" i="5" s="1"/>
  <c r="B170" i="5"/>
  <c r="B538" i="5"/>
  <c r="B602" i="5"/>
  <c r="B666" i="5"/>
  <c r="E665" i="5" s="1" a="1"/>
  <c r="E665" i="5" s="1"/>
  <c r="B730" i="5"/>
  <c r="B794" i="5"/>
  <c r="E793" i="5" s="1" a="1"/>
  <c r="E793" i="5" s="1"/>
  <c r="B165" i="5"/>
  <c r="E164" i="5" s="1" a="1"/>
  <c r="E164" i="5" s="1"/>
  <c r="B234" i="5"/>
  <c r="B296" i="5"/>
  <c r="E295" i="5" s="1" a="1"/>
  <c r="E295" i="5" s="1"/>
  <c r="B451" i="5"/>
  <c r="B483" i="5"/>
  <c r="E482" i="5" s="1" a="1"/>
  <c r="E482" i="5" s="1"/>
  <c r="B499" i="5"/>
  <c r="E498" i="5" s="1" a="1"/>
  <c r="E498" i="5" s="1"/>
  <c r="B649" i="5"/>
  <c r="B713" i="5"/>
  <c r="E712" i="5" s="1" a="1"/>
  <c r="E712" i="5" s="1"/>
  <c r="B86" i="5"/>
  <c r="B414" i="5"/>
  <c r="E413" i="5" s="1" a="1"/>
  <c r="E413" i="5" s="1"/>
  <c r="B461" i="5"/>
  <c r="B612" i="5"/>
  <c r="E611" i="5" s="1" a="1"/>
  <c r="E611" i="5" s="1"/>
  <c r="B1571" i="5"/>
  <c r="E1570" i="5" s="1" a="1"/>
  <c r="E1570" i="5" s="1"/>
  <c r="B1635" i="5"/>
  <c r="B1699" i="5"/>
  <c r="B1763" i="5"/>
  <c r="E1762" i="5" s="1" a="1"/>
  <c r="E1762" i="5" s="1"/>
  <c r="B1827" i="5"/>
  <c r="B1891" i="5"/>
  <c r="B1957" i="5"/>
  <c r="B1590" i="5"/>
  <c r="E1589" i="5" s="1" a="1"/>
  <c r="E1589" i="5" s="1"/>
  <c r="B1654" i="5"/>
  <c r="E1653" i="5" s="1" a="1"/>
  <c r="E1653" i="5" s="1"/>
  <c r="B1718" i="5"/>
  <c r="E1717" i="5" s="1" a="1"/>
  <c r="E1717" i="5" s="1"/>
  <c r="B1782" i="5"/>
  <c r="E1781" i="5" s="1" a="1"/>
  <c r="E1781" i="5" s="1"/>
  <c r="B1846" i="5"/>
  <c r="E1845" i="5" s="1" a="1"/>
  <c r="E1845" i="5" s="1"/>
  <c r="B1910" i="5"/>
  <c r="E1909" i="5" s="1" a="1"/>
  <c r="E1909" i="5" s="1"/>
  <c r="B1981" i="5"/>
  <c r="B1605" i="5"/>
  <c r="E1604" i="5" s="1" a="1"/>
  <c r="E1604" i="5" s="1"/>
  <c r="B1669" i="5"/>
  <c r="B1733" i="5"/>
  <c r="E1732" i="5" s="1" a="1"/>
  <c r="E1732" i="5" s="1"/>
  <c r="B1797" i="5"/>
  <c r="B1861" i="5"/>
  <c r="E1860" i="5" s="1" a="1"/>
  <c r="E1860" i="5" s="1"/>
  <c r="B1925" i="5"/>
  <c r="B1508" i="5"/>
  <c r="E1507" i="5" s="1" a="1"/>
  <c r="E1507" i="5" s="1"/>
  <c r="B1524" i="5"/>
  <c r="E1523" i="5" s="1" a="1"/>
  <c r="E1523" i="5" s="1"/>
  <c r="B1540" i="5"/>
  <c r="B1556" i="5"/>
  <c r="E1555" i="5" s="1" a="1"/>
  <c r="E1555" i="5" s="1"/>
  <c r="B1620" i="5"/>
  <c r="B1684" i="5"/>
  <c r="B1748" i="5"/>
  <c r="B1812" i="5"/>
  <c r="E1811" i="5" s="1" a="1"/>
  <c r="E1811" i="5" s="1"/>
  <c r="B1876" i="5"/>
  <c r="B1940" i="5"/>
  <c r="B2030" i="5"/>
  <c r="E2029" i="5" s="1" a="1"/>
  <c r="E2029" i="5" s="1"/>
  <c r="B2094" i="5"/>
  <c r="E2093" i="5" s="1" a="1"/>
  <c r="E2093" i="5" s="1"/>
  <c r="B2158" i="5"/>
  <c r="E2157" i="5" s="1" a="1"/>
  <c r="E2157" i="5" s="1"/>
  <c r="B2265" i="5"/>
  <c r="B2393" i="5"/>
  <c r="B2033" i="5"/>
  <c r="E2032" i="5" s="1" a="1"/>
  <c r="E2032" i="5" s="1"/>
  <c r="B2097" i="5"/>
  <c r="B2161" i="5"/>
  <c r="E2160" i="5" s="1" a="1"/>
  <c r="E2160" i="5" s="1"/>
  <c r="B2271" i="5"/>
  <c r="B2399" i="5"/>
  <c r="B2277" i="5"/>
  <c r="B2411" i="5"/>
  <c r="B2015" i="5"/>
  <c r="E2014" i="5" s="1" a="1"/>
  <c r="E2014" i="5" s="1"/>
  <c r="B2079" i="5"/>
  <c r="E2078" i="5" s="1" a="1"/>
  <c r="E2078" i="5" s="1"/>
  <c r="B2143" i="5"/>
  <c r="B2405" i="5"/>
  <c r="E2404" i="5" s="1" a="1"/>
  <c r="E2404" i="5" s="1"/>
  <c r="B2469" i="5"/>
  <c r="E2468" i="5" s="1" a="1"/>
  <c r="E2468" i="5" s="1"/>
  <c r="B2533" i="5"/>
  <c r="E2532" i="5" s="1" a="1"/>
  <c r="E2532" i="5" s="1"/>
  <c r="B2571" i="5"/>
  <c r="E2570" i="5" s="1" a="1"/>
  <c r="E2570" i="5" s="1"/>
  <c r="B2603" i="5"/>
  <c r="E2602" i="5" s="1" a="1"/>
  <c r="E2602" i="5" s="1"/>
  <c r="B2635" i="5"/>
  <c r="E2634" i="5" s="1" a="1"/>
  <c r="E2634" i="5" s="1"/>
  <c r="B2667" i="5"/>
  <c r="E2666" i="5" s="1" a="1"/>
  <c r="E2666" i="5" s="1"/>
  <c r="B2699" i="5"/>
  <c r="E2698" i="5" s="1" a="1"/>
  <c r="E2698" i="5" s="1"/>
  <c r="B2731" i="5"/>
  <c r="E2730" i="5" s="1" a="1"/>
  <c r="E2730" i="5" s="1"/>
  <c r="B2763" i="5"/>
  <c r="E2762" i="5" s="1" a="1"/>
  <c r="E2762" i="5" s="1"/>
  <c r="B2205" i="5"/>
  <c r="E2204" i="5" s="1" a="1"/>
  <c r="E2204" i="5" s="1"/>
  <c r="B2998" i="5"/>
  <c r="E2997" i="5" s="1" a="1"/>
  <c r="E2997" i="5" s="1"/>
  <c r="B3014" i="5"/>
  <c r="B3325" i="5"/>
  <c r="B3350" i="5"/>
  <c r="E3349" i="5" s="1" a="1"/>
  <c r="E3349" i="5" s="1"/>
  <c r="B3366" i="5"/>
  <c r="E3365" i="5" s="1" a="1"/>
  <c r="E3365" i="5" s="1"/>
  <c r="B3425" i="5"/>
  <c r="B3489" i="5"/>
  <c r="E3488" i="5" s="1" a="1"/>
  <c r="E3488" i="5" s="1"/>
  <c r="B3553" i="5"/>
  <c r="E3552" i="5" s="1" a="1"/>
  <c r="E3552" i="5" s="1"/>
  <c r="B3617" i="5"/>
  <c r="E3616" i="5" s="1" a="1"/>
  <c r="E3616" i="5" s="1"/>
  <c r="B3707" i="5"/>
  <c r="B3752" i="5"/>
  <c r="E3751" i="5" s="1" a="1"/>
  <c r="E3751" i="5" s="1"/>
  <c r="B3816" i="5"/>
  <c r="E3815" i="5" s="1" a="1"/>
  <c r="E3815" i="5" s="1"/>
  <c r="B3880" i="5"/>
  <c r="E3879" i="5" s="1" a="1"/>
  <c r="E3879" i="5" s="1"/>
  <c r="B3783" i="5"/>
  <c r="E3782" i="5" s="1" a="1"/>
  <c r="E3782" i="5" s="1"/>
  <c r="B3847" i="5"/>
  <c r="E3846" i="5" s="1" a="1"/>
  <c r="E3846" i="5" s="1"/>
  <c r="B3925" i="5"/>
  <c r="E3924" i="5" s="1" a="1"/>
  <c r="E3924" i="5" s="1"/>
  <c r="B3991" i="5"/>
  <c r="E3990" i="5" s="1" a="1"/>
  <c r="E3990" i="5" s="1"/>
  <c r="B4185" i="5"/>
  <c r="E4184" i="5" s="1" a="1"/>
  <c r="E4184" i="5" s="1"/>
  <c r="B3928" i="5"/>
  <c r="E3927" i="5" s="1" a="1"/>
  <c r="E3927" i="5" s="1"/>
  <c r="B4199" i="5"/>
  <c r="B4163" i="5"/>
  <c r="E4162" i="5" s="1" a="1"/>
  <c r="E4162" i="5" s="1"/>
  <c r="B4236" i="5"/>
  <c r="E4235" i="5" s="1" a="1"/>
  <c r="E4235" i="5" s="1"/>
  <c r="B4383" i="5"/>
  <c r="E4382" i="5" s="1" a="1"/>
  <c r="E4382" i="5" s="1"/>
  <c r="B4399" i="5"/>
  <c r="E4398" i="5" s="1" a="1"/>
  <c r="E4398" i="5" s="1"/>
  <c r="B4416" i="5"/>
  <c r="B4443" i="5"/>
  <c r="E4442" i="5" s="1" a="1"/>
  <c r="E4442" i="5" s="1"/>
  <c r="B4507" i="5"/>
  <c r="E4506" i="5" s="1" a="1"/>
  <c r="E4506" i="5" s="1"/>
  <c r="B4571" i="5"/>
  <c r="E4570" i="5" s="1" a="1"/>
  <c r="E4570" i="5" s="1"/>
  <c r="B4635" i="5"/>
  <c r="E4634" i="5" s="1" a="1"/>
  <c r="E4634" i="5" s="1"/>
  <c r="B4449" i="5"/>
  <c r="E4448" i="5" s="1" a="1"/>
  <c r="E4448" i="5" s="1"/>
  <c r="B4513" i="5"/>
  <c r="B4577" i="5"/>
  <c r="E4576" i="5" s="1" a="1"/>
  <c r="E4576" i="5" s="1"/>
  <c r="B4724" i="5"/>
  <c r="B4770" i="5"/>
  <c r="B4783" i="5"/>
  <c r="E4782" i="5" s="1" a="1"/>
  <c r="E4782" i="5" s="1"/>
  <c r="B4653" i="5"/>
  <c r="E4652" i="5" s="1" a="1"/>
  <c r="E4652" i="5" s="1"/>
  <c r="B4785" i="5"/>
  <c r="B4856" i="5"/>
  <c r="E4855" i="5" s="1" a="1"/>
  <c r="E4855" i="5" s="1"/>
  <c r="B4793" i="5"/>
  <c r="E4792" i="5" s="1" a="1"/>
  <c r="E4792" i="5" s="1"/>
  <c r="B4843" i="5"/>
  <c r="B4931" i="5"/>
  <c r="E4930" i="5" s="1" a="1"/>
  <c r="E4930" i="5" s="1"/>
  <c r="B4887" i="5"/>
  <c r="E4886" i="5" s="1" a="1"/>
  <c r="E4886" i="5" s="1"/>
  <c r="B4864" i="5"/>
  <c r="B4965" i="5"/>
  <c r="E4964" i="5" s="1" a="1"/>
  <c r="E4964" i="5" s="1"/>
  <c r="B4994" i="5"/>
  <c r="B4980" i="5"/>
  <c r="B4997" i="5"/>
  <c r="B5000" i="5"/>
  <c r="B103" i="5"/>
  <c r="E102" i="5" s="1" a="1"/>
  <c r="E102" i="5" s="1"/>
  <c r="B221" i="5"/>
  <c r="E220" i="5" s="1" a="1"/>
  <c r="E220" i="5" s="1"/>
  <c r="B279" i="5"/>
  <c r="E278" i="5" s="1" a="1"/>
  <c r="E278" i="5" s="1"/>
  <c r="B465" i="5"/>
  <c r="E464" i="5" s="1" a="1"/>
  <c r="E464" i="5" s="1"/>
  <c r="B728" i="5"/>
  <c r="B555" i="5"/>
  <c r="B619" i="5"/>
  <c r="E618" i="5" s="1" a="1"/>
  <c r="E618" i="5" s="1"/>
  <c r="B683" i="5"/>
  <c r="E682" i="5" s="1" a="1"/>
  <c r="E682" i="5" s="1"/>
  <c r="B747" i="5"/>
  <c r="E746" i="5" s="1" a="1"/>
  <c r="E746" i="5" s="1"/>
  <c r="B945" i="5"/>
  <c r="E944" i="5" s="1" a="1"/>
  <c r="E944" i="5" s="1"/>
  <c r="B1009" i="5"/>
  <c r="E1008" i="5" s="1" a="1"/>
  <c r="E1008" i="5" s="1"/>
  <c r="B1073" i="5"/>
  <c r="B1137" i="5"/>
  <c r="B1201" i="5"/>
  <c r="E1200" i="5" s="1" a="1"/>
  <c r="E1200" i="5" s="1"/>
  <c r="B1265" i="5"/>
  <c r="E1264" i="5" s="1" a="1"/>
  <c r="E1264" i="5" s="1"/>
  <c r="B1329" i="5"/>
  <c r="E1328" i="5" s="1" a="1"/>
  <c r="E1328" i="5" s="1"/>
  <c r="B1393" i="5"/>
  <c r="E1392" i="5" s="1" a="1"/>
  <c r="E1392" i="5" s="1"/>
  <c r="B1457" i="5"/>
  <c r="E1456" i="5" s="1" a="1"/>
  <c r="E1456" i="5" s="1"/>
  <c r="B57" i="5"/>
  <c r="E56" i="5" s="1" a="1"/>
  <c r="E56" i="5" s="1"/>
  <c r="B258" i="5"/>
  <c r="B558" i="5"/>
  <c r="E557" i="5" s="1" a="1"/>
  <c r="E557" i="5" s="1"/>
  <c r="B622" i="5"/>
  <c r="B686" i="5"/>
  <c r="B750" i="5"/>
  <c r="B1002" i="5"/>
  <c r="E1001" i="5" s="1" a="1"/>
  <c r="E1001" i="5" s="1"/>
  <c r="B1066" i="5"/>
  <c r="E1065" i="5" s="1" a="1"/>
  <c r="E1065" i="5" s="1"/>
  <c r="B1130" i="5"/>
  <c r="E1129" i="5" s="1" a="1"/>
  <c r="E1129" i="5" s="1"/>
  <c r="B1194" i="5"/>
  <c r="E1193" i="5" s="1" a="1"/>
  <c r="E1193" i="5" s="1"/>
  <c r="B1258" i="5"/>
  <c r="E1257" i="5" s="1" a="1"/>
  <c r="E1257" i="5" s="1"/>
  <c r="B1322" i="5"/>
  <c r="E1321" i="5" s="1" a="1"/>
  <c r="E1321" i="5" s="1"/>
  <c r="B1386" i="5"/>
  <c r="E1385" i="5" s="1" a="1"/>
  <c r="E1385" i="5" s="1"/>
  <c r="B1450" i="5"/>
  <c r="E1449" i="5" s="1" a="1"/>
  <c r="E1449" i="5" s="1"/>
  <c r="B50" i="5"/>
  <c r="E49" i="5" s="1" a="1"/>
  <c r="E49" i="5" s="1"/>
  <c r="B119" i="5"/>
  <c r="B187" i="5"/>
  <c r="B255" i="5"/>
  <c r="E254" i="5" s="1" a="1"/>
  <c r="E254" i="5" s="1"/>
  <c r="B311" i="5"/>
  <c r="E310" i="5" s="1" a="1"/>
  <c r="E310" i="5" s="1"/>
  <c r="B363" i="5"/>
  <c r="E362" i="5" s="1" a="1"/>
  <c r="E362" i="5" s="1"/>
  <c r="B415" i="5"/>
  <c r="B466" i="5"/>
  <c r="B488" i="5"/>
  <c r="B504" i="5"/>
  <c r="B541" i="5"/>
  <c r="E540" i="5" s="1" a="1"/>
  <c r="E540" i="5" s="1"/>
  <c r="B605" i="5"/>
  <c r="E604" i="5" s="1" a="1"/>
  <c r="E604" i="5" s="1"/>
  <c r="B669" i="5"/>
  <c r="B231" i="5"/>
  <c r="E230" i="5" s="1" a="1"/>
  <c r="E230" i="5" s="1"/>
  <c r="B335" i="5"/>
  <c r="B381" i="5"/>
  <c r="E380" i="5" s="1" a="1"/>
  <c r="E380" i="5" s="1"/>
  <c r="B429" i="5"/>
  <c r="B524" i="5"/>
  <c r="E523" i="5" s="1" a="1"/>
  <c r="E523" i="5" s="1"/>
  <c r="B776" i="5"/>
  <c r="B825" i="5"/>
  <c r="E824" i="5" s="1" a="1"/>
  <c r="E824" i="5" s="1"/>
  <c r="B857" i="5"/>
  <c r="E856" i="5" s="1" a="1"/>
  <c r="E856" i="5" s="1"/>
  <c r="B889" i="5"/>
  <c r="E888" i="5" s="1" a="1"/>
  <c r="E888" i="5" s="1"/>
  <c r="B921" i="5"/>
  <c r="E920" i="5" s="1" a="1"/>
  <c r="E920" i="5" s="1"/>
  <c r="B1591" i="5"/>
  <c r="B1655" i="5"/>
  <c r="B1719" i="5"/>
  <c r="B1783" i="5"/>
  <c r="B1847" i="5"/>
  <c r="B1911" i="5"/>
  <c r="B1988" i="5"/>
  <c r="E1987" i="5" s="1" a="1"/>
  <c r="E1987" i="5" s="1"/>
  <c r="B1610" i="5"/>
  <c r="B1674" i="5"/>
  <c r="B1738" i="5"/>
  <c r="E1737" i="5" s="1" a="1"/>
  <c r="E1737" i="5" s="1"/>
  <c r="B1802" i="5"/>
  <c r="B1866" i="5"/>
  <c r="B1930" i="5"/>
  <c r="B1561" i="5"/>
  <c r="E1560" i="5" s="1" a="1"/>
  <c r="E1560" i="5" s="1"/>
  <c r="B1625" i="5"/>
  <c r="B1689" i="5"/>
  <c r="B1753" i="5"/>
  <c r="B1817" i="5"/>
  <c r="E1816" i="5" s="1" a="1"/>
  <c r="E1816" i="5" s="1"/>
  <c r="B1881" i="5"/>
  <c r="E1880" i="5" s="1" a="1"/>
  <c r="E1880" i="5" s="1"/>
  <c r="B1947" i="5"/>
  <c r="E1946" i="5" s="1" a="1"/>
  <c r="E1946" i="5" s="1"/>
  <c r="B1513" i="5"/>
  <c r="B1529" i="5"/>
  <c r="B1545" i="5"/>
  <c r="B1576" i="5"/>
  <c r="E1575" i="5" s="1" a="1"/>
  <c r="E1575" i="5" s="1"/>
  <c r="B1640" i="5"/>
  <c r="B1704" i="5"/>
  <c r="B1768" i="5"/>
  <c r="E1767" i="5" s="1" a="1"/>
  <c r="E1767" i="5" s="1"/>
  <c r="B1832" i="5"/>
  <c r="B1896" i="5"/>
  <c r="B1967" i="5"/>
  <c r="E1966" i="5" s="1" a="1"/>
  <c r="E1966" i="5" s="1"/>
  <c r="B1986" i="5"/>
  <c r="B2050" i="5"/>
  <c r="B2114" i="5"/>
  <c r="B2178" i="5"/>
  <c r="B2053" i="5"/>
  <c r="B2117" i="5"/>
  <c r="E2116" i="5" s="1" a="1"/>
  <c r="E2116" i="5" s="1"/>
  <c r="B2181" i="5"/>
  <c r="E2180" i="5" s="1" a="1"/>
  <c r="E2180" i="5" s="1"/>
  <c r="B2479" i="5"/>
  <c r="E2478" i="5" s="1" a="1"/>
  <c r="E2478" i="5" s="1"/>
  <c r="B2317" i="5"/>
  <c r="E2317" i="5" s="1" a="1"/>
  <c r="E2317" i="5" s="1"/>
  <c r="B2491" i="5"/>
  <c r="E2490" i="5" s="1" a="1"/>
  <c r="E2490" i="5" s="1"/>
  <c r="B2035" i="5"/>
  <c r="B2099" i="5"/>
  <c r="B2163" i="5"/>
  <c r="B2267" i="5"/>
  <c r="E2266" i="5" s="1" a="1"/>
  <c r="E2266" i="5" s="1"/>
  <c r="B2395" i="5"/>
  <c r="E2394" i="5" s="1" a="1"/>
  <c r="E2394" i="5" s="1"/>
  <c r="B2425" i="5"/>
  <c r="E2424" i="5" s="1" a="1"/>
  <c r="E2424" i="5" s="1"/>
  <c r="B2489" i="5"/>
  <c r="E2488" i="5" s="1" a="1"/>
  <c r="E2488" i="5" s="1"/>
  <c r="B2785" i="5"/>
  <c r="E2784" i="5" s="1" a="1"/>
  <c r="E2784" i="5" s="1"/>
  <c r="B2849" i="5"/>
  <c r="E2848" i="5" s="1" a="1"/>
  <c r="E2848" i="5" s="1"/>
  <c r="B2913" i="5"/>
  <c r="E2912" i="5" s="1" a="1"/>
  <c r="E2912" i="5" s="1"/>
  <c r="B2977" i="5"/>
  <c r="B2268" i="5"/>
  <c r="B2332" i="5"/>
  <c r="B2396" i="5"/>
  <c r="B2460" i="5"/>
  <c r="B2524" i="5"/>
  <c r="B2549" i="5"/>
  <c r="E2548" i="5" s="1" a="1"/>
  <c r="E2548" i="5" s="1"/>
  <c r="B2581" i="5"/>
  <c r="B2613" i="5"/>
  <c r="E2612" i="5" s="1" a="1"/>
  <c r="E2612" i="5" s="1"/>
  <c r="B2645" i="5"/>
  <c r="E2644" i="5" s="1" a="1"/>
  <c r="E2644" i="5" s="1"/>
  <c r="B2677" i="5"/>
  <c r="B2709" i="5"/>
  <c r="E2708" i="5" s="1" a="1"/>
  <c r="E2708" i="5" s="1"/>
  <c r="B2741" i="5"/>
  <c r="E2740" i="5" s="1" a="1"/>
  <c r="E2740" i="5" s="1"/>
  <c r="B2783" i="5"/>
  <c r="E2782" i="5" s="1" a="1"/>
  <c r="E2782" i="5" s="1"/>
  <c r="B2847" i="5"/>
  <c r="E2846" i="5" s="1" a="1"/>
  <c r="E2846" i="5" s="1"/>
  <c r="B2911" i="5"/>
  <c r="E2910" i="5" s="1" a="1"/>
  <c r="E2910" i="5" s="1"/>
  <c r="B2975" i="5"/>
  <c r="E2974" i="5" s="1" a="1"/>
  <c r="E2974" i="5" s="1"/>
  <c r="B2210" i="5"/>
  <c r="B2274" i="5"/>
  <c r="E2273" i="5" s="1" a="1"/>
  <c r="E2273" i="5" s="1"/>
  <c r="B2338" i="5"/>
  <c r="E2337" i="5" s="1" a="1"/>
  <c r="E2337" i="5" s="1"/>
  <c r="B2402" i="5"/>
  <c r="E2401" i="5" s="1" a="1"/>
  <c r="E2401" i="5" s="1"/>
  <c r="B2466" i="5"/>
  <c r="E2465" i="5" s="1" a="1"/>
  <c r="E2465" i="5" s="1"/>
  <c r="B2530" i="5"/>
  <c r="E2529" i="5" s="1" a="1"/>
  <c r="E2529" i="5" s="1"/>
  <c r="B2808" i="5"/>
  <c r="E2807" i="5" s="1" a="1"/>
  <c r="E2807" i="5" s="1"/>
  <c r="B2872" i="5"/>
  <c r="E2871" i="5" s="1" a="1"/>
  <c r="E2871" i="5" s="1"/>
  <c r="B2936" i="5"/>
  <c r="B2987" i="5"/>
  <c r="B3003" i="5"/>
  <c r="B3022" i="5"/>
  <c r="B3086" i="5"/>
  <c r="E3085" i="5" s="1" a="1"/>
  <c r="E3085" i="5" s="1"/>
  <c r="B3150" i="5"/>
  <c r="B3214" i="5"/>
  <c r="B3273" i="5"/>
  <c r="B3024" i="5"/>
  <c r="E3023" i="5" s="1" a="1"/>
  <c r="E3023" i="5" s="1"/>
  <c r="B3088" i="5"/>
  <c r="E3087" i="5" s="1" a="1"/>
  <c r="E3087" i="5" s="1"/>
  <c r="B3152" i="5"/>
  <c r="B3216" i="5"/>
  <c r="B3274" i="5"/>
  <c r="B3063" i="5"/>
  <c r="E3062" i="5" s="1" a="1"/>
  <c r="E3062" i="5" s="1"/>
  <c r="B3127" i="5"/>
  <c r="E3126" i="5" s="1" a="1"/>
  <c r="E3126" i="5" s="1"/>
  <c r="B3191" i="5"/>
  <c r="E3190" i="5" s="1" a="1"/>
  <c r="E3190" i="5" s="1"/>
  <c r="B3255" i="5"/>
  <c r="E3254" i="5" s="1" a="1"/>
  <c r="E3254" i="5" s="1"/>
  <c r="B3339" i="5"/>
  <c r="B3355" i="5"/>
  <c r="B3638" i="5"/>
  <c r="B3379" i="5"/>
  <c r="E3378" i="5" s="1" a="1"/>
  <c r="E3378" i="5" s="1"/>
  <c r="B3443" i="5"/>
  <c r="E3442" i="5" s="1" a="1"/>
  <c r="E3442" i="5" s="1"/>
  <c r="B3507" i="5"/>
  <c r="E3506" i="5" s="1" a="1"/>
  <c r="E3506" i="5" s="1"/>
  <c r="B3571" i="5"/>
  <c r="E3570" i="5" s="1" a="1"/>
  <c r="E3570" i="5" s="1"/>
  <c r="B3635" i="5"/>
  <c r="B3639" i="5"/>
  <c r="B3381" i="5"/>
  <c r="E3380" i="5" s="1" a="1"/>
  <c r="E3380" i="5" s="1"/>
  <c r="B3445" i="5"/>
  <c r="E3444" i="5" s="1" a="1"/>
  <c r="E3444" i="5" s="1"/>
  <c r="B3509" i="5"/>
  <c r="B3573" i="5"/>
  <c r="B3641" i="5"/>
  <c r="B3708" i="5"/>
  <c r="B3772" i="5"/>
  <c r="E3771" i="5" s="1" a="1"/>
  <c r="E3771" i="5" s="1"/>
  <c r="B3836" i="5"/>
  <c r="E3836" i="5" s="1" a="1"/>
  <c r="E3836" i="5" s="1"/>
  <c r="B3911" i="5"/>
  <c r="E3910" i="5" s="1" a="1"/>
  <c r="E3910" i="5" s="1"/>
  <c r="B3739" i="5"/>
  <c r="E3738" i="5" s="1" a="1"/>
  <c r="E3738" i="5" s="1"/>
  <c r="B3803" i="5"/>
  <c r="E3802" i="5" s="1" a="1"/>
  <c r="E3802" i="5" s="1"/>
  <c r="B3867" i="5"/>
  <c r="E3866" i="5" s="1" a="1"/>
  <c r="E3866" i="5" s="1"/>
  <c r="B3947" i="5"/>
  <c r="E3946" i="5" s="1" a="1"/>
  <c r="E3946" i="5" s="1"/>
  <c r="B4011" i="5"/>
  <c r="E4010" i="5" s="1" a="1"/>
  <c r="E4010" i="5" s="1"/>
  <c r="B3758" i="5"/>
  <c r="E3757" i="5" s="1" a="1"/>
  <c r="E3757" i="5" s="1"/>
  <c r="B3822" i="5"/>
  <c r="E3821" i="5" s="1" a="1"/>
  <c r="E3821" i="5" s="1"/>
  <c r="B3885" i="5"/>
  <c r="B3972" i="5"/>
  <c r="E3971" i="5" s="1" a="1"/>
  <c r="E3971" i="5" s="1"/>
  <c r="B3685" i="5"/>
  <c r="E3684" i="5" s="1" a="1"/>
  <c r="E3684" i="5" s="1"/>
  <c r="B3749" i="5"/>
  <c r="B3813" i="5"/>
  <c r="E3812" i="5" s="1" a="1"/>
  <c r="E3812" i="5" s="1"/>
  <c r="B3877" i="5"/>
  <c r="E3876" i="5" s="1" a="1"/>
  <c r="E3876" i="5" s="1"/>
  <c r="B4032" i="5"/>
  <c r="E4031" i="5" s="1" a="1"/>
  <c r="E4031" i="5" s="1"/>
  <c r="B4047" i="5"/>
  <c r="E4046" i="5" s="1" a="1"/>
  <c r="E4046" i="5" s="1"/>
  <c r="B4097" i="5"/>
  <c r="E4096" i="5" s="1" a="1"/>
  <c r="E4096" i="5" s="1"/>
  <c r="B4237" i="5"/>
  <c r="B4253" i="5"/>
  <c r="B4077" i="5"/>
  <c r="B4205" i="5"/>
  <c r="E4204" i="5" s="1" a="1"/>
  <c r="E4204" i="5" s="1"/>
  <c r="B4248" i="5"/>
  <c r="B4280" i="5"/>
  <c r="E4279" i="5" s="1" a="1"/>
  <c r="E4279" i="5" s="1"/>
  <c r="B4312" i="5"/>
  <c r="E4311" i="5" s="1" a="1"/>
  <c r="E4311" i="5" s="1"/>
  <c r="B4344" i="5"/>
  <c r="E4343" i="5" s="1" a="1"/>
  <c r="E4343" i="5" s="1"/>
  <c r="B4128" i="5"/>
  <c r="E4127" i="5" s="1" a="1"/>
  <c r="E4127" i="5" s="1"/>
  <c r="B4192" i="5"/>
  <c r="E4191" i="5" s="1" a="1"/>
  <c r="E4191" i="5" s="1"/>
  <c r="B4401" i="5"/>
  <c r="E4400" i="5" s="1" a="1"/>
  <c r="E4400" i="5" s="1"/>
  <c r="B4388" i="5"/>
  <c r="B4423" i="5"/>
  <c r="E4422" i="5" s="1" a="1"/>
  <c r="E4422" i="5" s="1"/>
  <c r="B4463" i="5"/>
  <c r="B4527" i="5"/>
  <c r="B4591" i="5"/>
  <c r="B4446" i="5"/>
  <c r="E4445" i="5" s="1" a="1"/>
  <c r="E4445" i="5" s="1"/>
  <c r="B4510" i="5"/>
  <c r="B4574" i="5"/>
  <c r="E4573" i="5" s="1" a="1"/>
  <c r="E4573" i="5" s="1"/>
  <c r="B4638" i="5"/>
  <c r="E4637" i="5" s="1" a="1"/>
  <c r="E4637" i="5" s="1"/>
  <c r="B4469" i="5"/>
  <c r="E4468" i="5" s="1" a="1"/>
  <c r="E4468" i="5" s="1"/>
  <c r="B4533" i="5"/>
  <c r="E4532" i="5" s="1" a="1"/>
  <c r="E4532" i="5" s="1"/>
  <c r="B4597" i="5"/>
  <c r="E4596" i="5" s="1" a="1"/>
  <c r="E4596" i="5" s="1"/>
  <c r="B4681" i="5"/>
  <c r="B4734" i="5"/>
  <c r="E4733" i="5" s="1" a="1"/>
  <c r="E4733" i="5" s="1"/>
  <c r="B4790" i="5"/>
  <c r="B4667" i="5"/>
  <c r="E4666" i="5" s="1" a="1"/>
  <c r="E4666" i="5" s="1"/>
  <c r="B4727" i="5"/>
  <c r="B4658" i="5"/>
  <c r="B4722" i="5"/>
  <c r="E4721" i="5" s="1" a="1"/>
  <c r="E4721" i="5" s="1"/>
  <c r="B4813" i="5"/>
  <c r="B4816" i="5"/>
  <c r="E4815" i="5" s="1" a="1"/>
  <c r="E4815" i="5" s="1"/>
  <c r="B4798" i="5"/>
  <c r="B4867" i="5"/>
  <c r="E4866" i="5" s="1" a="1"/>
  <c r="E4866" i="5" s="1"/>
  <c r="B4975" i="5"/>
  <c r="E4974" i="5" s="1" a="1"/>
  <c r="E4974" i="5" s="1"/>
  <c r="B4937" i="5"/>
  <c r="B4912" i="5"/>
  <c r="E4911" i="5" s="1" a="1"/>
  <c r="E4911" i="5" s="1"/>
  <c r="B4884" i="5"/>
  <c r="E4883" i="5" s="1" a="1"/>
  <c r="E4883" i="5" s="1"/>
  <c r="B4958" i="5"/>
  <c r="E4957" i="5" s="1" a="1"/>
  <c r="E4957" i="5" s="1"/>
  <c r="B4938" i="5"/>
  <c r="B5017" i="5"/>
  <c r="B5020" i="5"/>
  <c r="B5010" i="5"/>
  <c r="E5009" i="5" s="1" a="1"/>
  <c r="E5009" i="5" s="1"/>
  <c r="B63" i="5"/>
  <c r="E62" i="5" s="1" a="1"/>
  <c r="E62" i="5" s="1"/>
  <c r="B122" i="5"/>
  <c r="B181" i="5"/>
  <c r="E180" i="5" s="1" a="1"/>
  <c r="E180" i="5" s="1"/>
  <c r="B240" i="5"/>
  <c r="E239" i="5" s="1" a="1"/>
  <c r="E239" i="5" s="1"/>
  <c r="B294" i="5"/>
  <c r="B342" i="5"/>
  <c r="B388" i="5"/>
  <c r="E387" i="5" s="1" a="1"/>
  <c r="E387" i="5" s="1"/>
  <c r="B433" i="5"/>
  <c r="E432" i="5" s="1" a="1"/>
  <c r="E432" i="5" s="1"/>
  <c r="B520" i="5"/>
  <c r="B644" i="5"/>
  <c r="E643" i="5" s="1" a="1"/>
  <c r="E643" i="5" s="1"/>
  <c r="B575" i="5"/>
  <c r="B639" i="5"/>
  <c r="B703" i="5"/>
  <c r="B767" i="5"/>
  <c r="B965" i="5"/>
  <c r="E964" i="5" s="1" a="1"/>
  <c r="E964" i="5" s="1"/>
  <c r="B1029" i="5"/>
  <c r="E1028" i="5" s="1" a="1"/>
  <c r="E1028" i="5" s="1"/>
  <c r="B1093" i="5"/>
  <c r="E1092" i="5" s="1" a="1"/>
  <c r="E1092" i="5" s="1"/>
  <c r="B1157" i="5"/>
  <c r="E1156" i="5" s="1" a="1"/>
  <c r="E1156" i="5" s="1"/>
  <c r="B1221" i="5"/>
  <c r="E1220" i="5" s="1" a="1"/>
  <c r="E1220" i="5" s="1"/>
  <c r="B1285" i="5"/>
  <c r="E1284" i="5" s="1" a="1"/>
  <c r="E1284" i="5" s="1"/>
  <c r="B1349" i="5"/>
  <c r="B1413" i="5"/>
  <c r="E1412" i="5" s="1" a="1"/>
  <c r="E1412" i="5" s="1"/>
  <c r="B1477" i="5"/>
  <c r="E1476" i="5" s="1" a="1"/>
  <c r="E1476" i="5" s="1"/>
  <c r="B78" i="5"/>
  <c r="B146" i="5"/>
  <c r="E145" i="5" s="1" a="1"/>
  <c r="E145" i="5" s="1"/>
  <c r="B212" i="5"/>
  <c r="B514" i="5"/>
  <c r="B578" i="5"/>
  <c r="B642" i="5"/>
  <c r="B706" i="5"/>
  <c r="B770" i="5"/>
  <c r="B822" i="5"/>
  <c r="E821" i="5" s="1" a="1"/>
  <c r="E821" i="5" s="1"/>
  <c r="B854" i="5"/>
  <c r="E853" i="5" s="1" a="1"/>
  <c r="E853" i="5" s="1"/>
  <c r="B886" i="5"/>
  <c r="E885" i="5" s="1" a="1"/>
  <c r="E885" i="5" s="1"/>
  <c r="B918" i="5"/>
  <c r="E917" i="5" s="1" a="1"/>
  <c r="E917" i="5" s="1"/>
  <c r="B958" i="5"/>
  <c r="E957" i="5" s="1" a="1"/>
  <c r="E957" i="5" s="1"/>
  <c r="B1022" i="5"/>
  <c r="E1021" i="5" s="1" a="1"/>
  <c r="E1021" i="5" s="1"/>
  <c r="B1086" i="5"/>
  <c r="E1085" i="5" s="1" a="1"/>
  <c r="E1085" i="5" s="1"/>
  <c r="B1150" i="5"/>
  <c r="E1149" i="5" s="1" a="1"/>
  <c r="E1149" i="5" s="1"/>
  <c r="B1214" i="5"/>
  <c r="E1213" i="5" s="1" a="1"/>
  <c r="E1213" i="5" s="1"/>
  <c r="B1278" i="5"/>
  <c r="B1342" i="5"/>
  <c r="E1341" i="5" s="1" a="1"/>
  <c r="E1341" i="5" s="1"/>
  <c r="B1406" i="5"/>
  <c r="B1470" i="5"/>
  <c r="E1469" i="5" s="1" a="1"/>
  <c r="E1469" i="5" s="1"/>
  <c r="B72" i="5"/>
  <c r="B140" i="5"/>
  <c r="E139" i="5" s="1" a="1"/>
  <c r="E139" i="5" s="1"/>
  <c r="B209" i="5"/>
  <c r="B276" i="5"/>
  <c r="E275" i="5" s="1" a="1"/>
  <c r="E275" i="5" s="1"/>
  <c r="B328" i="5"/>
  <c r="B379" i="5"/>
  <c r="E378" i="5" s="1" a="1"/>
  <c r="E378" i="5" s="1"/>
  <c r="B431" i="5"/>
  <c r="E430" i="5" s="1" a="1"/>
  <c r="E430" i="5" s="1"/>
  <c r="B477" i="5"/>
  <c r="B493" i="5"/>
  <c r="B509" i="5"/>
  <c r="B561" i="5"/>
  <c r="E560" i="5" s="1" a="1"/>
  <c r="E560" i="5" s="1"/>
  <c r="B625" i="5"/>
  <c r="E624" i="5" s="1" a="1"/>
  <c r="E624" i="5" s="1"/>
  <c r="B689" i="5"/>
  <c r="E688" i="5" s="1" a="1"/>
  <c r="E688" i="5" s="1"/>
  <c r="B753" i="5"/>
  <c r="E752" i="5" s="1" a="1"/>
  <c r="E752" i="5" s="1"/>
  <c r="B947" i="5"/>
  <c r="E946" i="5" s="1" a="1"/>
  <c r="E946" i="5" s="1"/>
  <c r="B1011" i="5"/>
  <c r="E1010" i="5" s="1" a="1"/>
  <c r="E1010" i="5" s="1"/>
  <c r="B1075" i="5"/>
  <c r="B1139" i="5"/>
  <c r="E1138" i="5" s="1" a="1"/>
  <c r="E1138" i="5" s="1"/>
  <c r="B1203" i="5"/>
  <c r="E1202" i="5" s="1" a="1"/>
  <c r="E1202" i="5" s="1"/>
  <c r="B1267" i="5"/>
  <c r="E1266" i="5" s="1" a="1"/>
  <c r="E1266" i="5" s="1"/>
  <c r="B1331" i="5"/>
  <c r="E1330" i="5" s="1" a="1"/>
  <c r="E1330" i="5" s="1"/>
  <c r="B1395" i="5"/>
  <c r="E1394" i="5" s="1" a="1"/>
  <c r="E1394" i="5" s="1"/>
  <c r="B1459" i="5"/>
  <c r="E1458" i="5" s="1" a="1"/>
  <c r="E1458" i="5" s="1"/>
  <c r="B64" i="5"/>
  <c r="B125" i="5"/>
  <c r="E124" i="5" s="1" a="1"/>
  <c r="E124" i="5" s="1"/>
  <c r="B189" i="5"/>
  <c r="B252" i="5"/>
  <c r="E251" i="5" s="1" a="1"/>
  <c r="E251" i="5" s="1"/>
  <c r="B304" i="5"/>
  <c r="E303" i="5" s="1" a="1"/>
  <c r="E303" i="5" s="1"/>
  <c r="B349" i="5"/>
  <c r="B397" i="5"/>
  <c r="E396" i="5" s="1" a="1"/>
  <c r="E396" i="5" s="1"/>
  <c r="B443" i="5"/>
  <c r="E442" i="5" s="1" a="1"/>
  <c r="E442" i="5" s="1"/>
  <c r="B564" i="5"/>
  <c r="B700" i="5"/>
  <c r="B796" i="5"/>
  <c r="E796" i="5" s="1" a="1"/>
  <c r="E796" i="5" s="1"/>
  <c r="B835" i="5"/>
  <c r="E834" i="5" s="1" a="1"/>
  <c r="E834" i="5" s="1"/>
  <c r="B867" i="5"/>
  <c r="E866" i="5" s="1" a="1"/>
  <c r="E866" i="5" s="1"/>
  <c r="B899" i="5"/>
  <c r="E898" i="5" s="1" a="1"/>
  <c r="E898" i="5" s="1"/>
  <c r="B931" i="5"/>
  <c r="B984" i="5"/>
  <c r="E983" i="5" s="1" a="1"/>
  <c r="E983" i="5" s="1"/>
  <c r="B1048" i="5"/>
  <c r="E1047" i="5" s="1" a="1"/>
  <c r="E1047" i="5" s="1"/>
  <c r="B1112" i="5"/>
  <c r="E1111" i="5" s="1" a="1"/>
  <c r="E1111" i="5" s="1"/>
  <c r="B1176" i="5"/>
  <c r="E1175" i="5" s="1" a="1"/>
  <c r="E1175" i="5" s="1"/>
  <c r="B1240" i="5"/>
  <c r="E1239" i="5" s="1" a="1"/>
  <c r="E1239" i="5" s="1"/>
  <c r="B1304" i="5"/>
  <c r="E1303" i="5" s="1" a="1"/>
  <c r="E1303" i="5" s="1"/>
  <c r="B1368" i="5"/>
  <c r="E1367" i="5" s="1" a="1"/>
  <c r="E1367" i="5" s="1"/>
  <c r="B1432" i="5"/>
  <c r="E1431" i="5" s="1" a="1"/>
  <c r="E1431" i="5" s="1"/>
  <c r="B1496" i="5"/>
  <c r="E1495" i="5" s="1" a="1"/>
  <c r="E1495" i="5" s="1"/>
  <c r="B1611" i="5"/>
  <c r="B1675" i="5"/>
  <c r="B1739" i="5"/>
  <c r="B1803" i="5"/>
  <c r="B1867" i="5"/>
  <c r="E1866" i="5" s="1" a="1"/>
  <c r="E1866" i="5" s="1"/>
  <c r="B1931" i="5"/>
  <c r="B1566" i="5"/>
  <c r="B1630" i="5"/>
  <c r="B1694" i="5"/>
  <c r="E1693" i="5" s="1" a="1"/>
  <c r="E1693" i="5" s="1"/>
  <c r="B1758" i="5"/>
  <c r="E1757" i="5" s="1" a="1"/>
  <c r="E1757" i="5" s="1"/>
  <c r="B1822" i="5"/>
  <c r="B1886" i="5"/>
  <c r="B1952" i="5"/>
  <c r="B1581" i="5"/>
  <c r="B1645" i="5"/>
  <c r="E1644" i="5" s="1" a="1"/>
  <c r="E1644" i="5" s="1"/>
  <c r="B1709" i="5"/>
  <c r="B1773" i="5"/>
  <c r="E1772" i="5" s="1" a="1"/>
  <c r="E1772" i="5" s="1"/>
  <c r="B1837" i="5"/>
  <c r="B1901" i="5"/>
  <c r="B1972" i="5"/>
  <c r="B1518" i="5"/>
  <c r="B1534" i="5"/>
  <c r="B1550" i="5"/>
  <c r="B1596" i="5"/>
  <c r="B1660" i="5"/>
  <c r="E1659" i="5" s="1" a="1"/>
  <c r="E1659" i="5" s="1"/>
  <c r="B1724" i="5"/>
  <c r="B1788" i="5"/>
  <c r="E1787" i="5" s="1" a="1"/>
  <c r="E1787" i="5" s="1"/>
  <c r="B1852" i="5"/>
  <c r="B1916" i="5"/>
  <c r="E1915" i="5" s="1" a="1"/>
  <c r="E1915" i="5" s="1"/>
  <c r="B2001" i="5"/>
  <c r="B2006" i="5"/>
  <c r="E2005" i="5" s="1" a="1"/>
  <c r="E2005" i="5" s="1"/>
  <c r="B2070" i="5"/>
  <c r="B2134" i="5"/>
  <c r="B2217" i="5"/>
  <c r="E2216" i="5" s="1" a="1"/>
  <c r="E2216" i="5" s="1"/>
  <c r="B2345" i="5"/>
  <c r="E2344" i="5" s="1" a="1"/>
  <c r="E2344" i="5" s="1"/>
  <c r="B2009" i="5"/>
  <c r="E2008" i="5" s="1" a="1"/>
  <c r="E2008" i="5" s="1"/>
  <c r="B2073" i="5"/>
  <c r="E2072" i="5" s="1" a="1"/>
  <c r="E2072" i="5" s="1"/>
  <c r="B2137" i="5"/>
  <c r="E2136" i="5" s="1" a="1"/>
  <c r="E2136" i="5" s="1"/>
  <c r="B2223" i="5"/>
  <c r="E2222" i="5" s="1" a="1"/>
  <c r="E2222" i="5" s="1"/>
  <c r="B2351" i="5"/>
  <c r="E2350" i="5" s="1" a="1"/>
  <c r="E2350" i="5" s="1"/>
  <c r="B2012" i="5"/>
  <c r="E2011" i="5" s="1" a="1"/>
  <c r="E2011" i="5" s="1"/>
  <c r="B2076" i="5"/>
  <c r="B2140" i="5"/>
  <c r="E2139" i="5" s="1" a="1"/>
  <c r="E2139" i="5" s="1"/>
  <c r="B2229" i="5"/>
  <c r="E2228" i="5" s="1" a="1"/>
  <c r="E2228" i="5" s="1"/>
  <c r="B2357" i="5"/>
  <c r="B1991" i="5"/>
  <c r="B2055" i="5"/>
  <c r="B2119" i="5"/>
  <c r="E2118" i="5" s="1" a="1"/>
  <c r="E2118" i="5" s="1"/>
  <c r="B2183" i="5"/>
  <c r="B2307" i="5"/>
  <c r="E2306" i="5" s="1" a="1"/>
  <c r="E2306" i="5" s="1"/>
  <c r="B2455" i="5"/>
  <c r="E2454" i="5" s="1" a="1"/>
  <c r="E2454" i="5" s="1"/>
  <c r="B2445" i="5"/>
  <c r="B2509" i="5"/>
  <c r="E2508" i="5" s="1" a="1"/>
  <c r="E2508" i="5" s="1"/>
  <c r="B2805" i="5"/>
  <c r="E2804" i="5" s="1" a="1"/>
  <c r="E2804" i="5" s="1"/>
  <c r="B2869" i="5"/>
  <c r="E2868" i="5" s="1" a="1"/>
  <c r="E2868" i="5" s="1"/>
  <c r="B2933" i="5"/>
  <c r="E2932" i="5" s="1" a="1"/>
  <c r="E2932" i="5" s="1"/>
  <c r="B2224" i="5"/>
  <c r="B2288" i="5"/>
  <c r="B2352" i="5"/>
  <c r="B2416" i="5"/>
  <c r="E2415" i="5" s="1" a="1"/>
  <c r="E2415" i="5" s="1"/>
  <c r="B2480" i="5"/>
  <c r="B2544" i="5"/>
  <c r="E2543" i="5" s="1" a="1"/>
  <c r="E2543" i="5" s="1"/>
  <c r="B2826" i="5"/>
  <c r="E2825" i="5" s="1" a="1"/>
  <c r="E2825" i="5" s="1"/>
  <c r="B2890" i="5"/>
  <c r="E2889" i="5" s="1" a="1"/>
  <c r="E2889" i="5" s="1"/>
  <c r="B2954" i="5"/>
  <c r="E2953" i="5" s="1" a="1"/>
  <c r="E2953" i="5" s="1"/>
  <c r="B2559" i="5"/>
  <c r="E2558" i="5" s="1" a="1"/>
  <c r="E2558" i="5" s="1"/>
  <c r="B2591" i="5"/>
  <c r="B2623" i="5"/>
  <c r="E2622" i="5" s="1" a="1"/>
  <c r="E2622" i="5" s="1"/>
  <c r="B2655" i="5"/>
  <c r="E2654" i="5" s="1" a="1"/>
  <c r="E2654" i="5" s="1"/>
  <c r="B2687" i="5"/>
  <c r="E2686" i="5" s="1" a="1"/>
  <c r="E2686" i="5" s="1"/>
  <c r="B2719" i="5"/>
  <c r="B2751" i="5"/>
  <c r="B2803" i="5"/>
  <c r="E2802" i="5" s="1" a="1"/>
  <c r="E2802" i="5" s="1"/>
  <c r="B2867" i="5"/>
  <c r="E2866" i="5" s="1" a="1"/>
  <c r="E2866" i="5" s="1"/>
  <c r="B2931" i="5"/>
  <c r="E2930" i="5" s="1" a="1"/>
  <c r="E2930" i="5" s="1"/>
  <c r="B2199" i="5"/>
  <c r="B2230" i="5"/>
  <c r="B2294" i="5"/>
  <c r="E2293" i="5" s="1" a="1"/>
  <c r="E2293" i="5" s="1"/>
  <c r="B2358" i="5"/>
  <c r="B2422" i="5"/>
  <c r="B2486" i="5"/>
  <c r="B2764" i="5"/>
  <c r="E2763" i="5" s="1" a="1"/>
  <c r="E2763" i="5" s="1"/>
  <c r="B2828" i="5"/>
  <c r="E2827" i="5" s="1" a="1"/>
  <c r="E2827" i="5" s="1"/>
  <c r="B2892" i="5"/>
  <c r="E2891" i="5" s="1" a="1"/>
  <c r="E2891" i="5" s="1"/>
  <c r="B2956" i="5"/>
  <c r="E2955" i="5" s="1" a="1"/>
  <c r="E2955" i="5" s="1"/>
  <c r="B2992" i="5"/>
  <c r="B3008" i="5"/>
  <c r="B3042" i="5"/>
  <c r="B3106" i="5"/>
  <c r="E3105" i="5" s="1" a="1"/>
  <c r="E3105" i="5" s="1"/>
  <c r="B3170" i="5"/>
  <c r="E3169" i="5" s="1" a="1"/>
  <c r="E3169" i="5" s="1"/>
  <c r="B3234" i="5"/>
  <c r="E3233" i="5" s="1" a="1"/>
  <c r="E3233" i="5" s="1"/>
  <c r="B3283" i="5"/>
  <c r="B3336" i="5"/>
  <c r="E3335" i="5" s="1" a="1"/>
  <c r="E3335" i="5" s="1"/>
  <c r="B3081" i="5"/>
  <c r="E3080" i="5" s="1" a="1"/>
  <c r="E3080" i="5" s="1"/>
  <c r="B3145" i="5"/>
  <c r="E3144" i="5" s="1" a="1"/>
  <c r="E3144" i="5" s="1"/>
  <c r="B3209" i="5"/>
  <c r="E3208" i="5" s="1" a="1"/>
  <c r="E3208" i="5" s="1"/>
  <c r="B3301" i="5"/>
  <c r="B3044" i="5"/>
  <c r="E3043" i="5" s="1" a="1"/>
  <c r="E3043" i="5" s="1"/>
  <c r="B3108" i="5"/>
  <c r="E3107" i="5" s="1" a="1"/>
  <c r="E3107" i="5" s="1"/>
  <c r="B3172" i="5"/>
  <c r="E3171" i="5" s="1" a="1"/>
  <c r="E3171" i="5" s="1"/>
  <c r="B3236" i="5"/>
  <c r="E3235" i="5" s="1" a="1"/>
  <c r="E3235" i="5" s="1"/>
  <c r="B3284" i="5"/>
  <c r="B3019" i="5"/>
  <c r="B3083" i="5"/>
  <c r="B3147" i="5"/>
  <c r="E3146" i="5" s="1" a="1"/>
  <c r="E3146" i="5" s="1"/>
  <c r="B3211" i="5"/>
  <c r="E3210" i="5" s="1" a="1"/>
  <c r="E3210" i="5" s="1"/>
  <c r="B3299" i="5"/>
  <c r="E3298" i="5" s="1" a="1"/>
  <c r="E3298" i="5" s="1"/>
  <c r="B3344" i="5"/>
  <c r="B3360" i="5"/>
  <c r="B3663" i="5"/>
  <c r="B3399" i="5"/>
  <c r="E3398" i="5" s="1" a="1"/>
  <c r="E3398" i="5" s="1"/>
  <c r="B3463" i="5"/>
  <c r="E3462" i="5" s="1" a="1"/>
  <c r="E3462" i="5" s="1"/>
  <c r="B3527" i="5"/>
  <c r="E3526" i="5" s="1" a="1"/>
  <c r="E3526" i="5" s="1"/>
  <c r="B3591" i="5"/>
  <c r="E3590" i="5" s="1" a="1"/>
  <c r="E3590" i="5" s="1"/>
  <c r="B3406" i="5"/>
  <c r="B3470" i="5"/>
  <c r="B3534" i="5"/>
  <c r="B3598" i="5"/>
  <c r="B3669" i="5"/>
  <c r="B3401" i="5"/>
  <c r="E3400" i="5" s="1" a="1"/>
  <c r="E3400" i="5" s="1"/>
  <c r="B3465" i="5"/>
  <c r="E3464" i="5" s="1" a="1"/>
  <c r="E3464" i="5" s="1"/>
  <c r="B3529" i="5"/>
  <c r="E3528" i="5" s="1" a="1"/>
  <c r="E3528" i="5" s="1"/>
  <c r="B3593" i="5"/>
  <c r="E3592" i="5" s="1" a="1"/>
  <c r="E3592" i="5" s="1"/>
  <c r="B3666" i="5"/>
  <c r="B3664" i="5"/>
  <c r="B3728" i="5"/>
  <c r="E3727" i="5" s="1" a="1"/>
  <c r="E3727" i="5" s="1"/>
  <c r="B3792" i="5"/>
  <c r="B3856" i="5"/>
  <c r="B3938" i="5"/>
  <c r="E3937" i="5" s="1" a="1"/>
  <c r="E3937" i="5" s="1"/>
  <c r="B4002" i="5"/>
  <c r="B3759" i="5"/>
  <c r="B3823" i="5"/>
  <c r="B3888" i="5"/>
  <c r="B3967" i="5"/>
  <c r="E3966" i="5" s="1" a="1"/>
  <c r="E3966" i="5" s="1"/>
  <c r="B4044" i="5"/>
  <c r="B3778" i="5"/>
  <c r="E3777" i="5" s="1" a="1"/>
  <c r="E3777" i="5" s="1"/>
  <c r="B3842" i="5"/>
  <c r="E3841" i="5" s="1" a="1"/>
  <c r="E3841" i="5" s="1"/>
  <c r="B3923" i="5"/>
  <c r="E3922" i="5" s="1" a="1"/>
  <c r="E3922" i="5" s="1"/>
  <c r="B3992" i="5"/>
  <c r="E3991" i="5" s="1" a="1"/>
  <c r="E3991" i="5" s="1"/>
  <c r="B3705" i="5"/>
  <c r="B3769" i="5"/>
  <c r="B3833" i="5"/>
  <c r="B3981" i="5"/>
  <c r="B4025" i="5"/>
  <c r="E4024" i="5" s="1" a="1"/>
  <c r="E4024" i="5" s="1"/>
  <c r="B4057" i="5"/>
  <c r="E4056" i="5" s="1" a="1"/>
  <c r="E4056" i="5" s="1"/>
  <c r="B4137" i="5"/>
  <c r="B3904" i="5"/>
  <c r="E3903" i="5" s="1" a="1"/>
  <c r="E3903" i="5" s="1"/>
  <c r="B4151" i="5"/>
  <c r="E4150" i="5" s="1" a="1"/>
  <c r="E4150" i="5" s="1"/>
  <c r="B4052" i="5"/>
  <c r="E4051" i="5" s="1" a="1"/>
  <c r="E4051" i="5" s="1"/>
  <c r="B4117" i="5"/>
  <c r="E4116" i="5" s="1" a="1"/>
  <c r="E4116" i="5" s="1"/>
  <c r="B3886" i="5"/>
  <c r="B4115" i="5"/>
  <c r="B4257" i="5"/>
  <c r="B4258" i="5"/>
  <c r="B4290" i="5"/>
  <c r="E4289" i="5" s="1" a="1"/>
  <c r="E4289" i="5" s="1"/>
  <c r="B4322" i="5"/>
  <c r="E4321" i="5" s="1" a="1"/>
  <c r="E4321" i="5" s="1"/>
  <c r="B4354" i="5"/>
  <c r="E4353" i="5" s="1" a="1"/>
  <c r="E4353" i="5" s="1"/>
  <c r="B4094" i="5"/>
  <c r="E4093" i="5" s="1" a="1"/>
  <c r="E4093" i="5" s="1"/>
  <c r="B4158" i="5"/>
  <c r="E4157" i="5" s="1" a="1"/>
  <c r="E4157" i="5" s="1"/>
  <c r="B4222" i="5"/>
  <c r="B4285" i="5"/>
  <c r="E4284" i="5" s="1" a="1"/>
  <c r="E4284" i="5" s="1"/>
  <c r="B4317" i="5"/>
  <c r="B4349" i="5"/>
  <c r="E4348" i="5" s="1" a="1"/>
  <c r="E4348" i="5" s="1"/>
  <c r="B4084" i="5"/>
  <c r="B4148" i="5"/>
  <c r="B4212" i="5"/>
  <c r="B4377" i="5"/>
  <c r="B4408" i="5"/>
  <c r="B4406" i="5"/>
  <c r="E4405" i="5" s="1" a="1"/>
  <c r="E4405" i="5" s="1"/>
  <c r="B4456" i="5"/>
  <c r="E4455" i="5" s="1" a="1"/>
  <c r="E4455" i="5" s="1"/>
  <c r="B4520" i="5"/>
  <c r="E4519" i="5" s="1" a="1"/>
  <c r="E4519" i="5" s="1"/>
  <c r="B4584" i="5"/>
  <c r="E4583" i="5" s="1" a="1"/>
  <c r="E4583" i="5" s="1"/>
  <c r="B4643" i="5"/>
  <c r="E4642" i="5" s="1" a="1"/>
  <c r="E4642" i="5" s="1"/>
  <c r="B4483" i="5"/>
  <c r="B4547" i="5"/>
  <c r="B4611" i="5"/>
  <c r="B4466" i="5"/>
  <c r="B4530" i="5"/>
  <c r="B4594" i="5"/>
  <c r="B4425" i="5"/>
  <c r="B4489" i="5"/>
  <c r="E4488" i="5" s="1" a="1"/>
  <c r="E4488" i="5" s="1"/>
  <c r="B4553" i="5"/>
  <c r="E4552" i="5" s="1" a="1"/>
  <c r="E4552" i="5" s="1"/>
  <c r="B4617" i="5"/>
  <c r="E4616" i="5" s="1" a="1"/>
  <c r="E4616" i="5" s="1"/>
  <c r="B4701" i="5"/>
  <c r="E4700" i="5" s="1" a="1"/>
  <c r="E4700" i="5" s="1"/>
  <c r="B4746" i="5"/>
  <c r="B4676" i="5"/>
  <c r="E4675" i="5" s="1" a="1"/>
  <c r="E4675" i="5" s="1"/>
  <c r="B4759" i="5"/>
  <c r="B4687" i="5"/>
  <c r="E4686" i="5" s="1" a="1"/>
  <c r="E4686" i="5" s="1"/>
  <c r="B4737" i="5"/>
  <c r="B4647" i="5"/>
  <c r="B4678" i="5"/>
  <c r="E4677" i="5" s="1" a="1"/>
  <c r="E4677" i="5" s="1"/>
  <c r="B4761" i="5"/>
  <c r="E4760" i="5" s="1" a="1"/>
  <c r="E4760" i="5" s="1"/>
  <c r="B4832" i="5"/>
  <c r="B4837" i="5"/>
  <c r="E4836" i="5" s="1" a="1"/>
  <c r="E4836" i="5" s="1"/>
  <c r="B4838" i="5"/>
  <c r="B4818" i="5"/>
  <c r="E4817" i="5" s="1" a="1"/>
  <c r="E4817" i="5" s="1"/>
  <c r="B4876" i="5"/>
  <c r="E4875" i="5" s="1" a="1"/>
  <c r="E4875" i="5" s="1"/>
  <c r="B4977" i="5"/>
  <c r="B4963" i="5"/>
  <c r="E4962" i="5" s="1" a="1"/>
  <c r="E4962" i="5" s="1"/>
  <c r="B4909" i="5"/>
  <c r="E4908" i="5" s="1" a="1"/>
  <c r="E4908" i="5" s="1"/>
  <c r="B4940" i="5"/>
  <c r="E4939" i="5" s="1" a="1"/>
  <c r="E4939" i="5" s="1"/>
  <c r="B4968" i="5"/>
  <c r="E4967" i="5" s="1" a="1"/>
  <c r="E4967" i="5" s="1"/>
  <c r="B4894" i="5"/>
  <c r="E4893" i="5" s="1" a="1"/>
  <c r="E4893" i="5" s="1"/>
  <c r="B4990" i="5"/>
  <c r="B5037" i="5"/>
  <c r="B5040" i="5"/>
  <c r="B5030" i="5"/>
  <c r="E5029" i="5" s="1" a="1"/>
  <c r="E5029" i="5" s="1"/>
  <c r="B708" i="5"/>
  <c r="E707" i="5" s="1" a="1"/>
  <c r="E707" i="5" s="1"/>
  <c r="E2512" i="5" a="1"/>
  <c r="E2512" i="5" s="1"/>
  <c r="B3286" i="5"/>
  <c r="E3285" i="5" s="1" a="1"/>
  <c r="E3285" i="5" s="1"/>
  <c r="B3671" i="5"/>
  <c r="E3670" i="5" s="1" a="1"/>
  <c r="E3670" i="5" s="1"/>
  <c r="B3405" i="5"/>
  <c r="E3404" i="5" s="1" a="1"/>
  <c r="E3404" i="5" s="1"/>
  <c r="B3469" i="5"/>
  <c r="E3468" i="5" s="1" a="1"/>
  <c r="E3468" i="5" s="1"/>
  <c r="B3533" i="5"/>
  <c r="E3532" i="5" s="1" a="1"/>
  <c r="E3532" i="5" s="1"/>
  <c r="B3597" i="5"/>
  <c r="E3596" i="5" s="1" a="1"/>
  <c r="E3596" i="5" s="1"/>
  <c r="B3668" i="5"/>
  <c r="E3667" i="5" s="1" a="1"/>
  <c r="E3667" i="5" s="1"/>
  <c r="B4216" i="5"/>
  <c r="E4215" i="5" s="1" a="1"/>
  <c r="E4215" i="5" s="1"/>
  <c r="B4842" i="5"/>
  <c r="E4841" i="5" s="1" a="1"/>
  <c r="E4841" i="5" s="1"/>
  <c r="B4898" i="5"/>
  <c r="B99" i="5"/>
  <c r="E98" i="5" s="1" a="1"/>
  <c r="E98" i="5" s="1"/>
  <c r="B551" i="5"/>
  <c r="E550" i="5" s="1" a="1"/>
  <c r="E550" i="5" s="1"/>
  <c r="B615" i="5"/>
  <c r="E614" i="5" s="1" a="1"/>
  <c r="E614" i="5" s="1"/>
  <c r="B679" i="5"/>
  <c r="E678" i="5" s="1" a="1"/>
  <c r="E678" i="5" s="1"/>
  <c r="B743" i="5"/>
  <c r="B807" i="5"/>
  <c r="E806" i="5" s="1" a="1"/>
  <c r="E806" i="5" s="1"/>
  <c r="B1005" i="5"/>
  <c r="E1004" i="5" s="1" a="1"/>
  <c r="E1004" i="5" s="1"/>
  <c r="B1069" i="5"/>
  <c r="E1068" i="5" s="1" a="1"/>
  <c r="E1068" i="5" s="1"/>
  <c r="B1133" i="5"/>
  <c r="E1132" i="5" s="1" a="1"/>
  <c r="E1132" i="5" s="1"/>
  <c r="B1197" i="5"/>
  <c r="E1196" i="5" s="1" a="1"/>
  <c r="E1196" i="5" s="1"/>
  <c r="B1261" i="5"/>
  <c r="E1260" i="5" s="1" a="1"/>
  <c r="E1260" i="5" s="1"/>
  <c r="B1325" i="5"/>
  <c r="E1324" i="5" s="1" a="1"/>
  <c r="E1324" i="5" s="1"/>
  <c r="B1389" i="5"/>
  <c r="E1388" i="5" s="1" a="1"/>
  <c r="E1388" i="5" s="1"/>
  <c r="B1453" i="5"/>
  <c r="E1452" i="5" s="1" a="1"/>
  <c r="E1452" i="5" s="1"/>
  <c r="B53" i="5"/>
  <c r="E52" i="5" s="1" a="1"/>
  <c r="E52" i="5" s="1"/>
  <c r="B186" i="5"/>
  <c r="E185" i="5" s="1" a="1"/>
  <c r="E185" i="5" s="1"/>
  <c r="B115" i="5"/>
  <c r="E114" i="5" s="1" a="1"/>
  <c r="E114" i="5" s="1"/>
  <c r="B412" i="5"/>
  <c r="B463" i="5"/>
  <c r="E462" i="5" s="1" a="1"/>
  <c r="E462" i="5" s="1"/>
  <c r="B487" i="5"/>
  <c r="B503" i="5"/>
  <c r="E502" i="5" s="1" a="1"/>
  <c r="E502" i="5" s="1"/>
  <c r="B537" i="5"/>
  <c r="E536" i="5" s="1" a="1"/>
  <c r="E536" i="5" s="1"/>
  <c r="B601" i="5"/>
  <c r="E600" i="5" s="1" a="1"/>
  <c r="E600" i="5" s="1"/>
  <c r="B332" i="5"/>
  <c r="E331" i="5" s="1" a="1"/>
  <c r="E331" i="5" s="1"/>
  <c r="B426" i="5"/>
  <c r="E425" i="5" s="1" a="1"/>
  <c r="E425" i="5" s="1"/>
  <c r="B475" i="5"/>
  <c r="E474" i="5" s="1" a="1"/>
  <c r="E474" i="5" s="1"/>
  <c r="B648" i="5"/>
  <c r="E647" i="5" s="1" a="1"/>
  <c r="E647" i="5" s="1"/>
  <c r="B772" i="5"/>
  <c r="E771" i="5" s="1" a="1"/>
  <c r="E771" i="5" s="1"/>
  <c r="B1587" i="5"/>
  <c r="B1651" i="5"/>
  <c r="E1650" i="5" s="1" a="1"/>
  <c r="E1650" i="5" s="1"/>
  <c r="B1715" i="5"/>
  <c r="B1779" i="5"/>
  <c r="E1778" i="5" s="1" a="1"/>
  <c r="E1778" i="5" s="1"/>
  <c r="B1843" i="5"/>
  <c r="B1907" i="5"/>
  <c r="E1906" i="5" s="1" a="1"/>
  <c r="E1906" i="5" s="1"/>
  <c r="B1980" i="5"/>
  <c r="B1512" i="5"/>
  <c r="E1511" i="5" s="1" a="1"/>
  <c r="E1511" i="5" s="1"/>
  <c r="B1528" i="5"/>
  <c r="E1527" i="5" s="1" a="1"/>
  <c r="E1527" i="5" s="1"/>
  <c r="B1544" i="5"/>
  <c r="E1543" i="5" s="1" a="1"/>
  <c r="E1543" i="5" s="1"/>
  <c r="B1960" i="5"/>
  <c r="E1959" i="5" s="1" a="1"/>
  <c r="E1959" i="5" s="1"/>
  <c r="B2046" i="5"/>
  <c r="E2045" i="5" s="1" a="1"/>
  <c r="E2045" i="5" s="1"/>
  <c r="B2110" i="5"/>
  <c r="B2174" i="5"/>
  <c r="B2297" i="5"/>
  <c r="B2049" i="5"/>
  <c r="B2113" i="5"/>
  <c r="E2112" i="5" s="1" a="1"/>
  <c r="E2112" i="5" s="1"/>
  <c r="B2177" i="5"/>
  <c r="B2303" i="5"/>
  <c r="E2302" i="5" s="1" a="1"/>
  <c r="E2302" i="5" s="1"/>
  <c r="B2309" i="5"/>
  <c r="B2475" i="5"/>
  <c r="E2474" i="5" s="1" a="1"/>
  <c r="E2474" i="5" s="1"/>
  <c r="B2421" i="5"/>
  <c r="B2485" i="5"/>
  <c r="E2484" i="5" s="1" a="1"/>
  <c r="E2484" i="5" s="1"/>
  <c r="B2264" i="5"/>
  <c r="E2263" i="5" s="1" a="1"/>
  <c r="E2263" i="5" s="1"/>
  <c r="B2328" i="5"/>
  <c r="B2392" i="5"/>
  <c r="E2391" i="5" s="1" a="1"/>
  <c r="E2391" i="5" s="1"/>
  <c r="B2579" i="5"/>
  <c r="B2611" i="5"/>
  <c r="E2610" i="5" s="1" a="1"/>
  <c r="E2610" i="5" s="1"/>
  <c r="B2643" i="5"/>
  <c r="E2642" i="5" s="1" a="1"/>
  <c r="E2642" i="5" s="1"/>
  <c r="B2675" i="5"/>
  <c r="B2707" i="5"/>
  <c r="B2739" i="5"/>
  <c r="E2738" i="5" s="1" a="1"/>
  <c r="E2738" i="5" s="1"/>
  <c r="B2209" i="5"/>
  <c r="E2208" i="5" s="1" a="1"/>
  <c r="E2208" i="5" s="1"/>
  <c r="B2270" i="5"/>
  <c r="E2269" i="5" s="1" a="1"/>
  <c r="E2269" i="5" s="1"/>
  <c r="B2334" i="5"/>
  <c r="E2333" i="5" s="1" a="1"/>
  <c r="E2333" i="5" s="1"/>
  <c r="B2398" i="5"/>
  <c r="E2397" i="5" s="1" a="1"/>
  <c r="E2397" i="5" s="1"/>
  <c r="B2986" i="5"/>
  <c r="E2985" i="5" s="1" a="1"/>
  <c r="E2985" i="5" s="1"/>
  <c r="B3002" i="5"/>
  <c r="B3018" i="5"/>
  <c r="E3017" i="5" s="1" a="1"/>
  <c r="E3017" i="5" s="1"/>
  <c r="B3271" i="5"/>
  <c r="E3270" i="5" s="1" a="1"/>
  <c r="E3270" i="5" s="1"/>
  <c r="B3272" i="5"/>
  <c r="B3338" i="5"/>
  <c r="E3337" i="5" s="1" a="1"/>
  <c r="E3337" i="5" s="1"/>
  <c r="B3354" i="5"/>
  <c r="E3353" i="5" s="1" a="1"/>
  <c r="E3353" i="5" s="1"/>
  <c r="B3637" i="5"/>
  <c r="E3636" i="5" s="1" a="1"/>
  <c r="E3636" i="5" s="1"/>
  <c r="B3377" i="5"/>
  <c r="E3376" i="5" s="1" a="1"/>
  <c r="E3376" i="5" s="1"/>
  <c r="B3441" i="5"/>
  <c r="E3440" i="5" s="1" a="1"/>
  <c r="E3440" i="5" s="1"/>
  <c r="B3505" i="5"/>
  <c r="E3504" i="5" s="1" a="1"/>
  <c r="E3504" i="5" s="1"/>
  <c r="B3569" i="5"/>
  <c r="B3633" i="5"/>
  <c r="E3632" i="5" s="1" a="1"/>
  <c r="E3632" i="5" s="1"/>
  <c r="B3704" i="5"/>
  <c r="E3703" i="5" s="1" a="1"/>
  <c r="E3703" i="5" s="1"/>
  <c r="B3768" i="5"/>
  <c r="B3832" i="5"/>
  <c r="E3831" i="5" s="1" a="1"/>
  <c r="E3831" i="5" s="1"/>
  <c r="B3735" i="5"/>
  <c r="E3734" i="5" s="1" a="1"/>
  <c r="E3734" i="5" s="1"/>
  <c r="B3799" i="5"/>
  <c r="E3798" i="5" s="1" a="1"/>
  <c r="E3798" i="5" s="1"/>
  <c r="B3863" i="5"/>
  <c r="E3862" i="5" s="1" a="1"/>
  <c r="E3862" i="5" s="1"/>
  <c r="B3943" i="5"/>
  <c r="B4007" i="5"/>
  <c r="E4006" i="5" s="1" a="1"/>
  <c r="E4006" i="5" s="1"/>
  <c r="B4089" i="5"/>
  <c r="E4088" i="5" s="1" a="1"/>
  <c r="E4088" i="5" s="1"/>
  <c r="B4221" i="5"/>
  <c r="B4103" i="5"/>
  <c r="E4102" i="5" s="1" a="1"/>
  <c r="E4102" i="5" s="1"/>
  <c r="B4245" i="5"/>
  <c r="E4244" i="5" s="1" a="1"/>
  <c r="E4244" i="5" s="1"/>
  <c r="B4195" i="5"/>
  <c r="E4194" i="5" s="1" a="1"/>
  <c r="E4194" i="5" s="1"/>
  <c r="B4246" i="5"/>
  <c r="B4134" i="5"/>
  <c r="E4133" i="5" s="1" a="1"/>
  <c r="E4133" i="5" s="1"/>
  <c r="B4198" i="5"/>
  <c r="B4124" i="5"/>
  <c r="E4123" i="5" s="1" a="1"/>
  <c r="E4123" i="5" s="1"/>
  <c r="B4188" i="5"/>
  <c r="E4187" i="5" s="1" a="1"/>
  <c r="E4187" i="5" s="1"/>
  <c r="B4397" i="5"/>
  <c r="E4396" i="5" s="1" a="1"/>
  <c r="E4396" i="5" s="1"/>
  <c r="B4387" i="5"/>
  <c r="E4386" i="5" s="1" a="1"/>
  <c r="E4386" i="5" s="1"/>
  <c r="B4415" i="5"/>
  <c r="E4414" i="5" s="1" a="1"/>
  <c r="E4414" i="5" s="1"/>
  <c r="B4459" i="5"/>
  <c r="E4458" i="5" s="1" a="1"/>
  <c r="E4458" i="5" s="1"/>
  <c r="B4523" i="5"/>
  <c r="E4522" i="5" s="1" a="1"/>
  <c r="E4522" i="5" s="1"/>
  <c r="B4587" i="5"/>
  <c r="E4586" i="5" s="1" a="1"/>
  <c r="E4586" i="5" s="1"/>
  <c r="B4465" i="5"/>
  <c r="E4464" i="5" s="1" a="1"/>
  <c r="E4464" i="5" s="1"/>
  <c r="B4529" i="5"/>
  <c r="E4528" i="5" s="1" a="1"/>
  <c r="E4528" i="5" s="1"/>
  <c r="B4593" i="5"/>
  <c r="E4592" i="5" s="1" a="1"/>
  <c r="E4592" i="5" s="1"/>
  <c r="B4732" i="5"/>
  <c r="E4731" i="5" s="1" a="1"/>
  <c r="E4731" i="5" s="1"/>
  <c r="B4657" i="5"/>
  <c r="E4656" i="5" s="1" a="1"/>
  <c r="E4656" i="5" s="1"/>
  <c r="B4809" i="5"/>
  <c r="B4812" i="5"/>
  <c r="B4797" i="5"/>
  <c r="E4796" i="5" s="1" a="1"/>
  <c r="E4796" i="5" s="1"/>
  <c r="B4863" i="5"/>
  <c r="E4862" i="5" s="1" a="1"/>
  <c r="E4862" i="5" s="1"/>
  <c r="B4929" i="5"/>
  <c r="E4928" i="5" s="1" a="1"/>
  <c r="E4928" i="5" s="1"/>
  <c r="B4905" i="5"/>
  <c r="E4904" i="5" s="1" a="1"/>
  <c r="E4904" i="5" s="1"/>
  <c r="B4999" i="5"/>
  <c r="E4998" i="5" s="1" a="1"/>
  <c r="E4998" i="5" s="1"/>
  <c r="B5013" i="5"/>
  <c r="B5016" i="5"/>
  <c r="E5015" i="5" s="1" a="1"/>
  <c r="E5015" i="5" s="1"/>
  <c r="B118" i="5"/>
  <c r="B177" i="5"/>
  <c r="B516" i="5"/>
  <c r="E515" i="5" s="1" a="1"/>
  <c r="E515" i="5" s="1"/>
  <c r="B760" i="5"/>
  <c r="E759" i="5" s="1" a="1"/>
  <c r="E759" i="5" s="1"/>
  <c r="B571" i="5"/>
  <c r="E570" i="5" s="1" a="1"/>
  <c r="E570" i="5" s="1"/>
  <c r="B635" i="5"/>
  <c r="B699" i="5"/>
  <c r="E698" i="5" s="1" a="1"/>
  <c r="E698" i="5" s="1"/>
  <c r="B763" i="5"/>
  <c r="E762" i="5" s="1" a="1"/>
  <c r="E762" i="5" s="1"/>
  <c r="B961" i="5"/>
  <c r="B1025" i="5"/>
  <c r="E1024" i="5" s="1" a="1"/>
  <c r="E1024" i="5" s="1"/>
  <c r="B1089" i="5"/>
  <c r="E1088" i="5" s="1" a="1"/>
  <c r="E1088" i="5" s="1"/>
  <c r="B1153" i="5"/>
  <c r="E1152" i="5" s="1" a="1"/>
  <c r="E1152" i="5" s="1"/>
  <c r="B1217" i="5"/>
  <c r="E1216" i="5" s="1" a="1"/>
  <c r="E1216" i="5" s="1"/>
  <c r="B1281" i="5"/>
  <c r="E1280" i="5" s="1" a="1"/>
  <c r="E1280" i="5" s="1"/>
  <c r="B1345" i="5"/>
  <c r="E1344" i="5" s="1" a="1"/>
  <c r="E1344" i="5" s="1"/>
  <c r="B1409" i="5"/>
  <c r="E1408" i="5" s="1" a="1"/>
  <c r="E1408" i="5" s="1"/>
  <c r="B1473" i="5"/>
  <c r="E1472" i="5" s="1" a="1"/>
  <c r="E1472" i="5" s="1"/>
  <c r="B74" i="5"/>
  <c r="E73" i="5" s="1" a="1"/>
  <c r="E73" i="5" s="1"/>
  <c r="B208" i="5"/>
  <c r="E207" i="5" s="1" a="1"/>
  <c r="E207" i="5" s="1"/>
  <c r="B574" i="5"/>
  <c r="E573" i="5" s="1" a="1"/>
  <c r="E573" i="5" s="1"/>
  <c r="B638" i="5"/>
  <c r="B702" i="5"/>
  <c r="E701" i="5" s="1" a="1"/>
  <c r="E701" i="5" s="1"/>
  <c r="B766" i="5"/>
  <c r="E765" i="5" s="1" a="1"/>
  <c r="E765" i="5" s="1"/>
  <c r="B954" i="5"/>
  <c r="E953" i="5" s="1" a="1"/>
  <c r="E953" i="5" s="1"/>
  <c r="B1018" i="5"/>
  <c r="E1017" i="5" s="1" a="1"/>
  <c r="E1017" i="5" s="1"/>
  <c r="B1082" i="5"/>
  <c r="E1081" i="5" s="1" a="1"/>
  <c r="E1081" i="5" s="1"/>
  <c r="B1146" i="5"/>
  <c r="E1145" i="5" s="1" a="1"/>
  <c r="E1145" i="5" s="1"/>
  <c r="B1210" i="5"/>
  <c r="E1209" i="5" s="1" a="1"/>
  <c r="E1209" i="5" s="1"/>
  <c r="B1274" i="5"/>
  <c r="B1338" i="5"/>
  <c r="B1402" i="5"/>
  <c r="E1401" i="5" s="1" a="1"/>
  <c r="E1401" i="5" s="1"/>
  <c r="B1466" i="5"/>
  <c r="E1465" i="5" s="1" a="1"/>
  <c r="E1465" i="5" s="1"/>
  <c r="B67" i="5"/>
  <c r="E66" i="5" s="1" a="1"/>
  <c r="E66" i="5" s="1"/>
  <c r="B135" i="5"/>
  <c r="E134" i="5" s="1" a="1"/>
  <c r="E134" i="5" s="1"/>
  <c r="B205" i="5"/>
  <c r="E204" i="5" s="1" a="1"/>
  <c r="E204" i="5" s="1"/>
  <c r="B273" i="5"/>
  <c r="E272" i="5" s="1" a="1"/>
  <c r="E272" i="5" s="1"/>
  <c r="B325" i="5"/>
  <c r="E324" i="5" s="1" a="1"/>
  <c r="E324" i="5" s="1"/>
  <c r="B428" i="5"/>
  <c r="E427" i="5" s="1" a="1"/>
  <c r="E427" i="5" s="1"/>
  <c r="B476" i="5"/>
  <c r="B492" i="5"/>
  <c r="E491" i="5" s="1" a="1"/>
  <c r="E491" i="5" s="1"/>
  <c r="B508" i="5"/>
  <c r="E507" i="5" s="1" a="1"/>
  <c r="E507" i="5" s="1"/>
  <c r="B621" i="5"/>
  <c r="E620" i="5" s="1" a="1"/>
  <c r="E620" i="5" s="1"/>
  <c r="B685" i="5"/>
  <c r="E684" i="5" s="1" a="1"/>
  <c r="E684" i="5" s="1"/>
  <c r="B749" i="5"/>
  <c r="E748" i="5" s="1" a="1"/>
  <c r="E748" i="5" s="1"/>
  <c r="B59" i="5"/>
  <c r="E58" i="5" s="1" a="1"/>
  <c r="E58" i="5" s="1"/>
  <c r="B121" i="5"/>
  <c r="E120" i="5" s="1" a="1"/>
  <c r="E120" i="5" s="1"/>
  <c r="B184" i="5"/>
  <c r="E183" i="5" s="1" a="1"/>
  <c r="E183" i="5" s="1"/>
  <c r="B248" i="5"/>
  <c r="E247" i="5" s="1" a="1"/>
  <c r="E247" i="5" s="1"/>
  <c r="B301" i="5"/>
  <c r="E300" i="5" s="1" a="1"/>
  <c r="E300" i="5" s="1"/>
  <c r="B346" i="5"/>
  <c r="B394" i="5"/>
  <c r="E393" i="5" s="1" a="1"/>
  <c r="E393" i="5" s="1"/>
  <c r="B441" i="5"/>
  <c r="E440" i="5" s="1" a="1"/>
  <c r="E440" i="5" s="1"/>
  <c r="B692" i="5"/>
  <c r="E691" i="5" s="1" a="1"/>
  <c r="E691" i="5" s="1"/>
  <c r="B792" i="5"/>
  <c r="E792" i="5" s="1" a="1"/>
  <c r="E792" i="5" s="1"/>
  <c r="B833" i="5"/>
  <c r="E832" i="5" s="1" a="1"/>
  <c r="E832" i="5" s="1"/>
  <c r="B865" i="5"/>
  <c r="E864" i="5" s="1" a="1"/>
  <c r="E864" i="5" s="1"/>
  <c r="B897" i="5"/>
  <c r="E896" i="5" s="1" a="1"/>
  <c r="E896" i="5" s="1"/>
  <c r="B929" i="5"/>
  <c r="B1607" i="5"/>
  <c r="B1671" i="5"/>
  <c r="E1670" i="5" s="1" a="1"/>
  <c r="E1670" i="5" s="1"/>
  <c r="B1735" i="5"/>
  <c r="B1799" i="5"/>
  <c r="E1798" i="5" s="1" a="1"/>
  <c r="E1798" i="5" s="1"/>
  <c r="B1863" i="5"/>
  <c r="B1927" i="5"/>
  <c r="B1945" i="5"/>
  <c r="B1965" i="5"/>
  <c r="E1964" i="5" s="1" a="1"/>
  <c r="E1964" i="5" s="1"/>
  <c r="B1517" i="5"/>
  <c r="E1516" i="5" s="1" a="1"/>
  <c r="E1516" i="5" s="1"/>
  <c r="B1533" i="5"/>
  <c r="B1549" i="5"/>
  <c r="E1548" i="5" s="1" a="1"/>
  <c r="E1548" i="5" s="1"/>
  <c r="B1993" i="5"/>
  <c r="E1992" i="5" s="1" a="1"/>
  <c r="E1992" i="5" s="1"/>
  <c r="B2066" i="5"/>
  <c r="E2065" i="5" s="1" a="1"/>
  <c r="E2065" i="5" s="1"/>
  <c r="B2130" i="5"/>
  <c r="E2129" i="5" s="1" a="1"/>
  <c r="E2129" i="5" s="1"/>
  <c r="B2194" i="5"/>
  <c r="E2193" i="5" s="1" a="1"/>
  <c r="E2193" i="5" s="1"/>
  <c r="B2069" i="5"/>
  <c r="B2133" i="5"/>
  <c r="E2132" i="5" s="1" a="1"/>
  <c r="E2132" i="5" s="1"/>
  <c r="B2299" i="5"/>
  <c r="B2441" i="5"/>
  <c r="E2440" i="5" s="1" a="1"/>
  <c r="E2440" i="5" s="1"/>
  <c r="B2505" i="5"/>
  <c r="B2801" i="5"/>
  <c r="E2800" i="5" s="1" a="1"/>
  <c r="E2800" i="5" s="1"/>
  <c r="B2865" i="5"/>
  <c r="E2864" i="5" s="1" a="1"/>
  <c r="E2864" i="5" s="1"/>
  <c r="B2929" i="5"/>
  <c r="E2928" i="5" s="1" a="1"/>
  <c r="E2928" i="5" s="1"/>
  <c r="B2220" i="5"/>
  <c r="E2219" i="5" s="1" a="1"/>
  <c r="E2219" i="5" s="1"/>
  <c r="B2284" i="5"/>
  <c r="E2283" i="5" s="1" a="1"/>
  <c r="E2283" i="5" s="1"/>
  <c r="B2348" i="5"/>
  <c r="B2412" i="5"/>
  <c r="E2411" i="5" s="1" a="1"/>
  <c r="E2411" i="5" s="1"/>
  <c r="B2476" i="5"/>
  <c r="B2557" i="5"/>
  <c r="E2556" i="5" s="1" a="1"/>
  <c r="E2556" i="5" s="1"/>
  <c r="B2589" i="5"/>
  <c r="E2588" i="5" s="1" a="1"/>
  <c r="E2588" i="5" s="1"/>
  <c r="B2621" i="5"/>
  <c r="E2620" i="5" s="1" a="1"/>
  <c r="E2620" i="5" s="1"/>
  <c r="B2653" i="5"/>
  <c r="B2685" i="5"/>
  <c r="E2684" i="5" s="1" a="1"/>
  <c r="E2684" i="5" s="1"/>
  <c r="B2717" i="5"/>
  <c r="E2716" i="5" s="1" a="1"/>
  <c r="E2716" i="5" s="1"/>
  <c r="B2749" i="5"/>
  <c r="E2748" i="5" s="1" a="1"/>
  <c r="E2748" i="5" s="1"/>
  <c r="B2799" i="5"/>
  <c r="E2798" i="5" s="1" a="1"/>
  <c r="E2798" i="5" s="1"/>
  <c r="B2863" i="5"/>
  <c r="E2862" i="5" s="1" a="1"/>
  <c r="E2862" i="5" s="1"/>
  <c r="B2927" i="5"/>
  <c r="E2926" i="5" s="1" a="1"/>
  <c r="E2926" i="5" s="1"/>
  <c r="B2198" i="5"/>
  <c r="E2197" i="5" s="1" a="1"/>
  <c r="E2197" i="5" s="1"/>
  <c r="B2226" i="5"/>
  <c r="E2225" i="5" s="1" a="1"/>
  <c r="E2225" i="5" s="1"/>
  <c r="B2290" i="5"/>
  <c r="E2289" i="5" s="1" a="1"/>
  <c r="E2289" i="5" s="1"/>
  <c r="B2354" i="5"/>
  <c r="B2418" i="5"/>
  <c r="E2417" i="5" s="1" a="1"/>
  <c r="E2417" i="5" s="1"/>
  <c r="B2482" i="5"/>
  <c r="E2481" i="5" s="1" a="1"/>
  <c r="E2481" i="5" s="1"/>
  <c r="B2546" i="5"/>
  <c r="E2545" i="5" s="1" a="1"/>
  <c r="E2545" i="5" s="1"/>
  <c r="B2824" i="5"/>
  <c r="E2823" i="5" s="1" a="1"/>
  <c r="E2823" i="5" s="1"/>
  <c r="B2888" i="5"/>
  <c r="E2887" i="5" s="1" a="1"/>
  <c r="E2887" i="5" s="1"/>
  <c r="B2952" i="5"/>
  <c r="B2991" i="5"/>
  <c r="E2990" i="5" s="1" a="1"/>
  <c r="E2990" i="5" s="1"/>
  <c r="B3007" i="5"/>
  <c r="E3006" i="5" s="1" a="1"/>
  <c r="E3006" i="5" s="1"/>
  <c r="B3038" i="5"/>
  <c r="E3037" i="5" s="1" a="1"/>
  <c r="E3037" i="5" s="1"/>
  <c r="B3102" i="5"/>
  <c r="E3101" i="5" s="1" a="1"/>
  <c r="E3101" i="5" s="1"/>
  <c r="B3166" i="5"/>
  <c r="E3165" i="5" s="1" a="1"/>
  <c r="E3165" i="5" s="1"/>
  <c r="B3230" i="5"/>
  <c r="E3229" i="5" s="1" a="1"/>
  <c r="E3229" i="5" s="1"/>
  <c r="B3281" i="5"/>
  <c r="E3280" i="5" s="1" a="1"/>
  <c r="E3280" i="5" s="1"/>
  <c r="B3297" i="5"/>
  <c r="E3296" i="5" s="1" a="1"/>
  <c r="E3296" i="5" s="1"/>
  <c r="B3040" i="5"/>
  <c r="E3039" i="5" s="1" a="1"/>
  <c r="E3039" i="5" s="1"/>
  <c r="B3104" i="5"/>
  <c r="E3103" i="5" s="1" a="1"/>
  <c r="E3103" i="5" s="1"/>
  <c r="B3168" i="5"/>
  <c r="E3167" i="5" s="1" a="1"/>
  <c r="E3167" i="5" s="1"/>
  <c r="B3232" i="5"/>
  <c r="E3231" i="5" s="1" a="1"/>
  <c r="E3231" i="5" s="1"/>
  <c r="B3282" i="5"/>
  <c r="B3079" i="5"/>
  <c r="E3078" i="5" s="1" a="1"/>
  <c r="E3078" i="5" s="1"/>
  <c r="B3143" i="5"/>
  <c r="E3142" i="5" s="1" a="1"/>
  <c r="E3142" i="5" s="1"/>
  <c r="B3207" i="5"/>
  <c r="B3295" i="5"/>
  <c r="E3294" i="5" s="1" a="1"/>
  <c r="E3294" i="5" s="1"/>
  <c r="B3343" i="5"/>
  <c r="E3342" i="5" s="1" a="1"/>
  <c r="E3342" i="5" s="1"/>
  <c r="B3359" i="5"/>
  <c r="E3358" i="5" s="1" a="1"/>
  <c r="E3358" i="5" s="1"/>
  <c r="B3395" i="5"/>
  <c r="E3394" i="5" s="1" a="1"/>
  <c r="E3394" i="5" s="1"/>
  <c r="B3459" i="5"/>
  <c r="E3458" i="5" s="1" a="1"/>
  <c r="E3458" i="5" s="1"/>
  <c r="B3523" i="5"/>
  <c r="E3522" i="5" s="1" a="1"/>
  <c r="E3522" i="5" s="1"/>
  <c r="B3587" i="5"/>
  <c r="E3586" i="5" s="1" a="1"/>
  <c r="E3586" i="5" s="1"/>
  <c r="B3658" i="5"/>
  <c r="E3657" i="5" s="1" a="1"/>
  <c r="E3657" i="5" s="1"/>
  <c r="B3662" i="5"/>
  <c r="E3661" i="5" s="1" a="1"/>
  <c r="E3661" i="5" s="1"/>
  <c r="B3397" i="5"/>
  <c r="B3461" i="5"/>
  <c r="E3460" i="5" s="1" a="1"/>
  <c r="E3460" i="5" s="1"/>
  <c r="B3525" i="5"/>
  <c r="E3524" i="5" s="1" a="1"/>
  <c r="E3524" i="5" s="1"/>
  <c r="B3589" i="5"/>
  <c r="E3588" i="5" s="1" a="1"/>
  <c r="E3588" i="5" s="1"/>
  <c r="B3659" i="5"/>
  <c r="B3660" i="5"/>
  <c r="B3755" i="5"/>
  <c r="E3754" i="5" s="1" a="1"/>
  <c r="E3754" i="5" s="1"/>
  <c r="B3819" i="5"/>
  <c r="B3883" i="5"/>
  <c r="B3963" i="5"/>
  <c r="E3962" i="5" s="1" a="1"/>
  <c r="E3962" i="5" s="1"/>
  <c r="B4036" i="5"/>
  <c r="E4035" i="5" s="1" a="1"/>
  <c r="E4035" i="5" s="1"/>
  <c r="B3774" i="5"/>
  <c r="B3838" i="5"/>
  <c r="E3837" i="5" s="1" a="1"/>
  <c r="E3837" i="5" s="1"/>
  <c r="B3988" i="5"/>
  <c r="E3987" i="5" s="1" a="1"/>
  <c r="E3987" i="5" s="1"/>
  <c r="B3701" i="5"/>
  <c r="E3700" i="5" s="1" a="1"/>
  <c r="E3700" i="5" s="1"/>
  <c r="B3765" i="5"/>
  <c r="E3764" i="5" s="1" a="1"/>
  <c r="E3764" i="5" s="1"/>
  <c r="B3829" i="5"/>
  <c r="E3828" i="5" s="1" a="1"/>
  <c r="E3828" i="5" s="1"/>
  <c r="B3896" i="5"/>
  <c r="E3895" i="5" s="1" a="1"/>
  <c r="E3895" i="5" s="1"/>
  <c r="B4055" i="5"/>
  <c r="E4054" i="5" s="1" a="1"/>
  <c r="E4054" i="5" s="1"/>
  <c r="B3900" i="5"/>
  <c r="B4109" i="5"/>
  <c r="E4108" i="5" s="1" a="1"/>
  <c r="E4108" i="5" s="1"/>
  <c r="B4255" i="5"/>
  <c r="E4254" i="5" s="1" a="1"/>
  <c r="E4254" i="5" s="1"/>
  <c r="B4107" i="5"/>
  <c r="B4256" i="5"/>
  <c r="B4288" i="5"/>
  <c r="E4287" i="5" s="1" a="1"/>
  <c r="E4287" i="5" s="1"/>
  <c r="B4320" i="5"/>
  <c r="E4319" i="5" s="1" a="1"/>
  <c r="E4319" i="5" s="1"/>
  <c r="B4352" i="5"/>
  <c r="E4351" i="5" s="1" a="1"/>
  <c r="E4351" i="5" s="1"/>
  <c r="B4090" i="5"/>
  <c r="B4154" i="5"/>
  <c r="B4080" i="5"/>
  <c r="E4079" i="5" s="1" a="1"/>
  <c r="E4079" i="5" s="1"/>
  <c r="B4144" i="5"/>
  <c r="E4143" i="5" s="1" a="1"/>
  <c r="E4143" i="5" s="1"/>
  <c r="B4208" i="5"/>
  <c r="E4207" i="5" s="1" a="1"/>
  <c r="E4207" i="5" s="1"/>
  <c r="B4376" i="5"/>
  <c r="E4375" i="5" s="1" a="1"/>
  <c r="E4375" i="5" s="1"/>
  <c r="B4479" i="5"/>
  <c r="E4478" i="5" s="1" a="1"/>
  <c r="E4478" i="5" s="1"/>
  <c r="B4543" i="5"/>
  <c r="B4607" i="5"/>
  <c r="E4606" i="5" s="1" a="1"/>
  <c r="E4606" i="5" s="1"/>
  <c r="B4462" i="5"/>
  <c r="B4526" i="5"/>
  <c r="E4525" i="5" s="1" a="1"/>
  <c r="E4525" i="5" s="1"/>
  <c r="B4590" i="5"/>
  <c r="B4421" i="5"/>
  <c r="E4420" i="5" s="1" a="1"/>
  <c r="E4420" i="5" s="1"/>
  <c r="B4485" i="5"/>
  <c r="E4484" i="5" s="1" a="1"/>
  <c r="E4484" i="5" s="1"/>
  <c r="B4549" i="5"/>
  <c r="E4548" i="5" s="1" a="1"/>
  <c r="E4548" i="5" s="1"/>
  <c r="B4613" i="5"/>
  <c r="E4612" i="5" s="1" a="1"/>
  <c r="E4612" i="5" s="1"/>
  <c r="B4697" i="5"/>
  <c r="E4696" i="5" s="1" a="1"/>
  <c r="E4696" i="5" s="1"/>
  <c r="B4742" i="5"/>
  <c r="E4741" i="5" s="1" a="1"/>
  <c r="E4741" i="5" s="1"/>
  <c r="B4755" i="5"/>
  <c r="E4754" i="5" s="1" a="1"/>
  <c r="E4754" i="5" s="1"/>
  <c r="B4683" i="5"/>
  <c r="E4682" i="5" s="1" a="1"/>
  <c r="E4682" i="5" s="1"/>
  <c r="B4646" i="5"/>
  <c r="E4645" i="5" s="1" a="1"/>
  <c r="E4645" i="5" s="1"/>
  <c r="B4674" i="5"/>
  <c r="B4757" i="5"/>
  <c r="E4756" i="5" s="1" a="1"/>
  <c r="E4756" i="5" s="1"/>
  <c r="B4828" i="5"/>
  <c r="E4827" i="5" s="1" a="1"/>
  <c r="E4827" i="5" s="1"/>
  <c r="B4834" i="5"/>
  <c r="E4833" i="5" s="1" a="1"/>
  <c r="E4833" i="5" s="1"/>
  <c r="B4888" i="5"/>
  <c r="B4870" i="5"/>
  <c r="E4869" i="5" s="1" a="1"/>
  <c r="E4869" i="5" s="1"/>
  <c r="B4907" i="5"/>
  <c r="B4936" i="5"/>
  <c r="B4966" i="5"/>
  <c r="E4965" i="5" s="1" a="1"/>
  <c r="E4965" i="5" s="1"/>
  <c r="B4890" i="5"/>
  <c r="E4889" i="5" s="1" a="1"/>
  <c r="E4889" i="5" s="1"/>
  <c r="B5033" i="5"/>
  <c r="B5036" i="5"/>
  <c r="B5026" i="5"/>
  <c r="E5025" i="5" s="1" a="1"/>
  <c r="E5025" i="5" s="1"/>
  <c r="B77" i="5"/>
  <c r="B136" i="5"/>
  <c r="B194" i="5"/>
  <c r="E193" i="5" s="1" a="1"/>
  <c r="E193" i="5" s="1"/>
  <c r="B307" i="5"/>
  <c r="E306" i="5" s="1" a="1"/>
  <c r="E306" i="5" s="1"/>
  <c r="B354" i="5"/>
  <c r="B399" i="5"/>
  <c r="E398" i="5" s="1" a="1"/>
  <c r="E398" i="5" s="1"/>
  <c r="B552" i="5"/>
  <c r="B672" i="5"/>
  <c r="B527" i="5"/>
  <c r="E526" i="5" s="1" a="1"/>
  <c r="E526" i="5" s="1"/>
  <c r="B591" i="5"/>
  <c r="B655" i="5"/>
  <c r="E654" i="5" s="1" a="1"/>
  <c r="E654" i="5" s="1"/>
  <c r="B719" i="5"/>
  <c r="B783" i="5"/>
  <c r="B981" i="5"/>
  <c r="B1045" i="5"/>
  <c r="E1044" i="5" s="1" a="1"/>
  <c r="E1044" i="5" s="1"/>
  <c r="B1109" i="5"/>
  <c r="E1108" i="5" s="1" a="1"/>
  <c r="E1108" i="5" s="1"/>
  <c r="B1173" i="5"/>
  <c r="B1237" i="5"/>
  <c r="E1236" i="5" s="1" a="1"/>
  <c r="E1236" i="5" s="1"/>
  <c r="B1301" i="5"/>
  <c r="B1365" i="5"/>
  <c r="B1429" i="5"/>
  <c r="B1493" i="5"/>
  <c r="B96" i="5"/>
  <c r="E95" i="5" s="1" a="1"/>
  <c r="E95" i="5" s="1"/>
  <c r="B162" i="5"/>
  <c r="E161" i="5" s="1" a="1"/>
  <c r="E161" i="5" s="1"/>
  <c r="B229" i="5"/>
  <c r="B530" i="5"/>
  <c r="E529" i="5" s="1" a="1"/>
  <c r="E529" i="5" s="1"/>
  <c r="B594" i="5"/>
  <c r="B658" i="5"/>
  <c r="E657" i="5" s="1" a="1"/>
  <c r="E657" i="5" s="1"/>
  <c r="B722" i="5"/>
  <c r="E721" i="5" s="1" a="1"/>
  <c r="E721" i="5" s="1"/>
  <c r="B786" i="5"/>
  <c r="E785" i="5" s="1" a="1"/>
  <c r="E785" i="5" s="1"/>
  <c r="B830" i="5"/>
  <c r="E829" i="5" s="1" a="1"/>
  <c r="E829" i="5" s="1"/>
  <c r="B862" i="5"/>
  <c r="E861" i="5" s="1" a="1"/>
  <c r="E861" i="5" s="1"/>
  <c r="B894" i="5"/>
  <c r="E893" i="5" s="1" a="1"/>
  <c r="E893" i="5" s="1"/>
  <c r="B926" i="5"/>
  <c r="B974" i="5"/>
  <c r="B1038" i="5"/>
  <c r="B1102" i="5"/>
  <c r="B1166" i="5"/>
  <c r="E1165" i="5" s="1" a="1"/>
  <c r="E1165" i="5" s="1"/>
  <c r="B1230" i="5"/>
  <c r="B1294" i="5"/>
  <c r="B1358" i="5"/>
  <c r="B1422" i="5"/>
  <c r="B1486" i="5"/>
  <c r="B89" i="5"/>
  <c r="B157" i="5"/>
  <c r="B226" i="5"/>
  <c r="E225" i="5" s="1" a="1"/>
  <c r="E225" i="5" s="1"/>
  <c r="B289" i="5"/>
  <c r="B341" i="5"/>
  <c r="E340" i="5" s="1" a="1"/>
  <c r="E340" i="5" s="1"/>
  <c r="B392" i="5"/>
  <c r="E391" i="5" s="1" a="1"/>
  <c r="E391" i="5" s="1"/>
  <c r="B481" i="5"/>
  <c r="E480" i="5" s="1" a="1"/>
  <c r="E480" i="5" s="1"/>
  <c r="B497" i="5"/>
  <c r="E496" i="5" s="1" a="1"/>
  <c r="E496" i="5" s="1"/>
  <c r="B513" i="5"/>
  <c r="B577" i="5"/>
  <c r="E576" i="5" s="1" a="1"/>
  <c r="E576" i="5" s="1"/>
  <c r="B641" i="5"/>
  <c r="B705" i="5"/>
  <c r="E704" i="5" s="1" a="1"/>
  <c r="E704" i="5" s="1"/>
  <c r="B769" i="5"/>
  <c r="E768" i="5" s="1" a="1"/>
  <c r="E768" i="5" s="1"/>
  <c r="B963" i="5"/>
  <c r="E962" i="5" s="1" a="1"/>
  <c r="E962" i="5" s="1"/>
  <c r="B1027" i="5"/>
  <c r="E1026" i="5" s="1" a="1"/>
  <c r="E1026" i="5" s="1"/>
  <c r="B1091" i="5"/>
  <c r="E1090" i="5" s="1" a="1"/>
  <c r="E1090" i="5" s="1"/>
  <c r="B1155" i="5"/>
  <c r="E1154" i="5" s="1" a="1"/>
  <c r="E1154" i="5" s="1"/>
  <c r="B1219" i="5"/>
  <c r="E1218" i="5" s="1" a="1"/>
  <c r="E1218" i="5" s="1"/>
  <c r="B1283" i="5"/>
  <c r="E1282" i="5" s="1" a="1"/>
  <c r="E1282" i="5" s="1"/>
  <c r="B1347" i="5"/>
  <c r="E1346" i="5" s="1" a="1"/>
  <c r="E1346" i="5" s="1"/>
  <c r="B1411" i="5"/>
  <c r="B1475" i="5"/>
  <c r="E1474" i="5" s="1" a="1"/>
  <c r="E1474" i="5" s="1"/>
  <c r="B203" i="5"/>
  <c r="E202" i="5" s="1" a="1"/>
  <c r="E202" i="5" s="1"/>
  <c r="B267" i="5"/>
  <c r="E266" i="5" s="1" a="1"/>
  <c r="E266" i="5" s="1"/>
  <c r="B314" i="5"/>
  <c r="E313" i="5" s="1" a="1"/>
  <c r="E313" i="5" s="1"/>
  <c r="B361" i="5"/>
  <c r="E360" i="5" s="1" a="1"/>
  <c r="E360" i="5" s="1"/>
  <c r="B408" i="5"/>
  <c r="B455" i="5"/>
  <c r="E454" i="5" s="1" a="1"/>
  <c r="E454" i="5" s="1"/>
  <c r="B596" i="5"/>
  <c r="E595" i="5" s="1" a="1"/>
  <c r="E595" i="5" s="1"/>
  <c r="B736" i="5"/>
  <c r="B811" i="5"/>
  <c r="B843" i="5"/>
  <c r="E842" i="5" s="1" a="1"/>
  <c r="E842" i="5" s="1"/>
  <c r="B875" i="5"/>
  <c r="E874" i="5" s="1" a="1"/>
  <c r="E874" i="5" s="1"/>
  <c r="B907" i="5"/>
  <c r="E906" i="5" s="1" a="1"/>
  <c r="E906" i="5" s="1"/>
  <c r="B939" i="5"/>
  <c r="E938" i="5" s="1" a="1"/>
  <c r="E938" i="5" s="1"/>
  <c r="B1000" i="5"/>
  <c r="E999" i="5" s="1" a="1"/>
  <c r="E999" i="5" s="1"/>
  <c r="B1064" i="5"/>
  <c r="E1063" i="5" s="1" a="1"/>
  <c r="E1063" i="5" s="1"/>
  <c r="B1128" i="5"/>
  <c r="E1127" i="5" s="1" a="1"/>
  <c r="E1127" i="5" s="1"/>
  <c r="B1192" i="5"/>
  <c r="B1256" i="5"/>
  <c r="E1255" i="5" s="1" a="1"/>
  <c r="E1255" i="5" s="1"/>
  <c r="B1320" i="5"/>
  <c r="E1319" i="5" s="1" a="1"/>
  <c r="E1319" i="5" s="1"/>
  <c r="B1384" i="5"/>
  <c r="E1383" i="5" s="1" a="1"/>
  <c r="E1383" i="5" s="1"/>
  <c r="B1448" i="5"/>
  <c r="B1563" i="5"/>
  <c r="E1562" i="5" s="1" a="1"/>
  <c r="E1562" i="5" s="1"/>
  <c r="B1627" i="5"/>
  <c r="E1626" i="5" s="1" a="1"/>
  <c r="E1626" i="5" s="1"/>
  <c r="B1691" i="5"/>
  <c r="E1690" i="5" s="1" a="1"/>
  <c r="E1690" i="5" s="1"/>
  <c r="B1755" i="5"/>
  <c r="E1754" i="5" s="1" a="1"/>
  <c r="E1754" i="5" s="1"/>
  <c r="B1819" i="5"/>
  <c r="E1818" i="5" s="1" a="1"/>
  <c r="E1818" i="5" s="1"/>
  <c r="B1883" i="5"/>
  <c r="E1882" i="5" s="1" a="1"/>
  <c r="E1882" i="5" s="1"/>
  <c r="B1948" i="5"/>
  <c r="E1947" i="5" s="1" a="1"/>
  <c r="E1947" i="5" s="1"/>
  <c r="B1975" i="5"/>
  <c r="E1974" i="5" s="1" a="1"/>
  <c r="E1974" i="5" s="1"/>
  <c r="B2000" i="5"/>
  <c r="E1999" i="5" s="1" a="1"/>
  <c r="E1999" i="5" s="1"/>
  <c r="B1522" i="5"/>
  <c r="B1538" i="5"/>
  <c r="E1537" i="5" s="1" a="1"/>
  <c r="E1537" i="5" s="1"/>
  <c r="B1554" i="5"/>
  <c r="E1553" i="5" s="1" a="1"/>
  <c r="E1553" i="5" s="1"/>
  <c r="B1958" i="5"/>
  <c r="E1957" i="5" s="1" a="1"/>
  <c r="E1957" i="5" s="1"/>
  <c r="B2022" i="5"/>
  <c r="E2021" i="5" s="1" a="1"/>
  <c r="E2021" i="5" s="1"/>
  <c r="B2086" i="5"/>
  <c r="E2085" i="5" s="1" a="1"/>
  <c r="E2085" i="5" s="1"/>
  <c r="B2150" i="5"/>
  <c r="E2149" i="5" s="1" a="1"/>
  <c r="E2149" i="5" s="1"/>
  <c r="B2249" i="5"/>
  <c r="B2377" i="5"/>
  <c r="E2376" i="5" s="1" a="1"/>
  <c r="E2376" i="5" s="1"/>
  <c r="B2025" i="5"/>
  <c r="E2024" i="5" s="1" a="1"/>
  <c r="E2024" i="5" s="1"/>
  <c r="B2089" i="5"/>
  <c r="E2088" i="5" s="1" a="1"/>
  <c r="E2088" i="5" s="1"/>
  <c r="B2153" i="5"/>
  <c r="E2152" i="5" s="1" a="1"/>
  <c r="E2152" i="5" s="1"/>
  <c r="B2255" i="5"/>
  <c r="B2383" i="5"/>
  <c r="E2382" i="5" s="1" a="1"/>
  <c r="E2382" i="5" s="1"/>
  <c r="B2028" i="5"/>
  <c r="E2027" i="5" s="1" a="1"/>
  <c r="E2027" i="5" s="1"/>
  <c r="B2092" i="5"/>
  <c r="E2091" i="5" s="1" a="1"/>
  <c r="E2091" i="5" s="1"/>
  <c r="B2156" i="5"/>
  <c r="E2155" i="5" s="1" a="1"/>
  <c r="E2155" i="5" s="1"/>
  <c r="B2261" i="5"/>
  <c r="E2260" i="5" s="1" a="1"/>
  <c r="E2260" i="5" s="1"/>
  <c r="B2389" i="5"/>
  <c r="E2388" i="5" s="1" a="1"/>
  <c r="E2388" i="5" s="1"/>
  <c r="B2211" i="5"/>
  <c r="B2339" i="5"/>
  <c r="B2519" i="5"/>
  <c r="B2461" i="5"/>
  <c r="E2460" i="5" s="1" a="1"/>
  <c r="E2460" i="5" s="1"/>
  <c r="B2525" i="5"/>
  <c r="E2524" i="5" s="1" a="1"/>
  <c r="E2524" i="5" s="1"/>
  <c r="B2821" i="5"/>
  <c r="E2820" i="5" s="1" a="1"/>
  <c r="E2820" i="5" s="1"/>
  <c r="B2885" i="5"/>
  <c r="E2884" i="5" s="1" a="1"/>
  <c r="E2884" i="5" s="1"/>
  <c r="B2949" i="5"/>
  <c r="E2948" i="5" s="1" a="1"/>
  <c r="E2948" i="5" s="1"/>
  <c r="B2240" i="5"/>
  <c r="E2239" i="5" s="1" a="1"/>
  <c r="E2239" i="5" s="1"/>
  <c r="B2304" i="5"/>
  <c r="E2303" i="5" s="1" a="1"/>
  <c r="E2303" i="5" s="1"/>
  <c r="B2368" i="5"/>
  <c r="E2367" i="5" s="1" a="1"/>
  <c r="E2367" i="5" s="1"/>
  <c r="B2432" i="5"/>
  <c r="E2431" i="5" s="1" a="1"/>
  <c r="E2431" i="5" s="1"/>
  <c r="B2496" i="5"/>
  <c r="E2495" i="5" s="1" a="1"/>
  <c r="E2495" i="5" s="1"/>
  <c r="B2778" i="5"/>
  <c r="E2777" i="5" s="1" a="1"/>
  <c r="E2777" i="5" s="1"/>
  <c r="B2842" i="5"/>
  <c r="E2841" i="5" s="1" a="1"/>
  <c r="E2841" i="5" s="1"/>
  <c r="B2906" i="5"/>
  <c r="E2905" i="5" s="1" a="1"/>
  <c r="E2905" i="5" s="1"/>
  <c r="B2970" i="5"/>
  <c r="E2969" i="5" s="1" a="1"/>
  <c r="E2969" i="5" s="1"/>
  <c r="B2567" i="5"/>
  <c r="E2566" i="5" s="1" a="1"/>
  <c r="E2566" i="5" s="1"/>
  <c r="B2599" i="5"/>
  <c r="B2631" i="5"/>
  <c r="E2630" i="5" s="1" a="1"/>
  <c r="E2630" i="5" s="1"/>
  <c r="B2663" i="5"/>
  <c r="E2662" i="5" s="1" a="1"/>
  <c r="E2662" i="5" s="1"/>
  <c r="B2695" i="5"/>
  <c r="E2694" i="5" s="1" a="1"/>
  <c r="E2694" i="5" s="1"/>
  <c r="B2727" i="5"/>
  <c r="E2726" i="5" s="1" a="1"/>
  <c r="E2726" i="5" s="1"/>
  <c r="B2759" i="5"/>
  <c r="E2758" i="5" s="1" a="1"/>
  <c r="E2758" i="5" s="1"/>
  <c r="B2819" i="5"/>
  <c r="E2818" i="5" s="1" a="1"/>
  <c r="E2818" i="5" s="1"/>
  <c r="B2883" i="5"/>
  <c r="E2882" i="5" s="1" a="1"/>
  <c r="E2882" i="5" s="1"/>
  <c r="B2947" i="5"/>
  <c r="E2946" i="5" s="1" a="1"/>
  <c r="E2946" i="5" s="1"/>
  <c r="B2203" i="5"/>
  <c r="E2202" i="5" s="1" a="1"/>
  <c r="E2202" i="5" s="1"/>
  <c r="B2246" i="5"/>
  <c r="E2245" i="5" s="1" a="1"/>
  <c r="E2245" i="5" s="1"/>
  <c r="B2310" i="5"/>
  <c r="E2309" i="5" s="1" a="1"/>
  <c r="E2309" i="5" s="1"/>
  <c r="B2374" i="5"/>
  <c r="B2438" i="5"/>
  <c r="E2437" i="5" s="1" a="1"/>
  <c r="E2437" i="5" s="1"/>
  <c r="B2502" i="5"/>
  <c r="E2501" i="5" s="1" a="1"/>
  <c r="E2501" i="5" s="1"/>
  <c r="B2780" i="5"/>
  <c r="E2779" i="5" s="1" a="1"/>
  <c r="E2779" i="5" s="1"/>
  <c r="B2844" i="5"/>
  <c r="E2843" i="5" s="1" a="1"/>
  <c r="E2843" i="5" s="1"/>
  <c r="B2908" i="5"/>
  <c r="E2907" i="5" s="1" a="1"/>
  <c r="E2907" i="5" s="1"/>
  <c r="B2972" i="5"/>
  <c r="E2971" i="5" s="1" a="1"/>
  <c r="E2971" i="5" s="1"/>
  <c r="B2996" i="5"/>
  <c r="E2995" i="5" s="1" a="1"/>
  <c r="E2995" i="5" s="1"/>
  <c r="B3012" i="5"/>
  <c r="E3011" i="5" s="1" a="1"/>
  <c r="E3011" i="5" s="1"/>
  <c r="B3058" i="5"/>
  <c r="E3057" i="5" s="1" a="1"/>
  <c r="E3057" i="5" s="1"/>
  <c r="B3122" i="5"/>
  <c r="E3121" i="5" s="1" a="1"/>
  <c r="E3121" i="5" s="1"/>
  <c r="B3186" i="5"/>
  <c r="E3185" i="5" s="1" a="1"/>
  <c r="E3185" i="5" s="1"/>
  <c r="B3250" i="5"/>
  <c r="B3291" i="5"/>
  <c r="E3290" i="5" s="1" a="1"/>
  <c r="E3290" i="5" s="1"/>
  <c r="B3033" i="5"/>
  <c r="E3032" i="5" s="1" a="1"/>
  <c r="E3032" i="5" s="1"/>
  <c r="B3097" i="5"/>
  <c r="E3096" i="5" s="1" a="1"/>
  <c r="E3096" i="5" s="1"/>
  <c r="B3161" i="5"/>
  <c r="E3160" i="5" s="1" a="1"/>
  <c r="E3160" i="5" s="1"/>
  <c r="B3225" i="5"/>
  <c r="E3224" i="5" s="1" a="1"/>
  <c r="E3224" i="5" s="1"/>
  <c r="B3317" i="5"/>
  <c r="E3316" i="5" s="1" a="1"/>
  <c r="E3316" i="5" s="1"/>
  <c r="B3060" i="5"/>
  <c r="E3059" i="5" s="1" a="1"/>
  <c r="E3059" i="5" s="1"/>
  <c r="B3124" i="5"/>
  <c r="E3123" i="5" s="1" a="1"/>
  <c r="E3123" i="5" s="1"/>
  <c r="B3188" i="5"/>
  <c r="E3187" i="5" s="1" a="1"/>
  <c r="E3187" i="5" s="1"/>
  <c r="B3252" i="5"/>
  <c r="E3251" i="5" s="1" a="1"/>
  <c r="E3251" i="5" s="1"/>
  <c r="B3292" i="5"/>
  <c r="B3035" i="5"/>
  <c r="E3034" i="5" s="1" a="1"/>
  <c r="E3034" i="5" s="1"/>
  <c r="B3099" i="5"/>
  <c r="E3098" i="5" s="1" a="1"/>
  <c r="E3098" i="5" s="1"/>
  <c r="B3163" i="5"/>
  <c r="E3162" i="5" s="1" a="1"/>
  <c r="E3162" i="5" s="1"/>
  <c r="B3227" i="5"/>
  <c r="B3315" i="5"/>
  <c r="E3314" i="5" s="1" a="1"/>
  <c r="E3314" i="5" s="1"/>
  <c r="B3348" i="5"/>
  <c r="B3364" i="5"/>
  <c r="E3363" i="5" s="1" a="1"/>
  <c r="E3363" i="5" s="1"/>
  <c r="B3686" i="5"/>
  <c r="E3685" i="5" s="1" a="1"/>
  <c r="E3685" i="5" s="1"/>
  <c r="B3415" i="5"/>
  <c r="B3479" i="5"/>
  <c r="E3478" i="5" s="1" a="1"/>
  <c r="E3478" i="5" s="1"/>
  <c r="B3543" i="5"/>
  <c r="E3542" i="5" s="1" a="1"/>
  <c r="E3542" i="5" s="1"/>
  <c r="B3607" i="5"/>
  <c r="E3606" i="5" s="1" a="1"/>
  <c r="E3606" i="5" s="1"/>
  <c r="B3695" i="5"/>
  <c r="E3694" i="5" s="1" a="1"/>
  <c r="E3694" i="5" s="1"/>
  <c r="B3422" i="5"/>
  <c r="B3486" i="5"/>
  <c r="E3485" i="5" s="1" a="1"/>
  <c r="E3485" i="5" s="1"/>
  <c r="B3550" i="5"/>
  <c r="E3549" i="5" s="1" a="1"/>
  <c r="E3549" i="5" s="1"/>
  <c r="B3614" i="5"/>
  <c r="E3613" i="5" s="1" a="1"/>
  <c r="E3613" i="5" s="1"/>
  <c r="B3690" i="5"/>
  <c r="E3689" i="5" s="1" a="1"/>
  <c r="E3689" i="5" s="1"/>
  <c r="B3417" i="5"/>
  <c r="E3416" i="5" s="1" a="1"/>
  <c r="E3416" i="5" s="1"/>
  <c r="B3481" i="5"/>
  <c r="E3480" i="5" s="1" a="1"/>
  <c r="E3480" i="5" s="1"/>
  <c r="B3545" i="5"/>
  <c r="E3544" i="5" s="1" a="1"/>
  <c r="E3544" i="5" s="1"/>
  <c r="B3609" i="5"/>
  <c r="E3608" i="5" s="1" a="1"/>
  <c r="E3608" i="5" s="1"/>
  <c r="B3691" i="5"/>
  <c r="B3680" i="5"/>
  <c r="B3744" i="5"/>
  <c r="B3808" i="5"/>
  <c r="E3807" i="5" s="1" a="1"/>
  <c r="E3807" i="5" s="1"/>
  <c r="B3872" i="5"/>
  <c r="B3954" i="5"/>
  <c r="E3953" i="5" s="1" a="1"/>
  <c r="E3953" i="5" s="1"/>
  <c r="B4018" i="5"/>
  <c r="E4017" i="5" s="1" a="1"/>
  <c r="E4017" i="5" s="1"/>
  <c r="B3775" i="5"/>
  <c r="B3839" i="5"/>
  <c r="B3909" i="5"/>
  <c r="E3908" i="5" s="1" a="1"/>
  <c r="E3908" i="5" s="1"/>
  <c r="B3983" i="5"/>
  <c r="E3982" i="5" s="1" a="1"/>
  <c r="E3982" i="5" s="1"/>
  <c r="B3730" i="5"/>
  <c r="B3794" i="5"/>
  <c r="E3793" i="5" s="1" a="1"/>
  <c r="E3793" i="5" s="1"/>
  <c r="B3858" i="5"/>
  <c r="B3944" i="5"/>
  <c r="E3943" i="5" s="1" a="1"/>
  <c r="E3943" i="5" s="1"/>
  <c r="B4008" i="5"/>
  <c r="B3721" i="5"/>
  <c r="E3720" i="5" s="1" a="1"/>
  <c r="E3720" i="5" s="1"/>
  <c r="B3785" i="5"/>
  <c r="E3784" i="5" s="1" a="1"/>
  <c r="E3784" i="5" s="1"/>
  <c r="B3849" i="5"/>
  <c r="E3848" i="5" s="1" a="1"/>
  <c r="E3848" i="5" s="1"/>
  <c r="B3933" i="5"/>
  <c r="E3932" i="5" s="1" a="1"/>
  <c r="E3932" i="5" s="1"/>
  <c r="B3997" i="5"/>
  <c r="E3996" i="5" s="1" a="1"/>
  <c r="E3996" i="5" s="1"/>
  <c r="B4033" i="5"/>
  <c r="B4065" i="5"/>
  <c r="E4064" i="5" s="1" a="1"/>
  <c r="E4064" i="5" s="1"/>
  <c r="B4169" i="5"/>
  <c r="E4168" i="5" s="1" a="1"/>
  <c r="E4168" i="5" s="1"/>
  <c r="B3920" i="5"/>
  <c r="B4183" i="5"/>
  <c r="E4182" i="5" s="1" a="1"/>
  <c r="E4182" i="5" s="1"/>
  <c r="B4060" i="5"/>
  <c r="E4059" i="5" s="1" a="1"/>
  <c r="E4059" i="5" s="1"/>
  <c r="B3902" i="5"/>
  <c r="E3901" i="5" s="1" a="1"/>
  <c r="E3901" i="5" s="1"/>
  <c r="B4147" i="5"/>
  <c r="E4146" i="5" s="1" a="1"/>
  <c r="E4146" i="5" s="1"/>
  <c r="B4227" i="5"/>
  <c r="B4266" i="5"/>
  <c r="B4298" i="5"/>
  <c r="B4330" i="5"/>
  <c r="B4362" i="5"/>
  <c r="E4361" i="5" s="1" a="1"/>
  <c r="E4361" i="5" s="1"/>
  <c r="B4110" i="5"/>
  <c r="B4174" i="5"/>
  <c r="B4238" i="5"/>
  <c r="B4293" i="5"/>
  <c r="B4325" i="5"/>
  <c r="B4357" i="5"/>
  <c r="E4356" i="5" s="1" a="1"/>
  <c r="E4356" i="5" s="1"/>
  <c r="B4100" i="5"/>
  <c r="B4164" i="5"/>
  <c r="E4163" i="5" s="1" a="1"/>
  <c r="E4163" i="5" s="1"/>
  <c r="B4228" i="5"/>
  <c r="B4381" i="5"/>
  <c r="E4380" i="5" s="1" a="1"/>
  <c r="E4380" i="5" s="1"/>
  <c r="B4391" i="5"/>
  <c r="B4419" i="5"/>
  <c r="E4418" i="5" s="1" a="1"/>
  <c r="E4418" i="5" s="1"/>
  <c r="B4472" i="5"/>
  <c r="B4536" i="5"/>
  <c r="B4600" i="5"/>
  <c r="B4435" i="5"/>
  <c r="E4434" i="5" s="1" a="1"/>
  <c r="E4434" i="5" s="1"/>
  <c r="B4499" i="5"/>
  <c r="E4498" i="5" s="1" a="1"/>
  <c r="E4498" i="5" s="1"/>
  <c r="B4563" i="5"/>
  <c r="B4627" i="5"/>
  <c r="E4626" i="5" s="1" a="1"/>
  <c r="E4626" i="5" s="1"/>
  <c r="B4482" i="5"/>
  <c r="E4481" i="5" s="1" a="1"/>
  <c r="E4481" i="5" s="1"/>
  <c r="B4546" i="5"/>
  <c r="E4545" i="5" s="1" a="1"/>
  <c r="E4545" i="5" s="1"/>
  <c r="B4610" i="5"/>
  <c r="E4609" i="5" s="1" a="1"/>
  <c r="E4609" i="5" s="1"/>
  <c r="B4441" i="5"/>
  <c r="E4440" i="5" s="1" a="1"/>
  <c r="E4440" i="5" s="1"/>
  <c r="B4505" i="5"/>
  <c r="E4504" i="5" s="1" a="1"/>
  <c r="E4504" i="5" s="1"/>
  <c r="B4569" i="5"/>
  <c r="E4568" i="5" s="1" a="1"/>
  <c r="E4568" i="5" s="1"/>
  <c r="B4633" i="5"/>
  <c r="B4717" i="5"/>
  <c r="E4716" i="5" s="1" a="1"/>
  <c r="E4716" i="5" s="1"/>
  <c r="B4692" i="5"/>
  <c r="E4691" i="5" s="1" a="1"/>
  <c r="E4691" i="5" s="1"/>
  <c r="B4775" i="5"/>
  <c r="B4703" i="5"/>
  <c r="E4702" i="5" s="1" a="1"/>
  <c r="E4702" i="5" s="1"/>
  <c r="B4748" i="5"/>
  <c r="E4747" i="5" s="1" a="1"/>
  <c r="E4747" i="5" s="1"/>
  <c r="B4651" i="5"/>
  <c r="E4650" i="5" s="1" a="1"/>
  <c r="E4650" i="5" s="1"/>
  <c r="B4694" i="5"/>
  <c r="E4693" i="5" s="1" a="1"/>
  <c r="E4693" i="5" s="1"/>
  <c r="B4777" i="5"/>
  <c r="E4776" i="5" s="1" a="1"/>
  <c r="E4776" i="5" s="1"/>
  <c r="B4848" i="5"/>
  <c r="E4847" i="5" s="1" a="1"/>
  <c r="E4847" i="5" s="1"/>
  <c r="B4853" i="5"/>
  <c r="E4852" i="5" s="1" a="1"/>
  <c r="E4852" i="5" s="1"/>
  <c r="B4854" i="5"/>
  <c r="B4835" i="5"/>
  <c r="E4835" i="5" s="1" a="1"/>
  <c r="E4835" i="5" s="1"/>
  <c r="B4913" i="5"/>
  <c r="E4912" i="5" s="1" a="1"/>
  <c r="E4912" i="5" s="1"/>
  <c r="B4899" i="5"/>
  <c r="B4873" i="5"/>
  <c r="B4859" i="5"/>
  <c r="B4956" i="5"/>
  <c r="E4955" i="5" s="1" a="1"/>
  <c r="E4955" i="5" s="1"/>
  <c r="B4976" i="5"/>
  <c r="E4975" i="5" s="1" a="1"/>
  <c r="E4975" i="5" s="1"/>
  <c r="B4989" i="5"/>
  <c r="E4988" i="5" s="1" a="1"/>
  <c r="E4988" i="5" s="1"/>
  <c r="B4992" i="5"/>
  <c r="E4991" i="5" s="1" a="1"/>
  <c r="E4991" i="5" s="1"/>
  <c r="B5023" i="5"/>
  <c r="E5022" i="5" s="1" a="1"/>
  <c r="E5022" i="5" s="1"/>
  <c r="H15" i="4"/>
  <c r="T14" i="4"/>
  <c r="S14" i="4"/>
  <c r="T13" i="4"/>
  <c r="S13" i="4"/>
  <c r="T12" i="4"/>
  <c r="S12" i="4"/>
  <c r="T11" i="4"/>
  <c r="S11" i="4"/>
  <c r="T10" i="4"/>
  <c r="S10" i="4"/>
  <c r="T9" i="4"/>
  <c r="S9" i="4"/>
  <c r="H9" i="4"/>
  <c r="T8" i="4"/>
  <c r="S8" i="4"/>
  <c r="T7" i="4"/>
  <c r="S7" i="4"/>
  <c r="T6" i="4"/>
  <c r="S6" i="4"/>
  <c r="H6" i="4"/>
  <c r="T5" i="4"/>
  <c r="S5" i="4"/>
  <c r="T4" i="4"/>
  <c r="S4" i="4"/>
  <c r="T3" i="4"/>
  <c r="S3" i="4"/>
  <c r="E1" i="4"/>
  <c r="E51" i="2"/>
  <c r="B51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Q24" i="2"/>
  <c r="M24" i="2" s="1"/>
  <c r="T23" i="2"/>
  <c r="S23" i="2"/>
  <c r="Q23" i="2"/>
  <c r="M23" i="2" s="1"/>
  <c r="T22" i="2"/>
  <c r="S22" i="2"/>
  <c r="Q22" i="2"/>
  <c r="M22" i="2" s="1"/>
  <c r="T21" i="2"/>
  <c r="S21" i="2"/>
  <c r="Q21" i="2"/>
  <c r="M21" i="2"/>
  <c r="T20" i="2"/>
  <c r="S20" i="2"/>
  <c r="Q20" i="2"/>
  <c r="M20" i="2" s="1"/>
  <c r="T19" i="2"/>
  <c r="S19" i="2"/>
  <c r="Q19" i="2"/>
  <c r="M19" i="2" s="1"/>
  <c r="T18" i="2"/>
  <c r="S18" i="2"/>
  <c r="T17" i="2"/>
  <c r="S17" i="2"/>
  <c r="T16" i="2"/>
  <c r="S16" i="2"/>
  <c r="T15" i="2"/>
  <c r="S15" i="2"/>
  <c r="L23" i="3"/>
  <c r="K19" i="2"/>
  <c r="K20" i="2"/>
  <c r="L20" i="3"/>
  <c r="K21" i="2"/>
  <c r="L21" i="3"/>
  <c r="K24" i="2"/>
  <c r="K22" i="2"/>
  <c r="L22" i="3"/>
  <c r="K23" i="2"/>
  <c r="L19" i="3"/>
  <c r="L24" i="3"/>
  <c r="E2422" i="5" l="1" a="1"/>
  <c r="E2422" i="5" s="1"/>
  <c r="E235" i="5" a="1"/>
  <c r="E235" i="5" s="1"/>
  <c r="E1390" i="5" a="1"/>
  <c r="E1390" i="5" s="1"/>
  <c r="E4547" i="5" a="1"/>
  <c r="E4547" i="5" s="1"/>
  <c r="E509" i="5" a="1"/>
  <c r="E509" i="5" s="1"/>
  <c r="E4658" i="5" a="1"/>
  <c r="E4658" i="5" s="1"/>
  <c r="E2071" i="5" a="1"/>
  <c r="E2071" i="5" s="1"/>
  <c r="E3019" i="5" a="1"/>
  <c r="E3019" i="5" s="1"/>
  <c r="E4213" i="5" a="1"/>
  <c r="E4213" i="5" s="1"/>
  <c r="E4050" i="5" a="1"/>
  <c r="E4050" i="5" s="1"/>
  <c r="E2951" i="5" a="1"/>
  <c r="E2951" i="5" s="1"/>
  <c r="E1668" i="5" a="1"/>
  <c r="E1668" i="5" s="1"/>
  <c r="E565" i="5" a="1"/>
  <c r="E565" i="5" s="1"/>
  <c r="E3510" i="5" a="1"/>
  <c r="E3510" i="5" s="1"/>
  <c r="E4200" i="5" a="1"/>
  <c r="E4200" i="5" s="1"/>
  <c r="E3725" i="5" a="1"/>
  <c r="E3725" i="5" s="1"/>
  <c r="E3357" i="5" a="1"/>
  <c r="E3357" i="5" s="1"/>
  <c r="E3120" i="5" a="1"/>
  <c r="E3120" i="5" s="1"/>
  <c r="E1080" i="5" a="1"/>
  <c r="E1080" i="5" s="1"/>
  <c r="E429" i="5" a="1"/>
  <c r="E429" i="5" s="1"/>
  <c r="E2489" i="5" a="1"/>
  <c r="E2489" i="5" s="1"/>
  <c r="E1430" i="5" a="1"/>
  <c r="E1430" i="5" s="1"/>
  <c r="E4764" i="5" a="1"/>
  <c r="E4764" i="5" s="1"/>
  <c r="E3223" i="5" a="1"/>
  <c r="E3223" i="5" s="1"/>
  <c r="E4342" i="5" a="1"/>
  <c r="E4342" i="5" s="1"/>
  <c r="E1254" i="5" a="1"/>
  <c r="E1254" i="5" s="1"/>
  <c r="E3450" i="5" a="1"/>
  <c r="E3450" i="5" s="1"/>
  <c r="E4811" i="5" a="1"/>
  <c r="E4811" i="5" s="1"/>
  <c r="E4407" i="5" a="1"/>
  <c r="E4407" i="5" s="1"/>
  <c r="E4114" i="5" a="1"/>
  <c r="E4114" i="5" s="1"/>
  <c r="E3082" i="5" a="1"/>
  <c r="E3082" i="5" s="1"/>
  <c r="E1595" i="5" a="1"/>
  <c r="E1595" i="5" s="1"/>
  <c r="E2676" i="5" a="1"/>
  <c r="E2676" i="5" s="1"/>
  <c r="E4784" i="5" a="1"/>
  <c r="E4784" i="5" s="1"/>
  <c r="E169" i="5" a="1"/>
  <c r="E169" i="5" s="1"/>
  <c r="E4735" i="5" a="1"/>
  <c r="E4735" i="5" s="1"/>
  <c r="E1415" i="5" a="1"/>
  <c r="E1415" i="5" s="1"/>
  <c r="E2500" i="5" a="1"/>
  <c r="E2500" i="5" s="1"/>
  <c r="E4318" i="5" a="1"/>
  <c r="E4318" i="5" s="1"/>
  <c r="E2364" i="5" a="1"/>
  <c r="E2364" i="5" s="1"/>
  <c r="E461" i="5" a="1"/>
  <c r="E461" i="5" s="1"/>
  <c r="E2227" i="5" a="1"/>
  <c r="E2227" i="5" s="1"/>
  <c r="E2992" i="5" a="1"/>
  <c r="E2992" i="5" s="1"/>
  <c r="E2473" i="5" a="1"/>
  <c r="E2473" i="5" s="1"/>
  <c r="E4087" i="5" a="1"/>
  <c r="E4087" i="5" s="1"/>
  <c r="E3095" i="5" a="1"/>
  <c r="E3095" i="5" s="1"/>
  <c r="E2041" i="5" a="1"/>
  <c r="E2041" i="5" s="1"/>
  <c r="E998" i="5" a="1"/>
  <c r="E998" i="5" s="1"/>
  <c r="E2296" i="5" a="1"/>
  <c r="E2296" i="5" s="1"/>
  <c r="E2935" i="5" a="1"/>
  <c r="E2935" i="5" s="1"/>
  <c r="E2692" i="5" a="1"/>
  <c r="E2692" i="5" s="1"/>
  <c r="E1087" i="5" a="1"/>
  <c r="E1087" i="5" s="1"/>
  <c r="E1326" i="5" a="1"/>
  <c r="E1326" i="5" s="1"/>
  <c r="E2767" i="5" a="1"/>
  <c r="E2767" i="5" s="1"/>
  <c r="E2258" i="5" a="1"/>
  <c r="E2258" i="5" s="1"/>
  <c r="E3931" i="5" a="1"/>
  <c r="E3931" i="5" s="1"/>
  <c r="E3960" i="5" a="1"/>
  <c r="E3960" i="5" s="1"/>
  <c r="E5042" i="5" a="1"/>
  <c r="E5042" i="5" s="1"/>
  <c r="E4283" i="5" a="1"/>
  <c r="E4283" i="5" s="1"/>
  <c r="E4099" i="5" a="1"/>
  <c r="E4099" i="5" s="1"/>
  <c r="E3174" i="5" a="1"/>
  <c r="E3174" i="5" s="1"/>
  <c r="E4268" i="5" a="1"/>
  <c r="E4268" i="5" s="1"/>
  <c r="E3722" i="5" a="1"/>
  <c r="E3722" i="5" s="1"/>
  <c r="E409" i="5" a="1"/>
  <c r="E409" i="5" s="1"/>
  <c r="E1753" i="5" a="1"/>
  <c r="E1753" i="5" s="1"/>
  <c r="E4500" i="5" a="1"/>
  <c r="E4500" i="5" s="1"/>
  <c r="E1699" i="5" a="1"/>
  <c r="E1699" i="5" s="1"/>
  <c r="E250" i="5" a="1"/>
  <c r="E250" i="5" s="1"/>
  <c r="E2498" i="5" a="1"/>
  <c r="E2498" i="5" s="1"/>
  <c r="E1035" i="5" a="1"/>
  <c r="E1035" i="5" s="1"/>
  <c r="E1070" i="5" a="1"/>
  <c r="E1070" i="5" s="1"/>
  <c r="E3067" i="5" a="1"/>
  <c r="E3067" i="5" s="1"/>
  <c r="E4715" i="5" a="1"/>
  <c r="E4715" i="5" s="1"/>
  <c r="E4981" i="5" a="1"/>
  <c r="E4981" i="5" s="1"/>
  <c r="E260" i="5" a="1"/>
  <c r="E260" i="5" s="1"/>
  <c r="E640" i="5" a="1"/>
  <c r="E640" i="5" s="1"/>
  <c r="E2109" i="5" a="1"/>
  <c r="E2109" i="5" s="1"/>
  <c r="E3748" i="5" a="1"/>
  <c r="E3748" i="5" s="1"/>
  <c r="E3572" i="5" a="1"/>
  <c r="E3572" i="5" s="1"/>
  <c r="E3319" i="5" a="1"/>
  <c r="E3319" i="5" s="1"/>
  <c r="E4038" i="5" a="1"/>
  <c r="E4038" i="5" s="1"/>
  <c r="E3110" i="5" a="1"/>
  <c r="E3110" i="5" s="1"/>
  <c r="E992" i="5" a="1"/>
  <c r="E992" i="5" s="1"/>
  <c r="E4189" i="5" a="1"/>
  <c r="E4189" i="5" s="1"/>
  <c r="E1920" i="5" a="1"/>
  <c r="E1920" i="5" s="1"/>
  <c r="E3573" i="5" a="1"/>
  <c r="E3573" i="5" s="1"/>
  <c r="E3693" i="5" a="1"/>
  <c r="E3693" i="5" s="1"/>
  <c r="E3402" i="5" a="1"/>
  <c r="E3402" i="5" s="1"/>
  <c r="E632" i="5" a="1"/>
  <c r="E632" i="5" s="1"/>
  <c r="E418" i="5" a="1"/>
  <c r="E418" i="5" s="1"/>
  <c r="E2539" i="5" a="1"/>
  <c r="E2539" i="5" s="1"/>
  <c r="E3781" i="5" a="1"/>
  <c r="E3781" i="5" s="1"/>
  <c r="E3561" i="5" a="1"/>
  <c r="E3561" i="5" s="1"/>
  <c r="E4045" i="5" a="1"/>
  <c r="E4045" i="5" s="1"/>
  <c r="E2598" i="5" a="1"/>
  <c r="E2598" i="5" s="1"/>
  <c r="E2518" i="5" a="1"/>
  <c r="E2518" i="5" s="1"/>
  <c r="E353" i="5" a="1"/>
  <c r="E353" i="5" s="1"/>
  <c r="E1971" i="5" a="1"/>
  <c r="E1971" i="5" s="1"/>
  <c r="E1805" i="5" a="1"/>
  <c r="E1805" i="5" s="1"/>
  <c r="E943" i="5" a="1"/>
  <c r="E943" i="5" s="1"/>
  <c r="E979" i="5" a="1"/>
  <c r="E979" i="5" s="1"/>
  <c r="E4336" i="5" a="1"/>
  <c r="E4336" i="5" s="1"/>
  <c r="E1434" i="5" a="1"/>
  <c r="E1434" i="5" s="1"/>
  <c r="E3537" i="5" a="1"/>
  <c r="E3537" i="5" s="1"/>
  <c r="E3826" i="5" a="1"/>
  <c r="E3826" i="5" s="1"/>
  <c r="E2835" i="5" a="1"/>
  <c r="E2835" i="5" s="1"/>
  <c r="E1364" i="5" a="1"/>
  <c r="E1364" i="5" s="1"/>
  <c r="E2410" i="5" a="1"/>
  <c r="E2410" i="5" s="1"/>
  <c r="E1244" i="5" a="1"/>
  <c r="E1244" i="5" s="1"/>
  <c r="E1741" i="5" a="1"/>
  <c r="E1741" i="5" s="1"/>
  <c r="E784" i="5" a="1"/>
  <c r="E784" i="5" s="1"/>
  <c r="E1350" i="5" a="1"/>
  <c r="E1350" i="5" s="1"/>
  <c r="E3056" i="5" a="1"/>
  <c r="E3056" i="5" s="1"/>
  <c r="E4314" i="5" a="1"/>
  <c r="E4314" i="5" s="1"/>
  <c r="E4304" i="5" a="1"/>
  <c r="E4304" i="5" s="1"/>
  <c r="E1178" i="5" a="1"/>
  <c r="E1178" i="5" s="1"/>
  <c r="E3473" i="5" a="1"/>
  <c r="E3473" i="5" s="1"/>
  <c r="E2808" i="5" a="1"/>
  <c r="E2808" i="5" s="1"/>
  <c r="E3429" i="5" a="1"/>
  <c r="E3429" i="5" s="1"/>
  <c r="E3762" i="5" a="1"/>
  <c r="E3762" i="5" s="1"/>
  <c r="E4713" i="5" a="1"/>
  <c r="E4713" i="5" s="1"/>
  <c r="E2459" i="5" a="1"/>
  <c r="E2459" i="5" s="1"/>
  <c r="E4512" i="5" a="1"/>
  <c r="E4512" i="5" s="1"/>
  <c r="E2276" i="5" a="1"/>
  <c r="E2276" i="5" s="1"/>
  <c r="E3975" i="5" a="1"/>
  <c r="E3975" i="5" s="1"/>
  <c r="E3448" i="5" a="1"/>
  <c r="E3448" i="5" s="1"/>
  <c r="E2722" i="5" a="1"/>
  <c r="E2722" i="5" s="1"/>
  <c r="E720" i="5" a="1"/>
  <c r="E720" i="5" s="1"/>
  <c r="E1316" i="5" a="1"/>
  <c r="E1316" i="5" s="1"/>
  <c r="E976" i="5" a="1"/>
  <c r="E976" i="5" s="1"/>
  <c r="E4554" i="5" a="1"/>
  <c r="E4554" i="5" s="1"/>
  <c r="E3567" i="5" a="1"/>
  <c r="E3567" i="5" s="1"/>
  <c r="E4948" i="5" a="1"/>
  <c r="E4948" i="5" s="1"/>
  <c r="E1370" i="5" a="1"/>
  <c r="E1370" i="5" s="1"/>
  <c r="E4272" i="5" a="1"/>
  <c r="E4272" i="5" s="1"/>
  <c r="E384" i="5" a="1"/>
  <c r="E384" i="5" s="1"/>
  <c r="E732" i="5" a="1"/>
  <c r="E732" i="5" s="1"/>
  <c r="E4282" i="5" a="1"/>
  <c r="E4282" i="5" s="1"/>
  <c r="E4373" i="5" a="1"/>
  <c r="E4373" i="5" s="1"/>
  <c r="E181" i="5" a="1"/>
  <c r="E181" i="5" s="1"/>
  <c r="E3715" i="5" a="1"/>
  <c r="E3715" i="5" s="1"/>
  <c r="E3710" i="5" a="1"/>
  <c r="E3710" i="5" s="1"/>
  <c r="E4365" i="5" a="1"/>
  <c r="E4365" i="5" s="1"/>
  <c r="E4926" i="5" a="1"/>
  <c r="E4926" i="5" s="1"/>
  <c r="E2281" i="5" a="1"/>
  <c r="E2281" i="5" s="1"/>
  <c r="E2327" i="5" a="1"/>
  <c r="E2327" i="5" s="1"/>
  <c r="E4831" i="5" a="1"/>
  <c r="E4831" i="5" s="1"/>
  <c r="E3300" i="5" a="1"/>
  <c r="E3300" i="5" s="1"/>
  <c r="E2182" i="5" a="1"/>
  <c r="E2182" i="5" s="1"/>
  <c r="E563" i="5" a="1"/>
  <c r="E563" i="5" s="1"/>
  <c r="E3151" i="5" a="1"/>
  <c r="E3151" i="5" s="1"/>
  <c r="E4832" i="5" a="1"/>
  <c r="E4832" i="5" s="1"/>
  <c r="E883" i="5" a="1"/>
  <c r="E883" i="5" s="1"/>
  <c r="E4196" i="5" a="1"/>
  <c r="E4196" i="5" s="1"/>
  <c r="E4341" i="5" a="1"/>
  <c r="E4341" i="5" s="1"/>
  <c r="E4301" i="5" a="1"/>
  <c r="E4301" i="5" s="1"/>
  <c r="E3961" i="5" a="1"/>
  <c r="E3961" i="5" s="1"/>
  <c r="E3743" i="5" a="1"/>
  <c r="E3743" i="5" s="1"/>
  <c r="E76" i="5" a="1"/>
  <c r="E76" i="5" s="1"/>
  <c r="E4993" i="5" a="1"/>
  <c r="E4993" i="5" s="1"/>
  <c r="E1539" i="5" a="1"/>
  <c r="E1539" i="5" s="1"/>
  <c r="E3066" i="5" a="1"/>
  <c r="E3066" i="5" s="1"/>
  <c r="E3859" i="5" a="1"/>
  <c r="E3859" i="5" s="1"/>
  <c r="E3482" i="5" a="1"/>
  <c r="E3482" i="5" s="1"/>
  <c r="E812" i="5" a="1"/>
  <c r="E812" i="5" s="1"/>
  <c r="E3331" i="5" a="1"/>
  <c r="E3331" i="5" s="1"/>
  <c r="E3311" i="5" a="1"/>
  <c r="E3311" i="5" s="1"/>
  <c r="E1423" i="5" a="1"/>
  <c r="E1423" i="5" s="1"/>
  <c r="E286" i="5" a="1"/>
  <c r="E286" i="5" s="1"/>
  <c r="E323" i="5" a="1"/>
  <c r="E323" i="5" s="1"/>
  <c r="E814" i="5" a="1"/>
  <c r="E814" i="5" s="1"/>
  <c r="E2470" i="5" a="1"/>
  <c r="E2470" i="5" s="1"/>
  <c r="E3679" i="5" a="1"/>
  <c r="E3679" i="5" s="1"/>
  <c r="E3980" i="5" a="1"/>
  <c r="E3980" i="5" s="1"/>
  <c r="E3791" i="5" a="1"/>
  <c r="E3791" i="5" s="1"/>
  <c r="E211" i="5" a="1"/>
  <c r="E211" i="5" s="1"/>
  <c r="E4247" i="5" a="1"/>
  <c r="E4247" i="5" s="1"/>
  <c r="E2710" i="5" a="1"/>
  <c r="E2710" i="5" s="1"/>
  <c r="E1460" i="5" a="1"/>
  <c r="E1460" i="5" s="1"/>
  <c r="E1973" i="5" a="1"/>
  <c r="E1973" i="5" s="1"/>
  <c r="E2369" i="5" a="1"/>
  <c r="E2369" i="5" s="1"/>
  <c r="E1942" i="5" a="1"/>
  <c r="E1942" i="5" s="1"/>
  <c r="E3477" i="5" a="1"/>
  <c r="E3477" i="5" s="1"/>
  <c r="E1584" i="5" a="1"/>
  <c r="E1584" i="5" s="1"/>
  <c r="E860" i="5" a="1"/>
  <c r="E860" i="5" s="1"/>
  <c r="E905" i="5" a="1"/>
  <c r="E905" i="5" s="1"/>
  <c r="E3409" i="5" a="1"/>
  <c r="E3409" i="5" s="1"/>
  <c r="E4915" i="5" a="1"/>
  <c r="E4915" i="5" s="1"/>
  <c r="E3753" i="5" a="1"/>
  <c r="E3753" i="5" s="1"/>
  <c r="E1381" i="5" a="1"/>
  <c r="E1381" i="5" s="1"/>
  <c r="E3865" i="5" a="1"/>
  <c r="E3865" i="5" s="1"/>
  <c r="E4688" i="5" a="1"/>
  <c r="E4688" i="5" s="1"/>
  <c r="E2420" i="5" a="1"/>
  <c r="E2420" i="5" s="1"/>
  <c r="E5039" i="5" a="1"/>
  <c r="E5039" i="5" s="1"/>
  <c r="E2096" i="5" a="1"/>
  <c r="E2096" i="5" s="1"/>
  <c r="E376" i="5" a="1"/>
  <c r="E376" i="5" s="1"/>
  <c r="E264" i="5" a="1"/>
  <c r="E264" i="5" s="1"/>
  <c r="E586" i="5" a="1"/>
  <c r="E586" i="5" s="1"/>
  <c r="E3323" i="5" a="1"/>
  <c r="E3323" i="5" s="1"/>
  <c r="E1454" i="5" a="1"/>
  <c r="E1454" i="5" s="1"/>
  <c r="E3381" i="5" a="1"/>
  <c r="E3381" i="5" s="1"/>
  <c r="E4840" i="5" a="1"/>
  <c r="E4840" i="5" s="1"/>
  <c r="E3086" i="5" a="1"/>
  <c r="E3086" i="5" s="1"/>
  <c r="E1253" i="5" a="1"/>
  <c r="E1253" i="5" s="1"/>
  <c r="E3737" i="5" a="1"/>
  <c r="E3737" i="5" s="1"/>
  <c r="E852" i="5" a="1"/>
  <c r="E852" i="5" s="1"/>
  <c r="E1337" i="5" a="1"/>
  <c r="E1337" i="5" s="1"/>
  <c r="E2356" i="5" a="1"/>
  <c r="E2356" i="5" s="1"/>
  <c r="E126" i="5" a="1"/>
  <c r="E126" i="5" s="1"/>
  <c r="E3741" i="5" a="1"/>
  <c r="E3741" i="5" s="1"/>
  <c r="E453" i="5" a="1"/>
  <c r="E453" i="5" s="1"/>
  <c r="E617" i="5" a="1"/>
  <c r="E617" i="5" s="1"/>
  <c r="E2872" i="5" a="1"/>
  <c r="E2872" i="5" s="1"/>
  <c r="E4269" i="5" a="1"/>
  <c r="E4269" i="5" s="1"/>
  <c r="E1354" i="5" a="1"/>
  <c r="E1354" i="5" s="1"/>
  <c r="E2076" i="5" a="1"/>
  <c r="E2076" i="5" s="1"/>
  <c r="E1678" i="5" a="1"/>
  <c r="E1678" i="5" s="1"/>
  <c r="E3249" i="5" a="1"/>
  <c r="E3249" i="5" s="1"/>
  <c r="E1734" i="5" a="1"/>
  <c r="E1734" i="5" s="1"/>
  <c r="E1268" i="5" a="1"/>
  <c r="E1268" i="5" s="1"/>
  <c r="E1440" i="5" a="1"/>
  <c r="E1440" i="5" s="1"/>
  <c r="E2585" i="5" a="1"/>
  <c r="E2585" i="5" s="1"/>
  <c r="E4371" i="5" a="1"/>
  <c r="E4371" i="5" s="1"/>
  <c r="E1098" i="5" a="1"/>
  <c r="E1098" i="5" s="1"/>
  <c r="E1198" i="5" a="1"/>
  <c r="E1198" i="5" s="1"/>
  <c r="E4597" i="5" a="1"/>
  <c r="E4597" i="5" s="1"/>
  <c r="E3175" i="5" a="1"/>
  <c r="E3175" i="5" s="1"/>
  <c r="E932" i="5" a="1"/>
  <c r="E932" i="5" s="1"/>
  <c r="E997" i="5" a="1"/>
  <c r="E997" i="5" s="1"/>
  <c r="E1400" i="5" a="1"/>
  <c r="E1400" i="5" s="1"/>
  <c r="E3810" i="5" a="1"/>
  <c r="E3810" i="5" s="1"/>
  <c r="E3226" i="5" a="1"/>
  <c r="E3226" i="5" s="1"/>
  <c r="E718" i="5" a="1"/>
  <c r="E718" i="5" s="1"/>
  <c r="E4897" i="5" a="1"/>
  <c r="E4897" i="5" s="1"/>
  <c r="E3806" i="5" a="1"/>
  <c r="E3806" i="5" s="1"/>
  <c r="E4152" i="5" a="1"/>
  <c r="E4152" i="5" s="1"/>
  <c r="E2359" i="5" a="1"/>
  <c r="E2359" i="5" s="1"/>
  <c r="E216" i="5" a="1"/>
  <c r="E216" i="5" s="1"/>
  <c r="E901" i="5" a="1"/>
  <c r="E901" i="5" s="1"/>
  <c r="E4412" i="5" a="1"/>
  <c r="E4412" i="5" s="1"/>
  <c r="E744" i="5" a="1"/>
  <c r="E744" i="5" s="1"/>
  <c r="E581" i="5" a="1"/>
  <c r="E581" i="5" s="1"/>
  <c r="E3439" i="5" a="1"/>
  <c r="E3439" i="5" s="1"/>
  <c r="E2552" i="5" a="1"/>
  <c r="E2552" i="5" s="1"/>
  <c r="E1247" i="5" a="1"/>
  <c r="E1247" i="5" s="1"/>
  <c r="E112" i="5" a="1"/>
  <c r="E112" i="5" s="1"/>
  <c r="E1134" i="5" a="1"/>
  <c r="E1134" i="5" s="1"/>
  <c r="E937" i="5" a="1"/>
  <c r="E937" i="5" s="1"/>
  <c r="E192" i="5" a="1"/>
  <c r="E192" i="5" s="1"/>
  <c r="E3344" i="5" a="1"/>
  <c r="E3344" i="5" s="1"/>
  <c r="E4595" i="5" a="1"/>
  <c r="E4595" i="5" s="1"/>
  <c r="E3502" i="5" a="1"/>
  <c r="E3502" i="5" s="1"/>
  <c r="E4385" i="5" a="1"/>
  <c r="E4385" i="5" s="1"/>
  <c r="E916" i="5" a="1"/>
  <c r="E916" i="5" s="1"/>
  <c r="E3466" i="5" a="1"/>
  <c r="E3466" i="5" s="1"/>
  <c r="E2648" i="5" a="1"/>
  <c r="E2648" i="5" s="1"/>
  <c r="E546" i="5" a="1"/>
  <c r="E546" i="5" s="1"/>
  <c r="E2115" i="5" a="1"/>
  <c r="E2115" i="5" s="1"/>
  <c r="E1279" i="5" a="1"/>
  <c r="E1279" i="5" s="1"/>
  <c r="E802" i="5" a="1"/>
  <c r="E802" i="5" s="1"/>
  <c r="E4142" i="5" a="1"/>
  <c r="E4142" i="5" s="1"/>
  <c r="E2984" i="5" a="1"/>
  <c r="E2984" i="5" s="1"/>
  <c r="E2195" i="5" a="1"/>
  <c r="E2195" i="5" s="1"/>
  <c r="E847" i="5" a="1"/>
  <c r="E847" i="5" s="1"/>
  <c r="E1764" i="5" a="1"/>
  <c r="E1764" i="5" s="1"/>
  <c r="E1478" i="5" a="1"/>
  <c r="E1478" i="5" s="1"/>
  <c r="E1838" i="5" a="1"/>
  <c r="E1838" i="5" s="1"/>
  <c r="E1582" i="5" a="1"/>
  <c r="E1582" i="5" s="1"/>
  <c r="E737" i="5" a="1"/>
  <c r="E737" i="5" s="1"/>
  <c r="E2285" i="5" a="1"/>
  <c r="E2285" i="5" s="1"/>
  <c r="E2640" i="5" a="1"/>
  <c r="E2640" i="5" s="1"/>
  <c r="E3497" i="5" a="1"/>
  <c r="E3497" i="5" s="1"/>
  <c r="E3141" i="5" a="1"/>
  <c r="E3141" i="5" s="1"/>
  <c r="E1263" i="5" a="1"/>
  <c r="E1263" i="5" s="1"/>
  <c r="E4347" i="5" a="1"/>
  <c r="E4347" i="5" s="1"/>
  <c r="E1837" i="5" a="1"/>
  <c r="E1837" i="5" s="1"/>
  <c r="E4977" i="5" a="1"/>
  <c r="E4977" i="5" s="1"/>
  <c r="E4647" i="5" a="1"/>
  <c r="E4647" i="5" s="1"/>
  <c r="E4795" i="5" a="1"/>
  <c r="E4795" i="5" s="1"/>
  <c r="E3016" i="5" a="1"/>
  <c r="E3016" i="5" s="1"/>
  <c r="E5024" i="5" a="1"/>
  <c r="E5024" i="5" s="1"/>
  <c r="E195" i="5" a="1"/>
  <c r="E195" i="5" s="1"/>
  <c r="E4218" i="5" a="1"/>
  <c r="E4218" i="5" s="1"/>
  <c r="E3093" i="5" a="1"/>
  <c r="E3093" i="5" s="1"/>
  <c r="E1790" i="5" a="1"/>
  <c r="E1790" i="5" s="1"/>
  <c r="E820" i="5" a="1"/>
  <c r="E820" i="5" s="1"/>
  <c r="E5037" i="5" a="1"/>
  <c r="E5037" i="5" s="1"/>
  <c r="E2108" i="5" a="1"/>
  <c r="E2108" i="5" s="1"/>
  <c r="E1510" i="5" a="1"/>
  <c r="E1510" i="5" s="1"/>
  <c r="E178" i="5" a="1"/>
  <c r="E178" i="5" s="1"/>
  <c r="E2300" i="5" a="1"/>
  <c r="E2300" i="5" s="1"/>
  <c r="E1710" i="5" a="1"/>
  <c r="E1710" i="5" s="1"/>
  <c r="E2600" i="5" a="1"/>
  <c r="E2600" i="5" s="1"/>
  <c r="E1295" i="5" a="1"/>
  <c r="E1295" i="5" s="1"/>
  <c r="E1901" i="5" a="1"/>
  <c r="E1901" i="5" s="1"/>
  <c r="E3952" i="5" a="1"/>
  <c r="E3952" i="5" s="1"/>
  <c r="E3045" i="5" a="1"/>
  <c r="E3045" i="5" s="1"/>
  <c r="E4323" i="5" a="1"/>
  <c r="E4323" i="5" s="1"/>
  <c r="E2560" i="5" a="1"/>
  <c r="E2560" i="5" s="1"/>
  <c r="E4061" i="5" a="1"/>
  <c r="E4061" i="5" s="1"/>
  <c r="E3643" i="5" a="1"/>
  <c r="E3643" i="5" s="1"/>
  <c r="E3356" i="5" a="1"/>
  <c r="E3356" i="5" s="1"/>
  <c r="E75" i="5" a="1"/>
  <c r="E75" i="5" s="1"/>
  <c r="E3776" i="5" a="1"/>
  <c r="E3776" i="5" s="1"/>
  <c r="E1961" i="5" a="1"/>
  <c r="E1961" i="5" s="1"/>
  <c r="E3724" i="5" a="1"/>
  <c r="E3724" i="5" s="1"/>
  <c r="E1918" i="5" a="1"/>
  <c r="E1918" i="5" s="1"/>
  <c r="E2343" i="5" a="1"/>
  <c r="E2343" i="5" s="1"/>
  <c r="E4005" i="5" a="1"/>
  <c r="E4005" i="5" s="1"/>
  <c r="E3125" i="5" a="1"/>
  <c r="E3125" i="5" s="1"/>
  <c r="E562" i="5" a="1"/>
  <c r="E562" i="5" s="1"/>
  <c r="E1439" i="5" a="1"/>
  <c r="E1439" i="5" s="1"/>
  <c r="E4149" i="5" a="1"/>
  <c r="E4149" i="5" s="1"/>
  <c r="E4892" i="5" a="1"/>
  <c r="E4892" i="5" s="1"/>
  <c r="E4334" i="5" a="1"/>
  <c r="E4334" i="5" s="1"/>
  <c r="E1039" i="5" a="1"/>
  <c r="E1039" i="5" s="1"/>
  <c r="E3669" i="5" a="1"/>
  <c r="E3669" i="5" s="1"/>
  <c r="E1550" i="5" a="1"/>
  <c r="E1550" i="5" s="1"/>
  <c r="E706" i="5" a="1"/>
  <c r="E706" i="5" s="1"/>
  <c r="E2483" i="5" a="1"/>
  <c r="E2483" i="5" s="1"/>
  <c r="G6" i="5"/>
  <c r="E3630" i="5" a="1"/>
  <c r="E3630" i="5" s="1"/>
  <c r="E2616" i="5" a="1"/>
  <c r="E2616" i="5" s="1"/>
  <c r="E1514" i="5" a="1"/>
  <c r="E1514" i="5" s="1"/>
  <c r="E892" i="5" a="1"/>
  <c r="E892" i="5" s="1"/>
  <c r="E3406" i="5" a="1"/>
  <c r="E3406" i="5" s="1"/>
  <c r="E767" i="5" a="1"/>
  <c r="E767" i="5" s="1"/>
  <c r="E3214" i="5" a="1"/>
  <c r="E3214" i="5" s="1"/>
  <c r="G5" i="5"/>
  <c r="E4275" i="5" a="1"/>
  <c r="E4275" i="5" s="1"/>
  <c r="E385" i="5" a="1"/>
  <c r="E385" i="5" s="1"/>
  <c r="E4483" i="5" a="1"/>
  <c r="E4483" i="5" s="1"/>
  <c r="E3276" i="5" a="1"/>
  <c r="E3276" i="5" s="1"/>
  <c r="E5005" i="5" a="1"/>
  <c r="E5005" i="5" s="1"/>
  <c r="E312" i="5" a="1"/>
  <c r="E312" i="5" s="1"/>
  <c r="E4161" i="5" a="1"/>
  <c r="E4161" i="5" s="1"/>
  <c r="E2988" i="5" a="1"/>
  <c r="E2988" i="5" s="1"/>
  <c r="E3820" i="5" a="1"/>
  <c r="E3820" i="5" s="1"/>
  <c r="E3374" i="5" a="1"/>
  <c r="E3374" i="5" s="1"/>
  <c r="E1662" i="5" a="1"/>
  <c r="E1662" i="5" s="1"/>
  <c r="E754" i="5" a="1"/>
  <c r="E754" i="5" s="1"/>
  <c r="E4154" i="5" a="1"/>
  <c r="E4154" i="5" s="1"/>
  <c r="E2744" i="5" a="1"/>
  <c r="E2744" i="5" s="1"/>
  <c r="E2349" i="5" a="1"/>
  <c r="E2349" i="5" s="1"/>
  <c r="E2760" i="5" a="1"/>
  <c r="E2760" i="5" s="1"/>
  <c r="E1222" i="5" a="1"/>
  <c r="E1222" i="5" s="1"/>
  <c r="E3334" i="5" a="1"/>
  <c r="E3334" i="5" s="1"/>
  <c r="E2720" i="5" a="1"/>
  <c r="E2720" i="5" s="1"/>
  <c r="E2728" i="5" a="1"/>
  <c r="E2728" i="5" s="1"/>
  <c r="E4938" i="5" a="1"/>
  <c r="E4938" i="5" s="1"/>
  <c r="E2191" i="5" a="1"/>
  <c r="E2191" i="5" s="1"/>
  <c r="E316" i="5" a="1"/>
  <c r="E316" i="5" s="1"/>
  <c r="E3945" i="5" a="1"/>
  <c r="E3945" i="5" s="1"/>
  <c r="E2845" i="5" a="1"/>
  <c r="E2845" i="5" s="1"/>
  <c r="E3936" i="5" a="1"/>
  <c r="E3936" i="5" s="1"/>
  <c r="E4339" i="5" a="1"/>
  <c r="E4339" i="5" s="1"/>
  <c r="E3534" i="5" a="1"/>
  <c r="E3534" i="5" s="1"/>
  <c r="E2486" i="5" a="1"/>
  <c r="E2486" i="5" s="1"/>
  <c r="E4527" i="5" a="1"/>
  <c r="E4527" i="5" s="1"/>
  <c r="E3708" i="5" a="1"/>
  <c r="E3708" i="5" s="1"/>
  <c r="E2403" i="5" a="1"/>
  <c r="E2403" i="5" s="1"/>
  <c r="E505" i="5" a="1"/>
  <c r="E505" i="5" s="1"/>
  <c r="E559" i="5" a="1"/>
  <c r="E559" i="5" s="1"/>
  <c r="E4537" i="5" a="1"/>
  <c r="E4537" i="5" s="1"/>
  <c r="E1023" i="5" a="1"/>
  <c r="E1023" i="5" s="1"/>
  <c r="E4294" i="5" a="1"/>
  <c r="E4294" i="5" s="1"/>
  <c r="E3302" i="5" a="1"/>
  <c r="E3302" i="5" s="1"/>
  <c r="E1231" i="5" a="1"/>
  <c r="E1231" i="5" s="1"/>
  <c r="E4531" i="5" a="1"/>
  <c r="E4531" i="5" s="1"/>
  <c r="E3244" i="5" a="1"/>
  <c r="E3244" i="5" s="1"/>
  <c r="L25" i="3"/>
  <c r="E642" i="5" a="1"/>
  <c r="E642" i="5" s="1"/>
  <c r="E4910" i="5" a="1"/>
  <c r="E4910" i="5" s="1"/>
  <c r="E3360" i="5" a="1"/>
  <c r="E3360" i="5" s="1"/>
  <c r="E2268" i="5" a="1"/>
  <c r="E2268" i="5" s="1"/>
  <c r="E1546" i="5" a="1"/>
  <c r="E1546" i="5" s="1"/>
  <c r="E1526" i="5" a="1"/>
  <c r="E1526" i="5" s="1"/>
  <c r="E3845" i="5" a="1"/>
  <c r="E3845" i="5" s="1"/>
  <c r="E4826" i="5" a="1"/>
  <c r="E4826" i="5" s="1"/>
  <c r="E4041" i="5" a="1"/>
  <c r="E4041" i="5" s="1"/>
  <c r="E2387" i="5" a="1"/>
  <c r="E2387" i="5" s="1"/>
  <c r="E4575" i="5" a="1"/>
  <c r="E4575" i="5" s="1"/>
  <c r="E2584" i="5" a="1"/>
  <c r="E2584" i="5" s="1"/>
  <c r="E4511" i="5" a="1"/>
  <c r="E4511" i="5" s="1"/>
  <c r="E2632" i="5" a="1"/>
  <c r="E2632" i="5" s="1"/>
  <c r="E4363" i="5" a="1"/>
  <c r="E4363" i="5" s="1"/>
  <c r="E3905" i="5" a="1"/>
  <c r="E3905" i="5" s="1"/>
  <c r="E3989" i="5" a="1"/>
  <c r="E3989" i="5" s="1"/>
  <c r="E3109" i="5" a="1"/>
  <c r="E3109" i="5" s="1"/>
  <c r="E1318" i="5" a="1"/>
  <c r="E1318" i="5" s="1"/>
  <c r="E1115" i="5" a="1"/>
  <c r="E1115" i="5" s="1"/>
  <c r="E966" i="5" a="1"/>
  <c r="E966" i="5" s="1"/>
  <c r="E2127" i="5" a="1"/>
  <c r="E2127" i="5" s="1"/>
  <c r="E4222" i="5" a="1"/>
  <c r="E4222" i="5" s="1"/>
  <c r="E2199" i="5" a="1"/>
  <c r="E2199" i="5" s="1"/>
  <c r="E1482" i="5" a="1"/>
  <c r="E1482" i="5" s="1"/>
  <c r="E4743" i="5" a="1"/>
  <c r="E4743" i="5" s="1"/>
  <c r="E2320" i="5" a="1"/>
  <c r="E2320" i="5" s="1"/>
  <c r="E79" i="5" a="1"/>
  <c r="E79" i="5" s="1"/>
  <c r="E3852" i="5" a="1"/>
  <c r="E3852" i="5" s="1"/>
  <c r="E4457" i="5" a="1"/>
  <c r="E4457" i="5" s="1"/>
  <c r="E2592" i="5" a="1"/>
  <c r="E2592" i="5" s="1"/>
  <c r="E123" i="5" a="1"/>
  <c r="E123" i="5" s="1"/>
  <c r="E206" i="5" a="1"/>
  <c r="E206" i="5" s="1"/>
  <c r="E610" i="5" a="1"/>
  <c r="E610" i="5" s="1"/>
  <c r="E4518" i="5" a="1"/>
  <c r="E4518" i="5" s="1"/>
  <c r="E2656" i="5" a="1"/>
  <c r="E2656" i="5" s="1"/>
  <c r="E908" i="5" a="1"/>
  <c r="E908" i="5" s="1"/>
  <c r="E4720" i="5" a="1"/>
  <c r="E4720" i="5" s="1"/>
  <c r="E2664" i="5" a="1"/>
  <c r="E2664" i="5" s="1"/>
  <c r="E975" i="5" a="1"/>
  <c r="E975" i="5" s="1"/>
  <c r="E3396" i="5" a="1"/>
  <c r="E3396" i="5" s="1"/>
  <c r="E1929" i="5" a="1"/>
  <c r="E1929" i="5" s="1"/>
  <c r="E4534" i="5" a="1"/>
  <c r="E4534" i="5" s="1"/>
  <c r="E1272" i="5" a="1"/>
  <c r="E1272" i="5" s="1"/>
  <c r="E1766" i="5" a="1"/>
  <c r="E1766" i="5" s="1"/>
  <c r="E650" i="5" a="1"/>
  <c r="E650" i="5" s="1"/>
  <c r="E878" i="5" a="1"/>
  <c r="E878" i="5" s="1"/>
  <c r="E3857" i="5" a="1"/>
  <c r="E3857" i="5" s="1"/>
  <c r="E2254" i="5" a="1"/>
  <c r="E2254" i="5" s="1"/>
  <c r="E980" i="5" a="1"/>
  <c r="E980" i="5" s="1"/>
  <c r="E3209" i="5" a="1"/>
  <c r="E3209" i="5" s="1"/>
  <c r="E1317" i="5" a="1"/>
  <c r="E1317" i="5" s="1"/>
  <c r="E2444" i="5" a="1"/>
  <c r="E2444" i="5" s="1"/>
  <c r="E5019" i="5" a="1"/>
  <c r="E5019" i="5" s="1"/>
  <c r="E4789" i="5" a="1"/>
  <c r="E4789" i="5" s="1"/>
  <c r="E2163" i="5" a="1"/>
  <c r="E2163" i="5" s="1"/>
  <c r="E1204" i="5" a="1"/>
  <c r="E1204" i="5" s="1"/>
  <c r="E774" i="5" a="1"/>
  <c r="E774" i="5" s="1"/>
  <c r="E3203" i="5" a="1"/>
  <c r="E3203" i="5" s="1"/>
  <c r="E4951" i="5" a="1"/>
  <c r="E4951" i="5" s="1"/>
  <c r="E3312" i="5" a="1"/>
  <c r="E3312" i="5" s="1"/>
  <c r="E1977" i="5" a="1"/>
  <c r="E1977" i="5" s="1"/>
  <c r="E2712" i="5" a="1"/>
  <c r="E2712" i="5" s="1"/>
  <c r="E159" i="5" a="1"/>
  <c r="E159" i="5" s="1"/>
  <c r="E742" i="5" a="1"/>
  <c r="E742" i="5" s="1"/>
  <c r="E257" i="5" a="1"/>
  <c r="E257" i="5" s="1"/>
  <c r="E3706" i="5" a="1"/>
  <c r="E3706" i="5" s="1"/>
  <c r="E970" i="5" a="1"/>
  <c r="E970" i="5" s="1"/>
  <c r="E4395" i="5" a="1"/>
  <c r="E4395" i="5" s="1"/>
  <c r="E3742" i="5" a="1"/>
  <c r="E3742" i="5" s="1"/>
  <c r="E1756" i="5" a="1"/>
  <c r="E1756" i="5" s="1"/>
  <c r="E2554" i="5" a="1"/>
  <c r="E2554" i="5" s="1"/>
  <c r="E116" i="5" a="1"/>
  <c r="E116" i="5" s="1"/>
  <c r="E3370" i="5" a="1"/>
  <c r="E3370" i="5" s="1"/>
  <c r="E347" i="5" a="1"/>
  <c r="E347" i="5" s="1"/>
  <c r="E1171" i="5" a="1"/>
  <c r="E1171" i="5" s="1"/>
  <c r="E3413" i="5" a="1"/>
  <c r="E3413" i="5" s="1"/>
  <c r="E156" i="5" a="1"/>
  <c r="E156" i="5" s="1"/>
  <c r="E4316" i="5" a="1"/>
  <c r="E4316" i="5" s="1"/>
  <c r="E383" i="5" a="1"/>
  <c r="E383" i="5" s="1"/>
  <c r="E3850" i="5" a="1"/>
  <c r="E3850" i="5" s="1"/>
  <c r="E3133" i="5" a="1"/>
  <c r="E3133" i="5" s="1"/>
  <c r="E1879" i="5" a="1"/>
  <c r="E1879" i="5" s="1"/>
  <c r="E3410" i="5" a="1"/>
  <c r="E3410" i="5" s="1"/>
  <c r="E1340" i="5" a="1"/>
  <c r="E1340" i="5" s="1"/>
  <c r="E593" i="5" a="1"/>
  <c r="E593" i="5" s="1"/>
  <c r="E3773" i="5" a="1"/>
  <c r="E3773" i="5" s="1"/>
  <c r="E4220" i="5" a="1"/>
  <c r="E4220" i="5" s="1"/>
  <c r="E1955" i="5" a="1"/>
  <c r="E1955" i="5" s="1"/>
  <c r="E2406" i="5" a="1"/>
  <c r="E2406" i="5" s="1"/>
  <c r="E1628" i="5" a="1"/>
  <c r="E1628" i="5" s="1"/>
  <c r="E1376" i="5" a="1"/>
  <c r="E1376" i="5" s="1"/>
  <c r="E3332" i="5" a="1"/>
  <c r="E3332" i="5" s="1"/>
  <c r="E782" i="5" a="1"/>
  <c r="E782" i="5" s="1"/>
  <c r="E1114" i="5" a="1"/>
  <c r="E1114" i="5" s="1"/>
  <c r="E1924" i="5" a="1"/>
  <c r="E1924" i="5" s="1"/>
  <c r="E4918" i="5" a="1"/>
  <c r="E4918" i="5" s="1"/>
  <c r="E2038" i="5" a="1"/>
  <c r="E2038" i="5" s="1"/>
  <c r="E1989" i="5" a="1"/>
  <c r="E1989" i="5" s="1"/>
  <c r="E948" i="5" a="1"/>
  <c r="E948" i="5" s="1"/>
  <c r="E3974" i="5" a="1"/>
  <c r="E3974" i="5" s="1"/>
  <c r="E1898" i="5" a="1"/>
  <c r="E1898" i="5" s="1"/>
  <c r="E2756" i="5" a="1"/>
  <c r="E2756" i="5" s="1"/>
  <c r="E2407" i="5" a="1"/>
  <c r="E2407" i="5" s="1"/>
  <c r="E1743" i="5" a="1"/>
  <c r="E1743" i="5" s="1"/>
  <c r="E3483" i="5" a="1"/>
  <c r="E3483" i="5" s="1"/>
  <c r="E2713" i="5" a="1"/>
  <c r="E2713" i="5" s="1"/>
  <c r="E449" i="5" a="1"/>
  <c r="E449" i="5" s="1"/>
  <c r="E810" i="5" a="1"/>
  <c r="E810" i="5" s="1"/>
  <c r="E2248" i="5" a="1"/>
  <c r="E2248" i="5" s="1"/>
  <c r="E4968" i="5" a="1"/>
  <c r="E4968" i="5" s="1"/>
  <c r="E1926" i="5" a="1"/>
  <c r="E1926" i="5" s="1"/>
  <c r="E2308" i="5" a="1"/>
  <c r="E2308" i="5" s="1"/>
  <c r="E4723" i="5" a="1"/>
  <c r="E4723" i="5" s="1"/>
  <c r="E3424" i="5" a="1"/>
  <c r="E3424" i="5" s="1"/>
  <c r="E1180" i="5" a="1"/>
  <c r="E1180" i="5" s="1"/>
  <c r="E3881" i="5" a="1"/>
  <c r="E3881" i="5" s="1"/>
  <c r="E2700" i="5" a="1"/>
  <c r="E2700" i="5" s="1"/>
  <c r="E1834" i="5" a="1"/>
  <c r="E1834" i="5" s="1"/>
  <c r="E244" i="5" a="1"/>
  <c r="E244" i="5" s="1"/>
  <c r="E1631" i="5" a="1"/>
  <c r="E1631" i="5" s="1"/>
  <c r="E4589" i="5" a="1"/>
  <c r="E4589" i="5" s="1"/>
  <c r="E3882" i="5" a="1"/>
  <c r="E3882" i="5" s="1"/>
  <c r="E1862" i="5" a="1"/>
  <c r="E1862" i="5" s="1"/>
  <c r="E1842" i="5" a="1"/>
  <c r="E1842" i="5" s="1"/>
  <c r="E4092" i="5" a="1"/>
  <c r="E4092" i="5" s="1"/>
  <c r="E3009" i="5" a="1"/>
  <c r="E3009" i="5" s="1"/>
  <c r="E4925" i="5" a="1"/>
  <c r="E4925" i="5" s="1"/>
  <c r="E4012" i="5" a="1"/>
  <c r="E4012" i="5" s="1"/>
  <c r="E4772" i="5" a="1"/>
  <c r="E4772" i="5" s="1"/>
  <c r="E2020" i="5" a="1"/>
  <c r="E2020" i="5" s="1"/>
  <c r="E4286" i="5" a="1"/>
  <c r="E4286" i="5" s="1"/>
  <c r="E1831" i="5" a="1"/>
  <c r="E1831" i="5" s="1"/>
  <c r="E634" i="5" a="1"/>
  <c r="E634" i="5" s="1"/>
  <c r="E3942" i="5" a="1"/>
  <c r="E3942" i="5" s="1"/>
  <c r="E2176" i="5" a="1"/>
  <c r="E2176" i="5" s="1"/>
  <c r="E1951" i="5" a="1"/>
  <c r="E1951" i="5" s="1"/>
  <c r="E3634" i="5" a="1"/>
  <c r="E3634" i="5" s="1"/>
  <c r="E4996" i="5" a="1"/>
  <c r="E4996" i="5" s="1"/>
  <c r="E68" i="5" a="1"/>
  <c r="E68" i="5" s="1"/>
  <c r="E2340" i="5" a="1"/>
  <c r="E2340" i="5" s="1"/>
  <c r="E4032" i="5" a="1"/>
  <c r="E4032" i="5" s="1"/>
  <c r="E486" i="5" a="1"/>
  <c r="E486" i="5" s="1"/>
  <c r="E3705" i="5" a="1"/>
  <c r="E3705" i="5" s="1"/>
  <c r="E3665" i="5" a="1"/>
  <c r="E3665" i="5" s="1"/>
  <c r="E1851" i="5" a="1"/>
  <c r="E1851" i="5" s="1"/>
  <c r="E4076" i="5" a="1"/>
  <c r="E4076" i="5" s="1"/>
  <c r="E2052" i="5" a="1"/>
  <c r="E2052" i="5" s="1"/>
  <c r="E1136" i="5" a="1"/>
  <c r="E1136" i="5" s="1"/>
  <c r="E233" i="5" a="1"/>
  <c r="E233" i="5" s="1"/>
  <c r="E3688" i="5" a="1"/>
  <c r="E3688" i="5" s="1"/>
  <c r="E2335" i="5" a="1"/>
  <c r="E2335" i="5" s="1"/>
  <c r="E2123" i="5" a="1"/>
  <c r="E2123" i="5" s="1"/>
  <c r="E813" i="5" a="1"/>
  <c r="E813" i="5" s="1"/>
  <c r="E3860" i="5" a="1"/>
  <c r="E3860" i="5" s="1"/>
  <c r="E2855" i="5" a="1"/>
  <c r="E2855" i="5" s="1"/>
  <c r="E2516" i="5" a="1"/>
  <c r="E2516" i="5" s="1"/>
  <c r="E3182" i="5" a="1"/>
  <c r="E3182" i="5" s="1"/>
  <c r="E45" i="5" a="1"/>
  <c r="E45" i="5" s="1"/>
  <c r="E3158" i="5" a="1"/>
  <c r="E3158" i="5" s="1"/>
  <c r="E1168" i="5" a="1"/>
  <c r="E1168" i="5" s="1"/>
  <c r="E1666" i="5" a="1"/>
  <c r="E1666" i="5" s="1"/>
  <c r="E1780" i="5" a="1"/>
  <c r="E1780" i="5" s="1"/>
  <c r="E959" i="5" a="1"/>
  <c r="E959" i="5" s="1"/>
  <c r="E4662" i="5" a="1"/>
  <c r="E4662" i="5" s="1"/>
  <c r="E2706" i="5" a="1"/>
  <c r="E2706" i="5" s="1"/>
  <c r="E2048" i="5" a="1"/>
  <c r="E2048" i="5" s="1"/>
  <c r="E2425" i="5" a="1"/>
  <c r="E2425" i="5" s="1"/>
  <c r="E1072" i="5" a="1"/>
  <c r="E1072" i="5" s="1"/>
  <c r="E2059" i="5" a="1"/>
  <c r="E2059" i="5" s="1"/>
  <c r="E1677" i="5" a="1"/>
  <c r="E1677" i="5" s="1"/>
  <c r="E2596" i="5" a="1"/>
  <c r="E2596" i="5" s="1"/>
  <c r="E321" i="5" a="1"/>
  <c r="E321" i="5" s="1"/>
  <c r="E1078" i="5" a="1"/>
  <c r="E1078" i="5" s="1"/>
  <c r="E1259" i="5" a="1"/>
  <c r="E1259" i="5" s="1"/>
  <c r="E626" i="5" a="1"/>
  <c r="E626" i="5" s="1"/>
  <c r="E1290" i="5" a="1"/>
  <c r="E1290" i="5" s="1"/>
  <c r="E4906" i="5" a="1"/>
  <c r="E4906" i="5" s="1"/>
  <c r="E4292" i="5" a="1"/>
  <c r="E4292" i="5" s="1"/>
  <c r="E3871" i="5" a="1"/>
  <c r="E3871" i="5" s="1"/>
  <c r="E4542" i="5" a="1"/>
  <c r="E4542" i="5" s="1"/>
  <c r="E2068" i="5" a="1"/>
  <c r="E2068" i="5" s="1"/>
  <c r="E4197" i="5" a="1"/>
  <c r="E4197" i="5" s="1"/>
  <c r="E2450" i="5" a="1"/>
  <c r="E2450" i="5" s="1"/>
  <c r="E411" i="5" a="1"/>
  <c r="E411" i="5" s="1"/>
  <c r="E2075" i="5" a="1"/>
  <c r="E2075" i="5" s="1"/>
  <c r="E3149" i="5" a="1"/>
  <c r="E3149" i="5" s="1"/>
  <c r="E4916" i="5" a="1"/>
  <c r="E4916" i="5" s="1"/>
  <c r="E3201" i="5" a="1"/>
  <c r="E3201" i="5" s="1"/>
  <c r="E607" i="5" a="1"/>
  <c r="E607" i="5" s="1"/>
  <c r="E281" i="5" a="1"/>
  <c r="E281" i="5" s="1"/>
  <c r="E973" i="5" a="1"/>
  <c r="E973" i="5" s="1"/>
  <c r="E358" i="5" a="1"/>
  <c r="E358" i="5" s="1"/>
  <c r="E2936" i="5" a="1"/>
  <c r="E2936" i="5" s="1"/>
  <c r="E63" i="5" a="1"/>
  <c r="E63" i="5" s="1"/>
  <c r="E2164" i="5" a="1"/>
  <c r="E2164" i="5" s="1"/>
  <c r="E2746" i="5" a="1"/>
  <c r="E2746" i="5" s="1"/>
  <c r="E661" i="5" a="1"/>
  <c r="E661" i="5" s="1"/>
  <c r="E1931" i="5" a="1"/>
  <c r="E1931" i="5" s="1"/>
  <c r="E1783" i="5" a="1"/>
  <c r="E1783" i="5" s="1"/>
  <c r="E1246" i="5" a="1"/>
  <c r="E1246" i="5" s="1"/>
  <c r="E3874" i="5" a="1"/>
  <c r="E3874" i="5" s="1"/>
  <c r="E377" i="5" a="1"/>
  <c r="E377" i="5" s="1"/>
  <c r="E3646" i="5" a="1"/>
  <c r="E3646" i="5" s="1"/>
  <c r="E167" i="5" a="1"/>
  <c r="E167" i="5" s="1"/>
  <c r="E4234" i="5" a="1"/>
  <c r="E4234" i="5" s="1"/>
  <c r="E1521" i="5" a="1"/>
  <c r="E1521" i="5" s="1"/>
  <c r="E925" i="5" a="1"/>
  <c r="E925" i="5" s="1"/>
  <c r="E2173" i="5" a="1"/>
  <c r="E2173" i="5" s="1"/>
  <c r="E3021" i="5" a="1"/>
  <c r="E3021" i="5" s="1"/>
  <c r="E1985" i="5" a="1"/>
  <c r="E1985" i="5" s="1"/>
  <c r="E3324" i="5" a="1"/>
  <c r="E3324" i="5" s="1"/>
  <c r="E4799" i="5" a="1"/>
  <c r="E4799" i="5" s="1"/>
  <c r="E2251" i="5" a="1"/>
  <c r="E2251" i="5" s="1"/>
  <c r="E1894" i="5" a="1"/>
  <c r="E1894" i="5" s="1"/>
  <c r="E2670" i="5" a="1"/>
  <c r="E2670" i="5" s="1"/>
  <c r="E697" i="5" a="1"/>
  <c r="E697" i="5" s="1"/>
  <c r="E3595" i="5" a="1"/>
  <c r="E3595" i="5" s="1"/>
  <c r="E831" i="5" a="1"/>
  <c r="E831" i="5" s="1"/>
  <c r="E3031" i="5" a="1"/>
  <c r="E3031" i="5" s="1"/>
  <c r="E1371" i="5" a="1"/>
  <c r="E1371" i="5" s="1"/>
  <c r="E2688" i="5" a="1"/>
  <c r="E2688" i="5" s="1"/>
  <c r="E339" i="5" a="1"/>
  <c r="E339" i="5" s="1"/>
  <c r="E2381" i="5" a="1"/>
  <c r="E2381" i="5" s="1"/>
  <c r="E485" i="5" a="1"/>
  <c r="E485" i="5" s="1"/>
  <c r="E1645" i="5" a="1"/>
  <c r="E1645" i="5" s="1"/>
  <c r="E4377" i="5" a="1"/>
  <c r="E4377" i="5" s="1"/>
  <c r="E1327" i="5" a="1"/>
  <c r="E1327" i="5" s="1"/>
  <c r="E2031" i="5" a="1"/>
  <c r="E2031" i="5" s="1"/>
  <c r="E1071" i="5" a="1"/>
  <c r="E1071" i="5" s="1"/>
  <c r="E4128" i="5" a="1"/>
  <c r="E4128" i="5" s="1"/>
  <c r="E3470" i="5" a="1"/>
  <c r="E3470" i="5" s="1"/>
  <c r="I12" i="4"/>
  <c r="E3385" i="5" a="1"/>
  <c r="E3385" i="5" s="1"/>
  <c r="E4710" i="5" a="1"/>
  <c r="E4710" i="5" s="1"/>
  <c r="E4493" i="5" a="1"/>
  <c r="E4493" i="5" s="1"/>
  <c r="E4857" i="5" a="1"/>
  <c r="E4857" i="5" s="1"/>
  <c r="E839" i="5" a="1"/>
  <c r="E839" i="5" s="1"/>
  <c r="E5032" i="5" a="1"/>
  <c r="E5032" i="5" s="1"/>
  <c r="E3767" i="5" a="1"/>
  <c r="E3767" i="5" s="1"/>
  <c r="E403" i="5" a="1"/>
  <c r="E403" i="5" s="1"/>
  <c r="E4768" i="5" a="1"/>
  <c r="E4768" i="5" s="1"/>
  <c r="E308" i="5" a="1"/>
  <c r="E308" i="5" s="1"/>
  <c r="E4872" i="5" a="1"/>
  <c r="E4872" i="5" s="1"/>
  <c r="E2353" i="5" a="1"/>
  <c r="E2353" i="5" s="1"/>
  <c r="E4822" i="5" a="1"/>
  <c r="E4822" i="5" s="1"/>
  <c r="E1558" i="5" a="1"/>
  <c r="E1558" i="5" s="1"/>
  <c r="E144" i="5" a="1"/>
  <c r="E144" i="5" s="1"/>
  <c r="E4550" i="5" a="1"/>
  <c r="E4550" i="5" s="1"/>
  <c r="E1603" i="5" a="1"/>
  <c r="E1603" i="5" s="1"/>
  <c r="E5002" i="5" a="1"/>
  <c r="E5002" i="5" s="1"/>
  <c r="E1360" i="5" a="1"/>
  <c r="E1360" i="5" s="1"/>
  <c r="E142" i="5" a="1"/>
  <c r="E142" i="5" s="1"/>
  <c r="E4935" i="5" a="1"/>
  <c r="E4935" i="5" s="1"/>
  <c r="E1870" i="5" a="1"/>
  <c r="E1870" i="5" s="1"/>
  <c r="E3112" i="5" a="1"/>
  <c r="E3112" i="5" s="1"/>
  <c r="E1532" i="5" a="1"/>
  <c r="E1532" i="5" s="1"/>
  <c r="E1698" i="5" a="1"/>
  <c r="E1698" i="5" s="1"/>
  <c r="E1614" i="5" a="1"/>
  <c r="E1614" i="5" s="1"/>
  <c r="E934" i="5" a="1"/>
  <c r="E934" i="5" s="1"/>
  <c r="E228" i="5" a="1"/>
  <c r="E228" i="5" s="1"/>
  <c r="E327" i="5" a="1"/>
  <c r="E327" i="5" s="1"/>
  <c r="E1624" i="5" a="1"/>
  <c r="E1624" i="5" s="1"/>
  <c r="E1634" i="5" a="1"/>
  <c r="E1634" i="5" s="1"/>
  <c r="E716" i="5" a="1"/>
  <c r="E716" i="5" s="1"/>
  <c r="E840" i="5" a="1"/>
  <c r="E840" i="5" s="1"/>
  <c r="E4403" i="5" a="1"/>
  <c r="E4403" i="5" s="1"/>
  <c r="E1689" i="5" a="1"/>
  <c r="E1689" i="5" s="1"/>
  <c r="E2338" i="5" a="1"/>
  <c r="E2338" i="5" s="1"/>
  <c r="E3887" i="5" a="1"/>
  <c r="E3887" i="5" s="1"/>
  <c r="E4068" i="5" a="1"/>
  <c r="E4068" i="5" s="1"/>
  <c r="E4224" i="5" a="1"/>
  <c r="E4224" i="5" s="1"/>
  <c r="E1016" i="5" a="1"/>
  <c r="E1016" i="5" s="1"/>
  <c r="E3521" i="5" a="1"/>
  <c r="E3521" i="5" s="1"/>
  <c r="E1981" i="5" a="1"/>
  <c r="E1981" i="5" s="1"/>
  <c r="E3925" i="5" a="1"/>
  <c r="E3925" i="5" s="1"/>
  <c r="E873" i="5" a="1"/>
  <c r="E873" i="5" s="1"/>
  <c r="E4699" i="5" a="1"/>
  <c r="E4699" i="5" s="1"/>
  <c r="E2446" i="5" a="1"/>
  <c r="E2446" i="5" s="1"/>
  <c r="E739" i="5" a="1"/>
  <c r="E739" i="5" s="1"/>
  <c r="E1100" i="5" a="1"/>
  <c r="E1100" i="5" s="1"/>
  <c r="E1561" i="5" a="1"/>
  <c r="E1561" i="5" s="1"/>
  <c r="E4166" i="5" a="1"/>
  <c r="E4166" i="5" s="1"/>
  <c r="E1502" i="5" a="1"/>
  <c r="E1502" i="5" s="1"/>
  <c r="E4898" i="5" a="1"/>
  <c r="E4898" i="5" s="1"/>
  <c r="E4106" i="5" a="1"/>
  <c r="E4106" i="5" s="1"/>
  <c r="E1900" i="5" a="1"/>
  <c r="E1900" i="5" s="1"/>
  <c r="E173" i="5" a="1"/>
  <c r="E173" i="5" s="1"/>
  <c r="E4952" i="5" a="1"/>
  <c r="E4952" i="5" s="1"/>
  <c r="E91" i="5" a="1"/>
  <c r="E91" i="5" s="1"/>
  <c r="E2064" i="5" a="1"/>
  <c r="E2064" i="5" s="1"/>
  <c r="E3414" i="5" a="1"/>
  <c r="E3414" i="5" s="1"/>
  <c r="E3818" i="5" a="1"/>
  <c r="E3818" i="5" s="1"/>
  <c r="E1979" i="5" a="1"/>
  <c r="E1979" i="5" s="1"/>
  <c r="E4680" i="5" a="1"/>
  <c r="E4680" i="5" s="1"/>
  <c r="E1939" i="5" a="1"/>
  <c r="E1939" i="5" s="1"/>
  <c r="E4104" i="5" a="1"/>
  <c r="E4104" i="5" s="1"/>
  <c r="E1504" i="5" a="1"/>
  <c r="E1504" i="5" s="1"/>
  <c r="E2658" i="5" a="1"/>
  <c r="E2658" i="5" s="1"/>
  <c r="E3114" i="5" a="1"/>
  <c r="E3114" i="5" s="1"/>
  <c r="E2797" i="5" a="1"/>
  <c r="E2797" i="5" s="1"/>
  <c r="E374" i="5" a="1"/>
  <c r="E374" i="5" s="1"/>
  <c r="E3206" i="5" a="1"/>
  <c r="E3206" i="5" s="1"/>
  <c r="E2298" i="5" a="1"/>
  <c r="E2298" i="5" s="1"/>
  <c r="E2943" i="5" a="1"/>
  <c r="E2943" i="5" s="1"/>
  <c r="E1600" i="5" a="1"/>
  <c r="E1600" i="5" s="1"/>
  <c r="E1300" i="5" a="1"/>
  <c r="E1300" i="5" s="1"/>
  <c r="E2652" i="5" a="1"/>
  <c r="E2652" i="5" s="1"/>
  <c r="E2214" i="5" a="1"/>
  <c r="E2214" i="5" s="1"/>
  <c r="E729" i="5" a="1"/>
  <c r="E729" i="5" s="1"/>
  <c r="E4725" i="5" a="1"/>
  <c r="E4725" i="5" s="1"/>
  <c r="E880" i="5" a="1"/>
  <c r="E880" i="5" s="1"/>
  <c r="E319" i="5" a="1"/>
  <c r="E319" i="5" s="1"/>
  <c r="E4535" i="5" a="1"/>
  <c r="E4535" i="5" s="1"/>
  <c r="E4673" i="5" a="1"/>
  <c r="E4673" i="5" s="1"/>
  <c r="E3899" i="5" a="1"/>
  <c r="E3899" i="5" s="1"/>
  <c r="E3013" i="5" a="1"/>
  <c r="E3013" i="5" s="1"/>
  <c r="E85" i="5" a="1"/>
  <c r="E85" i="5" s="1"/>
  <c r="E5003" i="5" a="1"/>
  <c r="E5003" i="5" s="1"/>
  <c r="E1751" i="5" a="1"/>
  <c r="E1751" i="5" s="1"/>
  <c r="E1535" i="5" a="1"/>
  <c r="E1535" i="5" s="1"/>
  <c r="E2625" i="5" a="1"/>
  <c r="E2625" i="5" s="1"/>
  <c r="E1172" i="5" a="1"/>
  <c r="E1172" i="5" s="1"/>
  <c r="E348" i="5" a="1"/>
  <c r="E348" i="5" s="1"/>
  <c r="E1968" i="5" a="1"/>
  <c r="E1968" i="5" s="1"/>
  <c r="E522" i="5" a="1"/>
  <c r="E522" i="5" s="1"/>
  <c r="E2586" i="5" a="1"/>
  <c r="E2586" i="5" s="1"/>
  <c r="E1932" i="5" a="1"/>
  <c r="E1932" i="5" s="1"/>
  <c r="E556" i="5" a="1"/>
  <c r="E556" i="5" s="1"/>
  <c r="E1062" i="5" a="1"/>
  <c r="E1062" i="5" s="1"/>
  <c r="E1119" i="5" a="1"/>
  <c r="E1119" i="5" s="1"/>
  <c r="E690" i="5" a="1"/>
  <c r="E690" i="5" s="1"/>
  <c r="E1061" i="5" a="1"/>
  <c r="E1061" i="5" s="1"/>
  <c r="E1847" i="5" a="1"/>
  <c r="E1847" i="5" s="1"/>
  <c r="E4463" i="5" a="1"/>
  <c r="E4463" i="5" s="1"/>
  <c r="E819" i="5" a="1"/>
  <c r="E819" i="5" s="1"/>
  <c r="E4431" i="5" a="1"/>
  <c r="E4431" i="5" s="1"/>
  <c r="E3868" i="5" a="1"/>
  <c r="E3868" i="5" s="1"/>
  <c r="E1291" i="5" a="1"/>
  <c r="E1291" i="5" s="1"/>
  <c r="E1366" i="5" a="1"/>
  <c r="E1366" i="5" s="1"/>
  <c r="E3824" i="5" a="1"/>
  <c r="E3824" i="5" s="1"/>
  <c r="E4580" i="5" a="1"/>
  <c r="E4580" i="5" s="1"/>
  <c r="E2681" i="5" a="1"/>
  <c r="E2681" i="5" s="1"/>
  <c r="E2188" i="5" a="1"/>
  <c r="E2188" i="5" s="1"/>
  <c r="E4452" i="5" a="1"/>
  <c r="E4452" i="5" s="1"/>
  <c r="E1804" i="5" a="1"/>
  <c r="E1804" i="5" s="1"/>
  <c r="E1877" i="5" a="1"/>
  <c r="E1877" i="5" s="1"/>
  <c r="E1323" i="5" a="1"/>
  <c r="E1323" i="5" s="1"/>
  <c r="E4037" i="5" a="1"/>
  <c r="E4037" i="5" s="1"/>
  <c r="E2137" i="5" a="1"/>
  <c r="E2137" i="5" s="1"/>
  <c r="E1738" i="5" a="1"/>
  <c r="E1738" i="5" s="1"/>
  <c r="E2124" i="5" a="1"/>
  <c r="E2124" i="5" s="1"/>
  <c r="E1899" i="5" a="1"/>
  <c r="E1899" i="5" s="1"/>
  <c r="E4551" i="5" a="1"/>
  <c r="E4551" i="5" s="1"/>
  <c r="E2242" i="5" a="1"/>
  <c r="E2242" i="5" s="1"/>
  <c r="E4941" i="5" a="1"/>
  <c r="E4941" i="5" s="1"/>
  <c r="E1740" i="5" a="1"/>
  <c r="E1740" i="5" s="1"/>
  <c r="E414" i="5" a="1"/>
  <c r="E414" i="5" s="1"/>
  <c r="E2185" i="5" a="1"/>
  <c r="E2185" i="5" s="1"/>
  <c r="E4490" i="5" a="1"/>
  <c r="E4490" i="5" s="1"/>
  <c r="E1599" i="5" a="1"/>
  <c r="E1599" i="5" s="1"/>
  <c r="E4997" i="5" a="1"/>
  <c r="E4997" i="5" s="1"/>
  <c r="E2443" i="5" a="1"/>
  <c r="E2443" i="5" s="1"/>
  <c r="E3621" i="5" a="1"/>
  <c r="E3621" i="5" s="1"/>
  <c r="E4820" i="5" a="1"/>
  <c r="E4820" i="5" s="1"/>
  <c r="E1724" i="5" a="1"/>
  <c r="E1724" i="5" s="1"/>
  <c r="E4708" i="5" a="1"/>
  <c r="E4708" i="5" s="1"/>
  <c r="E1418" i="5" a="1"/>
  <c r="E1418" i="5" s="1"/>
  <c r="E326" i="5" a="1"/>
  <c r="E326" i="5" s="1"/>
  <c r="E1299" i="5" a="1"/>
  <c r="E1299" i="5" s="1"/>
  <c r="E84" i="5" a="1"/>
  <c r="E84" i="5" s="1"/>
  <c r="E3113" i="5" a="1"/>
  <c r="E3113" i="5" s="1"/>
  <c r="E3940" i="5" a="1"/>
  <c r="E3940" i="5" s="1"/>
  <c r="E366" i="5" a="1"/>
  <c r="E366" i="5" s="1"/>
  <c r="E3976" i="5" a="1"/>
  <c r="E3976" i="5" s="1"/>
  <c r="E5010" i="5" a="1"/>
  <c r="E5010" i="5" s="1"/>
  <c r="E3977" i="5" a="1"/>
  <c r="E3977" i="5" s="1"/>
  <c r="E101" i="5" a="1"/>
  <c r="E101" i="5" s="1"/>
  <c r="E3047" i="5" a="1"/>
  <c r="E3047" i="5" s="1"/>
  <c r="E4063" i="5" a="1"/>
  <c r="E4063" i="5" s="1"/>
  <c r="E1043" i="5" a="1"/>
  <c r="E1043" i="5" s="1"/>
  <c r="E276" i="5" a="1"/>
  <c r="E276" i="5" s="1"/>
  <c r="E3111" i="5" a="1"/>
  <c r="E3111" i="5" s="1"/>
  <c r="E2693" i="5" a="1"/>
  <c r="E2693" i="5" s="1"/>
  <c r="E125" i="5" a="1"/>
  <c r="E125" i="5" s="1"/>
  <c r="E4933" i="5" a="1"/>
  <c r="E4933" i="5" s="1"/>
  <c r="E3566" i="5" a="1"/>
  <c r="E3566" i="5" s="1"/>
  <c r="E4236" i="5" a="1"/>
  <c r="E4236" i="5" s="1"/>
  <c r="E1718" i="5" a="1"/>
  <c r="E1718" i="5" s="1"/>
  <c r="E2787" i="5" a="1"/>
  <c r="E2787" i="5" s="1"/>
  <c r="E3870" i="5" a="1"/>
  <c r="E3870" i="5" s="1"/>
  <c r="E4804" i="5" a="1"/>
  <c r="E4804" i="5" s="1"/>
  <c r="E2840" i="5" a="1"/>
  <c r="E2840" i="5" s="1"/>
  <c r="E4270" i="5" a="1"/>
  <c r="E4270" i="5" s="1"/>
  <c r="E900" i="5" a="1"/>
  <c r="E900" i="5" s="1"/>
  <c r="E475" i="5" a="1"/>
  <c r="E475" i="5" s="1"/>
  <c r="E4469" i="5" a="1"/>
  <c r="E4469" i="5" s="1"/>
  <c r="E493" i="5" a="1"/>
  <c r="E493" i="5" s="1"/>
  <c r="E3205" i="5" a="1"/>
  <c r="E3205" i="5" s="1"/>
  <c r="E838" i="5" a="1"/>
  <c r="E838" i="5" s="1"/>
  <c r="E2275" i="5" a="1"/>
  <c r="E2275" i="5" s="1"/>
  <c r="E4274" i="5" a="1"/>
  <c r="E4274" i="5" s="1"/>
  <c r="E3340" i="5" a="1"/>
  <c r="E3340" i="5" s="1"/>
  <c r="E141" i="5" a="1"/>
  <c r="E141" i="5" s="1"/>
  <c r="E2624" i="5" a="1"/>
  <c r="E2624" i="5" s="1"/>
  <c r="E2230" i="5" a="1"/>
  <c r="E2230" i="5" s="1"/>
  <c r="E89" i="5" a="1"/>
  <c r="E89" i="5" s="1"/>
  <c r="E915" i="5" a="1"/>
  <c r="E915" i="5" s="1"/>
  <c r="E4199" i="5" a="1"/>
  <c r="E4199" i="5" s="1"/>
  <c r="E4655" i="5" a="1"/>
  <c r="E4655" i="5" s="1"/>
  <c r="E728" i="5" a="1"/>
  <c r="E728" i="5" s="1"/>
  <c r="E2352" i="5" a="1"/>
  <c r="E2352" i="5" s="1"/>
  <c r="E3008" i="5" a="1"/>
  <c r="E3008" i="5" s="1"/>
  <c r="E2752" i="5" a="1"/>
  <c r="E2752" i="5" s="1"/>
  <c r="E4085" i="5" a="1"/>
  <c r="E4085" i="5" s="1"/>
  <c r="E1676" i="5" a="1"/>
  <c r="E1676" i="5" s="1"/>
  <c r="E4467" i="5" a="1"/>
  <c r="E4467" i="5" s="1"/>
  <c r="E3912" i="5" a="1"/>
  <c r="E3912" i="5" s="1"/>
  <c r="E3666" i="5" a="1"/>
  <c r="E3666" i="5" s="1"/>
  <c r="E1913" i="5" a="1"/>
  <c r="E1913" i="5" s="1"/>
  <c r="E4644" i="5" a="1"/>
  <c r="E4644" i="5" s="1"/>
  <c r="E3306" i="5" a="1"/>
  <c r="E3306" i="5" s="1"/>
  <c r="E2436" i="5" a="1"/>
  <c r="E2436" i="5" s="1"/>
  <c r="E2829" i="5" a="1"/>
  <c r="E2829" i="5" s="1"/>
  <c r="E1491" i="5" a="1"/>
  <c r="E1491" i="5" s="1"/>
  <c r="E4881" i="5" a="1"/>
  <c r="E4881" i="5" s="1"/>
  <c r="E4876" i="5" a="1"/>
  <c r="E4876" i="5" s="1"/>
  <c r="E2455" i="5" a="1"/>
  <c r="E2455" i="5" s="1"/>
  <c r="E2979" i="5" a="1"/>
  <c r="E2979" i="5" s="1"/>
  <c r="E2057" i="5" a="1"/>
  <c r="E2057" i="5" s="1"/>
  <c r="E1730" i="5" a="1"/>
  <c r="E1730" i="5" s="1"/>
  <c r="E3941" i="5" a="1"/>
  <c r="E3941" i="5" s="1"/>
  <c r="E3714" i="5" a="1"/>
  <c r="E3714" i="5" s="1"/>
  <c r="E1716" i="5" a="1"/>
  <c r="E1716" i="5" s="1"/>
  <c r="E4934" i="5" a="1"/>
  <c r="E4934" i="5" s="1"/>
  <c r="E2643" i="5" a="1"/>
  <c r="E2643" i="5" s="1"/>
  <c r="E4846" i="5" a="1"/>
  <c r="E4846" i="5" s="1"/>
  <c r="E588" i="5" a="1"/>
  <c r="E588" i="5" s="1"/>
  <c r="E1336" i="5" a="1"/>
  <c r="E1336" i="5" s="1"/>
  <c r="E2370" i="5" a="1"/>
  <c r="E2370" i="5" s="1"/>
  <c r="E745" i="5" a="1"/>
  <c r="E745" i="5" s="1"/>
  <c r="E82" i="5" a="1"/>
  <c r="E82" i="5" s="1"/>
  <c r="E1635" i="5" a="1"/>
  <c r="E1635" i="5" s="1"/>
  <c r="E4417" i="5" a="1"/>
  <c r="E4417" i="5" s="1"/>
  <c r="E3509" i="5" a="1"/>
  <c r="E3509" i="5" s="1"/>
  <c r="E651" i="5" a="1"/>
  <c r="E651" i="5" s="1"/>
  <c r="E1605" i="5" a="1"/>
  <c r="E1605" i="5" s="1"/>
  <c r="E4264" i="5" a="1"/>
  <c r="E4264" i="5" s="1"/>
  <c r="E3625" i="5" a="1"/>
  <c r="E3625" i="5" s="1"/>
  <c r="E2015" i="5" a="1"/>
  <c r="E2015" i="5" s="1"/>
  <c r="E291" i="5" a="1"/>
  <c r="E291" i="5" s="1"/>
  <c r="E2959" i="5" a="1"/>
  <c r="E2959" i="5" s="1"/>
  <c r="E854" i="5" a="1"/>
  <c r="E854" i="5" s="1"/>
  <c r="E724" i="5" a="1"/>
  <c r="E724" i="5" s="1"/>
  <c r="E584" i="5" a="1"/>
  <c r="E584" i="5" s="1"/>
  <c r="E1685" i="5" a="1"/>
  <c r="E1685" i="5" s="1"/>
  <c r="E3788" i="5" a="1"/>
  <c r="E3788" i="5" s="1"/>
  <c r="E2044" i="5" a="1"/>
  <c r="E2044" i="5" s="1"/>
  <c r="E2672" i="5" a="1"/>
  <c r="E2672" i="5" s="1"/>
  <c r="E1641" i="5" a="1"/>
  <c r="E1641" i="5" s="1"/>
  <c r="E1726" i="5" a="1"/>
  <c r="E1726" i="5" s="1"/>
  <c r="E1656" i="5" a="1"/>
  <c r="E1656" i="5" s="1"/>
  <c r="E2326" i="5" a="1"/>
  <c r="E2326" i="5" s="1"/>
  <c r="E3740" i="5" a="1"/>
  <c r="E3740" i="5" s="1"/>
  <c r="E443" i="5" a="1"/>
  <c r="E443" i="5" s="1"/>
  <c r="E4265" i="5" a="1"/>
  <c r="E4265" i="5" s="1"/>
  <c r="E1348" i="5" a="1"/>
  <c r="E1348" i="5" s="1"/>
  <c r="E910" i="5" a="1"/>
  <c r="E910" i="5" s="1"/>
  <c r="E2879" i="5" a="1"/>
  <c r="E2879" i="5" s="1"/>
  <c r="E4557" i="5" a="1"/>
  <c r="E4557" i="5" s="1"/>
  <c r="E1312" i="5" a="1"/>
  <c r="E1312" i="5" s="1"/>
  <c r="E4179" i="5" a="1"/>
  <c r="E4179" i="5" s="1"/>
  <c r="E1852" i="5" a="1"/>
  <c r="E1852" i="5" s="1"/>
  <c r="E1704" i="5" a="1"/>
  <c r="E1704" i="5" s="1"/>
  <c r="E1557" i="5" a="1"/>
  <c r="E1557" i="5" s="1"/>
  <c r="E4771" i="5" a="1"/>
  <c r="E4771" i="5" s="1"/>
  <c r="E2669" i="5" a="1"/>
  <c r="E2669" i="5" s="1"/>
  <c r="E2172" i="5" a="1"/>
  <c r="E2172" i="5" s="1"/>
  <c r="E3369" i="5" a="1"/>
  <c r="E3369" i="5" s="1"/>
  <c r="E4226" i="5" a="1"/>
  <c r="E4226" i="5" s="1"/>
  <c r="E1191" i="5" a="1"/>
  <c r="E1191" i="5" s="1"/>
  <c r="E3001" i="5" a="1"/>
  <c r="E3001" i="5" s="1"/>
  <c r="E5040" i="5" a="1"/>
  <c r="E5040" i="5" s="1"/>
  <c r="E3653" i="5" a="1"/>
  <c r="E3653" i="5" s="1"/>
  <c r="E1667" i="5" a="1"/>
  <c r="E1667" i="5" s="1"/>
  <c r="E1808" i="5" a="1"/>
  <c r="E1808" i="5" s="1"/>
  <c r="E1788" i="5" a="1"/>
  <c r="E1788" i="5" s="1"/>
  <c r="E4734" i="5" a="1"/>
  <c r="E4734" i="5" s="1"/>
  <c r="E1748" i="5" a="1"/>
  <c r="E1748" i="5" s="1"/>
  <c r="E3438" i="5" a="1"/>
  <c r="E3438" i="5" s="1"/>
  <c r="E4126" i="5" a="1"/>
  <c r="E4126" i="5" s="1"/>
  <c r="E1427" i="5" a="1"/>
  <c r="E1427" i="5" s="1"/>
  <c r="E1503" i="5" a="1"/>
  <c r="E1503" i="5" s="1"/>
  <c r="E4278" i="5" a="1"/>
  <c r="E4278" i="5" s="1"/>
  <c r="E3543" i="5" a="1"/>
  <c r="E3543" i="5" s="1"/>
  <c r="E4640" i="5" a="1"/>
  <c r="E4640" i="5" s="1"/>
  <c r="E3213" i="5" a="1"/>
  <c r="E3213" i="5" s="1"/>
  <c r="E2521" i="5" a="1"/>
  <c r="E2521" i="5" s="1"/>
  <c r="E4072" i="5" a="1"/>
  <c r="E4072" i="5" s="1"/>
  <c r="E1577" i="5" a="1"/>
  <c r="E1577" i="5" s="1"/>
  <c r="E1375" i="5" a="1"/>
  <c r="E1375" i="5" s="1"/>
  <c r="E1840" i="5" a="1"/>
  <c r="E1840" i="5" s="1"/>
  <c r="E4858" i="5" a="1"/>
  <c r="E4858" i="5" s="1"/>
  <c r="E2504" i="5" a="1"/>
  <c r="E2504" i="5" s="1"/>
  <c r="E2718" i="5" a="1"/>
  <c r="E2718" i="5" s="1"/>
  <c r="E4631" i="5" a="1"/>
  <c r="E4631" i="5" s="1"/>
  <c r="E4313" i="5" a="1"/>
  <c r="E4313" i="5" s="1"/>
  <c r="E490" i="5" a="1"/>
  <c r="E490" i="5" s="1"/>
  <c r="E3717" i="5" a="1"/>
  <c r="E3717" i="5" s="1"/>
  <c r="E3241" i="5" a="1"/>
  <c r="E3241" i="5" s="1"/>
  <c r="E3313" i="5" a="1"/>
  <c r="E3313" i="5" s="1"/>
  <c r="E2815" i="5" a="1"/>
  <c r="E2815" i="5" s="1"/>
  <c r="E1083" i="5" a="1"/>
  <c r="E1083" i="5" s="1"/>
  <c r="E4243" i="5" a="1"/>
  <c r="E4243" i="5" s="1"/>
  <c r="E3659" i="5" a="1"/>
  <c r="E3659" i="5" s="1"/>
  <c r="E668" i="5" a="1"/>
  <c r="E668" i="5" s="1"/>
  <c r="E1817" i="5" a="1"/>
  <c r="E1817" i="5" s="1"/>
  <c r="E2419" i="5" a="1"/>
  <c r="E2419" i="5" s="1"/>
  <c r="E841" i="5" a="1"/>
  <c r="E841" i="5" s="1"/>
  <c r="E452" i="5" a="1"/>
  <c r="E452" i="5" s="1"/>
  <c r="E756" i="5" a="1"/>
  <c r="E756" i="5" s="1"/>
  <c r="E288" i="5" a="1"/>
  <c r="E288" i="5" s="1"/>
  <c r="E176" i="5" a="1"/>
  <c r="E176" i="5" s="1"/>
  <c r="E3025" i="5" a="1"/>
  <c r="E3025" i="5" s="1"/>
  <c r="E1369" i="5" a="1"/>
  <c r="E1369" i="5" s="1"/>
  <c r="E3652" i="5" a="1"/>
  <c r="E3652" i="5" s="1"/>
  <c r="E1785" i="5" a="1"/>
  <c r="E1785" i="5" s="1"/>
  <c r="E2051" i="5" a="1"/>
  <c r="E2051" i="5" s="1"/>
  <c r="E163" i="5" a="1"/>
  <c r="E163" i="5" s="1"/>
  <c r="E2663" i="5" a="1"/>
  <c r="E2663" i="5" s="1"/>
  <c r="E117" i="5" a="1"/>
  <c r="E117" i="5" s="1"/>
  <c r="E1934" i="5" a="1"/>
  <c r="E1934" i="5" s="1"/>
  <c r="E3822" i="5" a="1"/>
  <c r="E3822" i="5" s="1"/>
  <c r="E4660" i="5" a="1"/>
  <c r="E4660" i="5" s="1"/>
  <c r="E1888" i="5" a="1"/>
  <c r="E1888" i="5" s="1"/>
  <c r="E646" i="5" a="1"/>
  <c r="E646" i="5" s="1"/>
  <c r="E1578" i="5" a="1"/>
  <c r="E1578" i="5" s="1"/>
  <c r="E3585" i="5" a="1"/>
  <c r="E3585" i="5" s="1"/>
  <c r="E788" i="5" a="1"/>
  <c r="E788" i="5" s="1"/>
  <c r="E2565" i="5" a="1"/>
  <c r="E2565" i="5" s="1"/>
  <c r="E105" i="5" a="1"/>
  <c r="E105" i="5" s="1"/>
  <c r="E2771" i="5" a="1"/>
  <c r="E2771" i="5" s="1"/>
  <c r="E1162" i="5" a="1"/>
  <c r="E1162" i="5" s="1"/>
  <c r="E3118" i="5" a="1"/>
  <c r="E3118" i="5" s="1"/>
  <c r="E664" i="5" a="1"/>
  <c r="E664" i="5" s="1"/>
  <c r="E3676" i="5" a="1"/>
  <c r="E3676" i="5" s="1"/>
  <c r="E90" i="5" a="1"/>
  <c r="E90" i="5" s="1"/>
  <c r="E4139" i="5" a="1"/>
  <c r="E4139" i="5" s="1"/>
  <c r="E4389" i="5" a="1"/>
  <c r="E4389" i="5" s="1"/>
  <c r="E4561" i="5" a="1"/>
  <c r="E4561" i="5" s="1"/>
  <c r="E3548" i="5" a="1"/>
  <c r="E3548" i="5" s="1"/>
  <c r="E1744" i="5" a="1"/>
  <c r="E1744" i="5" s="1"/>
  <c r="E1311" i="5" a="1"/>
  <c r="E1311" i="5" s="1"/>
  <c r="E3599" i="5" a="1"/>
  <c r="E3599" i="5" s="1"/>
  <c r="E2457" i="5" a="1"/>
  <c r="E2457" i="5" s="1"/>
  <c r="E1363" i="5" a="1"/>
  <c r="E1363" i="5" s="1"/>
  <c r="E2095" i="5" a="1"/>
  <c r="E2095" i="5" s="1"/>
  <c r="E5012" i="5" a="1"/>
  <c r="E5012" i="5" s="1"/>
  <c r="E4136" i="5" a="1"/>
  <c r="E4136" i="5" s="1"/>
  <c r="E3640" i="5" a="1"/>
  <c r="E3640" i="5" s="1"/>
  <c r="E3134" i="5" a="1"/>
  <c r="E3134" i="5" s="1"/>
  <c r="E1332" i="5" a="1"/>
  <c r="E1332" i="5" s="1"/>
  <c r="E2960" i="5" a="1"/>
  <c r="E2960" i="5" s="1"/>
  <c r="E436" i="5" a="1"/>
  <c r="E436" i="5" s="1"/>
  <c r="E725" i="5" a="1"/>
  <c r="E725" i="5" s="1"/>
  <c r="E2968" i="5" a="1"/>
  <c r="E2968" i="5" s="1"/>
  <c r="E1107" i="5" a="1"/>
  <c r="E1107" i="5" s="1"/>
  <c r="E1438" i="5" a="1"/>
  <c r="E1438" i="5" s="1"/>
  <c r="E585" i="5" a="1"/>
  <c r="E585" i="5" s="1"/>
  <c r="E1801" i="5" a="1"/>
  <c r="E1801" i="5" s="1"/>
  <c r="E4823" i="5" a="1"/>
  <c r="E4823" i="5" s="1"/>
  <c r="E3472" i="5" a="1"/>
  <c r="E3472" i="5" s="1"/>
  <c r="E3420" i="5" a="1"/>
  <c r="E3420" i="5" s="1"/>
  <c r="E3393" i="5" a="1"/>
  <c r="E3393" i="5" s="1"/>
  <c r="E1921" i="5" a="1"/>
  <c r="E1921" i="5" s="1"/>
  <c r="E2094" i="5" a="1"/>
  <c r="E2094" i="5" s="1"/>
  <c r="E4296" i="5" a="1"/>
  <c r="E4296" i="5" s="1"/>
  <c r="E1445" i="5" a="1"/>
  <c r="E1445" i="5" s="1"/>
  <c r="E245" i="5" a="1"/>
  <c r="E245" i="5" s="1"/>
  <c r="E3601" i="5" a="1"/>
  <c r="E3601" i="5" s="1"/>
  <c r="E1182" i="5" a="1"/>
  <c r="E1182" i="5" s="1"/>
  <c r="E1183" i="5" a="1"/>
  <c r="E1183" i="5" s="1"/>
  <c r="E735" i="5" a="1"/>
  <c r="E735" i="5" s="1"/>
  <c r="E3855" i="5" a="1"/>
  <c r="E3855" i="5" s="1"/>
  <c r="E1405" i="5" a="1"/>
  <c r="E1405" i="5" s="1"/>
  <c r="E3508" i="5" a="1"/>
  <c r="E3508" i="5" s="1"/>
  <c r="E1890" i="5" a="1"/>
  <c r="E1890" i="5" s="1"/>
  <c r="E4131" i="5" a="1"/>
  <c r="E4131" i="5" s="1"/>
  <c r="E1353" i="5" a="1"/>
  <c r="E1353" i="5" s="1"/>
  <c r="E778" i="5" a="1"/>
  <c r="E778" i="5" s="1"/>
  <c r="E3655" i="5" a="1"/>
  <c r="E3655" i="5" s="1"/>
  <c r="E3907" i="5" a="1"/>
  <c r="E3907" i="5" s="1"/>
  <c r="E3756" i="5" a="1"/>
  <c r="E3756" i="5" s="1"/>
  <c r="E1797" i="5" a="1"/>
  <c r="E1797" i="5" s="1"/>
  <c r="E3184" i="5" a="1"/>
  <c r="E3184" i="5" s="1"/>
  <c r="E525" i="5" a="1"/>
  <c r="E525" i="5" s="1"/>
  <c r="E3515" i="5" a="1"/>
  <c r="E3515" i="5" s="1"/>
  <c r="E4173" i="5" a="1"/>
  <c r="E4173" i="5" s="1"/>
  <c r="E3593" i="5" a="1"/>
  <c r="E3593" i="5" s="1"/>
  <c r="E1606" i="5" a="1"/>
  <c r="E1606" i="5" s="1"/>
  <c r="E554" i="5" a="1"/>
  <c r="E554" i="5" s="1"/>
  <c r="E1638" i="5" a="1"/>
  <c r="E1638" i="5" s="1"/>
  <c r="E3000" i="5" a="1"/>
  <c r="E3000" i="5" s="1"/>
  <c r="E3557" i="5" a="1"/>
  <c r="E3557" i="5" s="1"/>
  <c r="E1700" i="5" a="1"/>
  <c r="E1700" i="5" s="1"/>
  <c r="E4202" i="5" a="1"/>
  <c r="E4202" i="5" s="1"/>
  <c r="E2578" i="5" a="1"/>
  <c r="E2578" i="5" s="1"/>
  <c r="E1714" i="5" a="1"/>
  <c r="E1714" i="5" s="1"/>
  <c r="E1905" i="5" a="1"/>
  <c r="E1905" i="5" s="1"/>
  <c r="E4740" i="5" a="1"/>
  <c r="E4740" i="5" s="1"/>
  <c r="E1591" i="5" a="1"/>
  <c r="E1591" i="5" s="1"/>
  <c r="E1891" i="5" a="1"/>
  <c r="E1891" i="5" s="1"/>
  <c r="E1876" i="5" a="1"/>
  <c r="E1876" i="5" s="1"/>
  <c r="E1940" i="5" a="1"/>
  <c r="E1940" i="5" s="1"/>
  <c r="E3159" i="5" a="1"/>
  <c r="E3159" i="5" s="1"/>
  <c r="E1110" i="5" a="1"/>
  <c r="E1110" i="5" s="1"/>
  <c r="E3935" i="5" a="1"/>
  <c r="E3935" i="5" s="1"/>
  <c r="E4058" i="5" a="1"/>
  <c r="E4058" i="5" s="1"/>
  <c r="E3541" i="5" a="1"/>
  <c r="E3541" i="5" s="1"/>
  <c r="E4338" i="5" a="1"/>
  <c r="E4338" i="5" s="1"/>
  <c r="E2105" i="5" a="1"/>
  <c r="E2105" i="5" s="1"/>
  <c r="E1229" i="5" a="1"/>
  <c r="E1229" i="5" s="1"/>
  <c r="E551" i="5" a="1"/>
  <c r="E551" i="5" s="1"/>
  <c r="E3076" i="5" a="1"/>
  <c r="E3076" i="5" s="1"/>
  <c r="E5034" i="5" a="1"/>
  <c r="E5034" i="5" s="1"/>
  <c r="E2292" i="5" a="1"/>
  <c r="E2292" i="5" s="1"/>
  <c r="E1923" i="5" a="1"/>
  <c r="E1923" i="5" s="1"/>
  <c r="E1620" i="5" a="1"/>
  <c r="E1620" i="5" s="1"/>
  <c r="E1684" i="5" a="1"/>
  <c r="E1684" i="5" s="1"/>
  <c r="E3352" i="5" a="1"/>
  <c r="E3352" i="5" s="1"/>
  <c r="E2553" i="5" a="1"/>
  <c r="E2553" i="5" s="1"/>
  <c r="E855" i="5" a="1"/>
  <c r="E855" i="5" s="1"/>
  <c r="E4599" i="5" a="1"/>
  <c r="E4599" i="5" s="1"/>
  <c r="E4329" i="5" a="1"/>
  <c r="E4329" i="5" s="1"/>
  <c r="E1492" i="5" a="1"/>
  <c r="E1492" i="5" s="1"/>
  <c r="E637" i="5" a="1"/>
  <c r="E637" i="5" s="1"/>
  <c r="E1796" i="5" a="1"/>
  <c r="E1796" i="5" s="1"/>
  <c r="E1034" i="5" a="1"/>
  <c r="E1034" i="5" s="1"/>
  <c r="E265" i="5" a="1"/>
  <c r="E265" i="5" s="1"/>
  <c r="E941" i="5" a="1"/>
  <c r="E941" i="5" s="1"/>
  <c r="E3246" i="5" a="1"/>
  <c r="E3246" i="5" s="1"/>
  <c r="E1814" i="5" a="1"/>
  <c r="E1814" i="5" s="1"/>
  <c r="E1864" i="5" a="1"/>
  <c r="E1864" i="5" s="1"/>
  <c r="E1832" i="5" a="1"/>
  <c r="E1832" i="5" s="1"/>
  <c r="E4882" i="5" a="1"/>
  <c r="E4882" i="5" s="1"/>
  <c r="E1861" i="5" a="1"/>
  <c r="E1861" i="5" s="1"/>
  <c r="E4917" i="5" a="1"/>
  <c r="E4917" i="5" s="1"/>
  <c r="E4203" i="5" a="1"/>
  <c r="E4203" i="5" s="1"/>
  <c r="E3995" i="5" a="1"/>
  <c r="E3995" i="5" s="1"/>
  <c r="E2549" i="5" a="1"/>
  <c r="E2549" i="5" s="1"/>
  <c r="E2530" i="5" a="1"/>
  <c r="E2530" i="5" s="1"/>
  <c r="E4019" i="5" a="1"/>
  <c r="E4019" i="5" s="1"/>
  <c r="E3801" i="5" a="1"/>
  <c r="E3801" i="5" s="1"/>
  <c r="E3696" i="5" a="1"/>
  <c r="E3696" i="5" s="1"/>
  <c r="E2067" i="5" a="1"/>
  <c r="E2067" i="5" s="1"/>
  <c r="E741" i="5" a="1"/>
  <c r="E741" i="5" s="1"/>
  <c r="E2159" i="5" a="1"/>
  <c r="E2159" i="5" s="1"/>
  <c r="E1640" i="5" a="1"/>
  <c r="E1640" i="5" s="1"/>
  <c r="E1118" i="5" a="1"/>
  <c r="E1118" i="5" s="1"/>
  <c r="E5017" i="5" a="1"/>
  <c r="E5017" i="5" s="1"/>
  <c r="E1598" i="5" a="1"/>
  <c r="E1598" i="5" s="1"/>
  <c r="E1868" i="5" a="1"/>
  <c r="E1868" i="5" s="1"/>
  <c r="E1720" i="5" a="1"/>
  <c r="E1720" i="5" s="1"/>
  <c r="E3204" i="5" a="1"/>
  <c r="E3204" i="5" s="1"/>
  <c r="E2348" i="5" a="1"/>
  <c r="E2348" i="5" s="1"/>
  <c r="E119" i="5" a="1"/>
  <c r="E119" i="5" s="1"/>
  <c r="E1897" i="5" a="1"/>
  <c r="E1897" i="5" s="1"/>
  <c r="E4473" i="5" a="1"/>
  <c r="E4473" i="5" s="1"/>
  <c r="E4495" i="5" a="1"/>
  <c r="E4495" i="5" s="1"/>
  <c r="E1725" i="5" a="1"/>
  <c r="E1725" i="5" s="1"/>
  <c r="E4022" i="5" a="1"/>
  <c r="E4022" i="5" s="1"/>
  <c r="E1581" i="5" a="1"/>
  <c r="E1581" i="5" s="1"/>
  <c r="E1911" i="5" a="1"/>
  <c r="E1911" i="5" s="1"/>
  <c r="E1310" i="5" a="1"/>
  <c r="E1310" i="5" s="1"/>
  <c r="E3514" i="5" a="1"/>
  <c r="E3514" i="5" s="1"/>
  <c r="E128" i="5" a="1"/>
  <c r="E128" i="5" s="1"/>
  <c r="E2070" i="5" a="1"/>
  <c r="E2070" i="5" s="1"/>
  <c r="E4217" i="5" a="1"/>
  <c r="E4217" i="5" s="1"/>
  <c r="E209" i="5" a="1"/>
  <c r="E209" i="5" s="1"/>
  <c r="E2001" i="5" a="1"/>
  <c r="E2001" i="5" s="1"/>
  <c r="E4813" i="5" a="1"/>
  <c r="E4813" i="5" s="1"/>
  <c r="E175" i="5" a="1"/>
  <c r="E175" i="5" s="1"/>
  <c r="E4578" i="5" a="1"/>
  <c r="E4578" i="5" s="1"/>
  <c r="E3723" i="5" a="1"/>
  <c r="E3723" i="5" s="1"/>
  <c r="E122" i="5" a="1"/>
  <c r="E122" i="5" s="1"/>
  <c r="E1226" i="5" a="1"/>
  <c r="E1226" i="5" s="1"/>
  <c r="E1374" i="5" a="1"/>
  <c r="E1374" i="5" s="1"/>
  <c r="E1419" i="5" a="1"/>
  <c r="E1419" i="5" s="1"/>
  <c r="E129" i="5" a="1"/>
  <c r="E129" i="5" s="1"/>
  <c r="E1163" i="5" a="1"/>
  <c r="E1163" i="5" s="1"/>
  <c r="E3929" i="5" a="1"/>
  <c r="E3929" i="5" s="1"/>
  <c r="E252" i="5" a="1"/>
  <c r="E252" i="5" s="1"/>
  <c r="E613" i="5" a="1"/>
  <c r="E613" i="5" s="1"/>
  <c r="E1739" i="5" a="1"/>
  <c r="E1739" i="5" s="1"/>
  <c r="E3851" i="5" a="1"/>
  <c r="E3851" i="5" s="1"/>
  <c r="E3817" i="5" a="1"/>
  <c r="E3817" i="5" s="1"/>
  <c r="E1675" i="5" a="1"/>
  <c r="E1675" i="5" s="1"/>
  <c r="E2233" i="5" a="1"/>
  <c r="E2233" i="5" s="1"/>
  <c r="E1655" i="5" a="1"/>
  <c r="E1655" i="5" s="1"/>
  <c r="E4825" i="5" a="1"/>
  <c r="E4825" i="5" s="1"/>
  <c r="E1912" i="5" a="1"/>
  <c r="E1912" i="5" s="1"/>
  <c r="E140" i="5" a="1"/>
  <c r="E140" i="5" s="1"/>
  <c r="E78" i="5" a="1"/>
  <c r="E78" i="5" s="1"/>
  <c r="E3957" i="5" a="1"/>
  <c r="E3957" i="5" s="1"/>
  <c r="E4004" i="5" a="1"/>
  <c r="E4004" i="5" s="1"/>
  <c r="E4891" i="5" a="1"/>
  <c r="E4891" i="5" s="1"/>
  <c r="E4559" i="5" a="1"/>
  <c r="E4559" i="5" s="1"/>
  <c r="E2207" i="5" a="1"/>
  <c r="E2207" i="5" s="1"/>
  <c r="E1789" i="5" a="1"/>
  <c r="E1789" i="5" s="1"/>
  <c r="E2131" i="5" a="1"/>
  <c r="E2131" i="5" s="1"/>
  <c r="E2126" i="5" a="1"/>
  <c r="E2126" i="5" s="1"/>
  <c r="E1661" i="5" a="1"/>
  <c r="E1661" i="5" s="1"/>
  <c r="E1597" i="5" a="1"/>
  <c r="E1597" i="5" s="1"/>
  <c r="E1339" i="5" a="1"/>
  <c r="E1339" i="5" s="1"/>
  <c r="E4953" i="5" a="1"/>
  <c r="E4953" i="5" s="1"/>
  <c r="E2087" i="5" a="1"/>
  <c r="E2087" i="5" s="1"/>
  <c r="E4472" i="5" a="1"/>
  <c r="E4472" i="5" s="1"/>
  <c r="E512" i="5" a="1"/>
  <c r="E512" i="5" s="1"/>
  <c r="E3147" i="5" a="1"/>
  <c r="E3147" i="5" s="1"/>
  <c r="E2158" i="5" a="1"/>
  <c r="E2158" i="5" s="1"/>
  <c r="E2831" i="5" a="1"/>
  <c r="E2831" i="5" s="1"/>
  <c r="E4043" i="5" a="1"/>
  <c r="E4043" i="5" s="1"/>
  <c r="E930" i="5" a="1"/>
  <c r="E930" i="5" s="1"/>
  <c r="E3193" i="5" a="1"/>
  <c r="E3193" i="5" s="1"/>
  <c r="E3979" i="5" a="1"/>
  <c r="E3979" i="5" s="1"/>
  <c r="E2527" i="5" a="1"/>
  <c r="E2527" i="5" s="1"/>
  <c r="E4621" i="5" a="1"/>
  <c r="E4621" i="5" s="1"/>
  <c r="E2856" i="5" a="1"/>
  <c r="E2856" i="5" s="1"/>
  <c r="E1854" i="5" a="1"/>
  <c r="E1854" i="5" s="1"/>
  <c r="E1827" i="5" a="1"/>
  <c r="E1827" i="5" s="1"/>
  <c r="E1189" i="5" a="1"/>
  <c r="E1189" i="5" s="1"/>
  <c r="E3304" i="5" a="1"/>
  <c r="E3304" i="5" s="1"/>
  <c r="E1596" i="5" a="1"/>
  <c r="E1596" i="5" s="1"/>
  <c r="E942" i="5" a="1"/>
  <c r="E942" i="5" s="1"/>
  <c r="E4808" i="5" a="1"/>
  <c r="E4808" i="5" s="1"/>
  <c r="E3083" i="5" a="1"/>
  <c r="E3083" i="5" s="1"/>
  <c r="E4726" i="5" a="1"/>
  <c r="E4726" i="5" s="1"/>
  <c r="E3065" i="5" a="1"/>
  <c r="E3065" i="5" s="1"/>
  <c r="E2472" i="5" a="1"/>
  <c r="E2472" i="5" s="1"/>
  <c r="E2626" i="5" a="1"/>
  <c r="E2626" i="5" s="1"/>
  <c r="E1857" i="5" a="1"/>
  <c r="E1857" i="5" s="1"/>
  <c r="E4940" i="5" a="1"/>
  <c r="E4940" i="5" s="1"/>
  <c r="E715" i="5" a="1"/>
  <c r="E715" i="5" s="1"/>
  <c r="E804" i="5" a="1"/>
  <c r="E804" i="5" s="1"/>
  <c r="E1571" i="5" a="1"/>
  <c r="E1571" i="5" s="1"/>
  <c r="E1761" i="5" a="1"/>
  <c r="E1761" i="5" s="1"/>
  <c r="E4690" i="5" a="1"/>
  <c r="E4690" i="5" s="1"/>
  <c r="E2448" i="5" a="1"/>
  <c r="E2448" i="5" s="1"/>
  <c r="E555" i="5" a="1"/>
  <c r="E555" i="5" s="1"/>
  <c r="E1760" i="5" a="1"/>
  <c r="E1760" i="5" s="1"/>
  <c r="E1835" i="5" a="1"/>
  <c r="E1835" i="5" s="1"/>
  <c r="E3177" i="5" a="1"/>
  <c r="E3177" i="5" s="1"/>
  <c r="E4232" i="5" a="1"/>
  <c r="E4232" i="5" s="1"/>
  <c r="E370" i="5" a="1"/>
  <c r="E370" i="5" s="1"/>
  <c r="E2736" i="5" a="1"/>
  <c r="E2736" i="5" s="1"/>
  <c r="E4201" i="5" a="1"/>
  <c r="E4201" i="5" s="1"/>
  <c r="E4181" i="5" a="1"/>
  <c r="E4181" i="5" s="1"/>
  <c r="E2236" i="5" a="1"/>
  <c r="E2236" i="5" s="1"/>
  <c r="E4044" i="5" a="1"/>
  <c r="E4044" i="5" s="1"/>
  <c r="E2674" i="5" a="1"/>
  <c r="E2674" i="5" s="1"/>
  <c r="E460" i="5" a="1"/>
  <c r="E460" i="5" s="1"/>
  <c r="E94" i="5" a="1"/>
  <c r="E94" i="5" s="1"/>
  <c r="E1601" i="5" a="1"/>
  <c r="E1601" i="5" s="1"/>
  <c r="E1936" i="5" a="1"/>
  <c r="E1936" i="5" s="1"/>
  <c r="E4401" i="5" a="1"/>
  <c r="E4401" i="5" s="1"/>
  <c r="E2050" i="5" a="1"/>
  <c r="E2050" i="5" s="1"/>
  <c r="E2609" i="5" a="1"/>
  <c r="E2609" i="5" s="1"/>
  <c r="E4887" i="5" a="1"/>
  <c r="E4887" i="5" s="1"/>
  <c r="E2210" i="5" a="1"/>
  <c r="E2210" i="5" s="1"/>
  <c r="E1586" i="5" a="1"/>
  <c r="E1586" i="5" s="1"/>
  <c r="E1050" i="5" a="1"/>
  <c r="E1050" i="5" s="1"/>
  <c r="E3758" i="5" a="1"/>
  <c r="E3758" i="5" s="1"/>
  <c r="E4971" i="5" a="1"/>
  <c r="E4971" i="5" s="1"/>
  <c r="E2531" i="5" a="1"/>
  <c r="E2531" i="5" s="1"/>
  <c r="E345" i="5" a="1"/>
  <c r="E345" i="5" s="1"/>
  <c r="E918" i="5" a="1"/>
  <c r="E918" i="5" s="1"/>
  <c r="E1683" i="5" a="1"/>
  <c r="E1683" i="5" s="1"/>
  <c r="E757" i="5" a="1"/>
  <c r="E757" i="5" s="1"/>
  <c r="E1623" i="5" a="1"/>
  <c r="E1623" i="5" s="1"/>
  <c r="E3401" i="5" a="1"/>
  <c r="E3401" i="5" s="1"/>
  <c r="E886" i="5" a="1"/>
  <c r="E886" i="5" s="1"/>
  <c r="E3970" i="5" a="1"/>
  <c r="E3970" i="5" s="1"/>
  <c r="E1610" i="5" a="1"/>
  <c r="E1610" i="5" s="1"/>
  <c r="E4503" i="5" a="1"/>
  <c r="E4503" i="5" s="1"/>
  <c r="E2572" i="5" a="1"/>
  <c r="E2572" i="5" s="1"/>
  <c r="E2963" i="5" a="1"/>
  <c r="E2963" i="5" s="1"/>
  <c r="E3054" i="5" a="1"/>
  <c r="E3054" i="5" s="1"/>
  <c r="E4850" i="5" a="1"/>
  <c r="E4850" i="5" s="1"/>
  <c r="E4433" i="5" a="1"/>
  <c r="E4433" i="5" s="1"/>
  <c r="E1593" i="5" a="1"/>
  <c r="E1593" i="5" s="1"/>
  <c r="E5035" i="5" a="1"/>
  <c r="E5035" i="5" s="1"/>
  <c r="E1235" i="5" a="1"/>
  <c r="E1235" i="5" s="1"/>
  <c r="E2865" i="5" a="1"/>
  <c r="E2865" i="5" s="1"/>
  <c r="E4171" i="5" a="1"/>
  <c r="E4171" i="5" s="1"/>
  <c r="E421" i="5" a="1"/>
  <c r="E421" i="5" s="1"/>
  <c r="E4615" i="5" a="1"/>
  <c r="E4615" i="5" s="1"/>
  <c r="E589" i="5" a="1"/>
  <c r="E589" i="5" s="1"/>
  <c r="E1855" i="5" a="1"/>
  <c r="E1855" i="5" s="1"/>
  <c r="E4297" i="5" a="1"/>
  <c r="E4297" i="5" s="1"/>
  <c r="E3347" i="5" a="1"/>
  <c r="E3347" i="5" s="1"/>
  <c r="E2054" i="5" a="1"/>
  <c r="E2054" i="5" s="1"/>
  <c r="E4073" i="5" a="1"/>
  <c r="E4073" i="5" s="1"/>
  <c r="E4360" i="5" a="1"/>
  <c r="E4360" i="5" s="1"/>
  <c r="E1956" i="5" a="1"/>
  <c r="E1956" i="5" s="1"/>
  <c r="E1809" i="5" a="1"/>
  <c r="E1809" i="5" s="1"/>
  <c r="E1416" i="5" a="1"/>
  <c r="E1416" i="5" s="1"/>
  <c r="E858" i="5" a="1"/>
  <c r="E858" i="5" s="1"/>
  <c r="E3263" i="5" a="1"/>
  <c r="E3263" i="5" s="1"/>
  <c r="E2691" i="5" a="1"/>
  <c r="E2691" i="5" s="1"/>
  <c r="E4807" i="5" a="1"/>
  <c r="E4807" i="5" s="1"/>
  <c r="E3523" i="5" a="1"/>
  <c r="E3523" i="5" s="1"/>
  <c r="E1612" i="5" a="1"/>
  <c r="E1612" i="5" s="1"/>
  <c r="E599" i="5" a="1"/>
  <c r="E599" i="5" s="1"/>
  <c r="E3115" i="5" a="1"/>
  <c r="E3115" i="5" s="1"/>
  <c r="E3898" i="5" a="1"/>
  <c r="E3898" i="5" s="1"/>
  <c r="E373" i="5" a="1"/>
  <c r="E373" i="5" s="1"/>
  <c r="E4623" i="5" a="1"/>
  <c r="E4623" i="5" s="1"/>
  <c r="E4909" i="5" a="1"/>
  <c r="E4909" i="5" s="1"/>
  <c r="E3140" i="5" a="1"/>
  <c r="E3140" i="5" s="1"/>
  <c r="E851" i="5" a="1"/>
  <c r="E851" i="5" s="1"/>
  <c r="E4309" i="5" a="1"/>
  <c r="E4309" i="5" s="1"/>
  <c r="E1990" i="5" a="1"/>
  <c r="E1990" i="5" s="1"/>
  <c r="E1277" i="5" a="1"/>
  <c r="E1277" i="5" s="1"/>
  <c r="E2062" i="5" a="1"/>
  <c r="E2062" i="5" s="1"/>
  <c r="E3914" i="5" a="1"/>
  <c r="E3914" i="5" s="1"/>
  <c r="E805" i="5" a="1"/>
  <c r="E805" i="5" s="1"/>
  <c r="E4896" i="5" a="1"/>
  <c r="E4896" i="5" s="1"/>
  <c r="E1485" i="5" a="1"/>
  <c r="E1485" i="5" s="1"/>
  <c r="E2347" i="5" a="1"/>
  <c r="E2347" i="5" s="1"/>
  <c r="E960" i="5" a="1"/>
  <c r="E960" i="5" s="1"/>
  <c r="E4277" i="5" a="1"/>
  <c r="E4277" i="5" s="1"/>
  <c r="E2479" i="5" a="1"/>
  <c r="E2479" i="5" s="1"/>
  <c r="E3884" i="5" a="1"/>
  <c r="E3884" i="5" s="1"/>
  <c r="E2098" i="5" a="1"/>
  <c r="E2098" i="5" s="1"/>
  <c r="E1703" i="5" a="1"/>
  <c r="E1703" i="5" s="1"/>
  <c r="E1826" i="5" a="1"/>
  <c r="E1826" i="5" s="1"/>
  <c r="E3520" i="5" a="1"/>
  <c r="E3520" i="5" s="1"/>
  <c r="E569" i="5" a="1"/>
  <c r="E569" i="5" s="1"/>
  <c r="E2737" i="5" a="1"/>
  <c r="E2737" i="5" s="1"/>
  <c r="E1421" i="5" a="1"/>
  <c r="E1421" i="5" s="1"/>
  <c r="E590" i="5" a="1"/>
  <c r="E590" i="5" s="1"/>
  <c r="E1673" i="5" a="1"/>
  <c r="E1673" i="5" s="1"/>
  <c r="E223" i="5" a="1"/>
  <c r="E223" i="5" s="1"/>
  <c r="E518" i="5" a="1"/>
  <c r="E518" i="5" s="1"/>
  <c r="E242" i="5" a="1"/>
  <c r="E242" i="5" s="1"/>
  <c r="E3787" i="5" a="1"/>
  <c r="E3787" i="5" s="1"/>
  <c r="E2803" i="5" a="1"/>
  <c r="E2803" i="5" s="1"/>
  <c r="E1733" i="5" a="1"/>
  <c r="E1733" i="5" s="1"/>
  <c r="E4333" i="5" a="1"/>
  <c r="E4333" i="5" s="1"/>
  <c r="E3392" i="5" a="1"/>
  <c r="E3392" i="5" s="1"/>
  <c r="E222" i="5" a="1"/>
  <c r="E222" i="5" s="1"/>
  <c r="E1447" i="5" a="1"/>
  <c r="E1447" i="5" s="1"/>
  <c r="E415" i="5" a="1"/>
  <c r="E415" i="5" s="1"/>
  <c r="E4257" i="5" a="1"/>
  <c r="E4257" i="5" s="1"/>
  <c r="E2287" i="5" a="1"/>
  <c r="E2287" i="5" s="1"/>
  <c r="E293" i="5" a="1"/>
  <c r="E293" i="5" s="1"/>
  <c r="E246" i="5" a="1"/>
  <c r="E246" i="5" s="1"/>
  <c r="E914" i="5" a="1"/>
  <c r="E914" i="5" s="1"/>
  <c r="E1637" i="5" a="1"/>
  <c r="E1637" i="5" s="1"/>
  <c r="E1833" i="5" a="1"/>
  <c r="E1833" i="5" s="1"/>
  <c r="E1573" i="5" a="1"/>
  <c r="E1573" i="5" s="1"/>
  <c r="E1621" i="5" a="1"/>
  <c r="E1621" i="5" s="1"/>
  <c r="E1719" i="5" a="1"/>
  <c r="E1719" i="5" s="1"/>
  <c r="E1803" i="5" a="1"/>
  <c r="E1803" i="5" s="1"/>
  <c r="E2178" i="5" a="1"/>
  <c r="E2178" i="5" s="1"/>
  <c r="E2114" i="5" a="1"/>
  <c r="E2114" i="5" s="1"/>
  <c r="E2386" i="5" a="1"/>
  <c r="E2386" i="5" s="1"/>
  <c r="E4585" i="5" a="1"/>
  <c r="E4585" i="5" s="1"/>
  <c r="E4761" i="5" a="1"/>
  <c r="E4761" i="5" s="1"/>
  <c r="E4148" i="5" a="1"/>
  <c r="E4148" i="5" s="1"/>
  <c r="E3651" i="5" a="1"/>
  <c r="E3651" i="5" s="1"/>
  <c r="E405" i="5" a="1"/>
  <c r="E405" i="5" s="1"/>
  <c r="E2063" i="5" a="1"/>
  <c r="E2063" i="5" s="1"/>
  <c r="E1853" i="5" a="1"/>
  <c r="E1853" i="5" s="1"/>
  <c r="E1576" i="5" a="1"/>
  <c r="E1576" i="5" s="1"/>
  <c r="E4966" i="5" a="1"/>
  <c r="E4966" i="5" s="1"/>
  <c r="E417" i="5" a="1"/>
  <c r="E417" i="5" s="1"/>
  <c r="E2733" i="5" a="1"/>
  <c r="E2733" i="5" s="1"/>
  <c r="E2563" i="5" a="1"/>
  <c r="E2563" i="5" s="1"/>
  <c r="E4629" i="5" a="1"/>
  <c r="E4629" i="5" s="1"/>
  <c r="E3003" i="5" a="1"/>
  <c r="E3003" i="5" s="1"/>
  <c r="E1608" i="5" a="1"/>
  <c r="E1608" i="5" s="1"/>
  <c r="E4413" i="5" a="1"/>
  <c r="E4413" i="5" s="1"/>
  <c r="E438" i="5" a="1"/>
  <c r="E438" i="5" s="1"/>
  <c r="E1680" i="5" a="1"/>
  <c r="E1680" i="5" s="1"/>
  <c r="E4555" i="5" a="1"/>
  <c r="E4555" i="5" s="1"/>
  <c r="E3271" i="5" a="1"/>
  <c r="E3271" i="5" s="1"/>
  <c r="E2869" i="5" a="1"/>
  <c r="E2869" i="5" s="1"/>
  <c r="E4075" i="5" a="1"/>
  <c r="E4075" i="5" s="1"/>
  <c r="E3638" i="5" a="1"/>
  <c r="E3638" i="5" s="1"/>
  <c r="E3325" i="5" a="1"/>
  <c r="E3325" i="5" s="1"/>
  <c r="E2743" i="5" a="1"/>
  <c r="E2743" i="5" s="1"/>
  <c r="E2998" i="5" a="1"/>
  <c r="E2998" i="5" s="1"/>
  <c r="E1331" i="5" a="1"/>
  <c r="E1331" i="5" s="1"/>
  <c r="E4028" i="5" a="1"/>
  <c r="E4028" i="5" s="1"/>
  <c r="E1729" i="5" a="1"/>
  <c r="E1729" i="5" s="1"/>
  <c r="E3627" i="5" a="1"/>
  <c r="E3627" i="5" s="1"/>
  <c r="E4167" i="5" a="1"/>
  <c r="E4167" i="5" s="1"/>
  <c r="E2727" i="5" a="1"/>
  <c r="E2727" i="5" s="1"/>
  <c r="E307" i="5" a="1"/>
  <c r="E307" i="5" s="1"/>
  <c r="E450" i="5" a="1"/>
  <c r="E450" i="5" s="1"/>
  <c r="E4945" i="5" a="1"/>
  <c r="E4945" i="5" s="1"/>
  <c r="E2679" i="5" a="1"/>
  <c r="E2679" i="5" s="1"/>
  <c r="E483" i="5" a="1"/>
  <c r="E483" i="5" s="1"/>
  <c r="E835" i="5" a="1"/>
  <c r="E835" i="5" s="1"/>
  <c r="E3371" i="5" a="1"/>
  <c r="E3371" i="5" s="1"/>
  <c r="E3283" i="5" a="1"/>
  <c r="E3283" i="5" s="1"/>
  <c r="E2395" i="5" a="1"/>
  <c r="E2395" i="5" s="1"/>
  <c r="E503" i="5" a="1"/>
  <c r="E503" i="5" s="1"/>
  <c r="E2647" i="5" a="1"/>
  <c r="E2647" i="5" s="1"/>
  <c r="E1306" i="5" a="1"/>
  <c r="E1306" i="5" s="1"/>
  <c r="E1307" i="5" a="1"/>
  <c r="E1307" i="5" s="1"/>
  <c r="E2655" i="5" a="1"/>
  <c r="E2655" i="5" s="1"/>
  <c r="E2119" i="5" a="1"/>
  <c r="E2119" i="5" s="1"/>
  <c r="E2551" i="5" a="1"/>
  <c r="E2551" i="5" s="1"/>
  <c r="E1746" i="5" a="1"/>
  <c r="E1746" i="5" s="1"/>
  <c r="E1089" i="5" a="1"/>
  <c r="E1089" i="5" s="1"/>
  <c r="E2623" i="5" a="1"/>
  <c r="E2623" i="5" s="1"/>
  <c r="E612" i="5" a="1"/>
  <c r="E612" i="5" s="1"/>
  <c r="E587" i="5" a="1"/>
  <c r="E587" i="5" s="1"/>
  <c r="E3457" i="5" a="1"/>
  <c r="E3457" i="5" s="1"/>
  <c r="E2006" i="5" a="1"/>
  <c r="E2006" i="5" s="1"/>
  <c r="E4248" i="5" a="1"/>
  <c r="E4248" i="5" s="1"/>
  <c r="E2007" i="5" a="1"/>
  <c r="E2007" i="5" s="1"/>
  <c r="E1769" i="5" a="1"/>
  <c r="E1769" i="5" s="1"/>
  <c r="E3301" i="5" a="1"/>
  <c r="E3301" i="5" s="1"/>
  <c r="E857" i="5" a="1"/>
  <c r="E857" i="5" s="1"/>
  <c r="E4180" i="5" a="1"/>
  <c r="E4180" i="5" s="1"/>
  <c r="E4868" i="5" a="1"/>
  <c r="E4868" i="5" s="1"/>
  <c r="E4112" i="5" a="1"/>
  <c r="E4112" i="5" s="1"/>
  <c r="E270" i="5" a="1"/>
  <c r="E270" i="5" s="1"/>
  <c r="E4158" i="5" a="1"/>
  <c r="E4158" i="5" s="1"/>
  <c r="E3656" i="5" a="1"/>
  <c r="E3656" i="5" s="1"/>
  <c r="E2274" i="5" a="1"/>
  <c r="E2274" i="5" s="1"/>
  <c r="E4437" i="5" a="1"/>
  <c r="E4437" i="5" s="1"/>
  <c r="E2653" i="5" a="1"/>
  <c r="E2653" i="5" s="1"/>
  <c r="E2956" i="5" a="1"/>
  <c r="E2956" i="5" s="1"/>
  <c r="E4619" i="5" a="1"/>
  <c r="E4619" i="5" s="1"/>
  <c r="E135" i="5" a="1"/>
  <c r="E135" i="5" s="1"/>
  <c r="E3662" i="5" a="1"/>
  <c r="E3662" i="5" s="1"/>
  <c r="E3909" i="5" a="1"/>
  <c r="E3909" i="5" s="1"/>
  <c r="E2571" i="5" a="1"/>
  <c r="E2571" i="5" s="1"/>
  <c r="E2019" i="5" a="1"/>
  <c r="E2019" i="5" s="1"/>
  <c r="E673" i="5" a="1"/>
  <c r="E673" i="5" s="1"/>
  <c r="E153" i="5" a="1"/>
  <c r="E153" i="5" s="1"/>
  <c r="E148" i="5" a="1"/>
  <c r="E148" i="5" s="1"/>
  <c r="E3399" i="5" a="1"/>
  <c r="E3399" i="5" s="1"/>
  <c r="E1155" i="5" a="1"/>
  <c r="E1155" i="5" s="1"/>
  <c r="E3539" i="5" a="1"/>
  <c r="E3539" i="5" s="1"/>
  <c r="E1859" i="5" a="1"/>
  <c r="E1859" i="5" s="1"/>
  <c r="E1892" i="5" a="1"/>
  <c r="E1892" i="5" s="1"/>
  <c r="E351" i="5" a="1"/>
  <c r="E351" i="5" s="1"/>
  <c r="E674" i="5" a="1"/>
  <c r="E674" i="5" s="1"/>
  <c r="E4565" i="5" a="1"/>
  <c r="E4565" i="5" s="1"/>
  <c r="E3965" i="5" a="1"/>
  <c r="E3965" i="5" s="1"/>
  <c r="E1800" i="5" a="1"/>
  <c r="E1800" i="5" s="1"/>
  <c r="E1795" i="5" a="1"/>
  <c r="E1795" i="5" s="1"/>
  <c r="E131" i="5" a="1"/>
  <c r="E131" i="5" s="1"/>
  <c r="E3262" i="5" a="1"/>
  <c r="E3262" i="5" s="1"/>
  <c r="E4501" i="5" a="1"/>
  <c r="E4501" i="5" s="1"/>
  <c r="E2161" i="5" a="1"/>
  <c r="E2161" i="5" s="1"/>
  <c r="E3623" i="5" a="1"/>
  <c r="E3623" i="5" s="1"/>
  <c r="E1731" i="5" a="1"/>
  <c r="E1731" i="5" s="1"/>
  <c r="E424" i="5" a="1"/>
  <c r="E424" i="5" s="1"/>
  <c r="E1592" i="5" a="1"/>
  <c r="E1592" i="5" s="1"/>
  <c r="E1917" i="5" a="1"/>
  <c r="E1917" i="5" s="1"/>
  <c r="E1705" i="5" a="1"/>
  <c r="E1705" i="5" s="1"/>
  <c r="E315" i="5" a="1"/>
  <c r="E315" i="5" s="1"/>
  <c r="M25" i="2"/>
  <c r="E3333" i="5" a="1"/>
  <c r="E3333" i="5" s="1"/>
  <c r="E1848" i="5" a="1"/>
  <c r="E1848" i="5" s="1"/>
  <c r="E1784" i="5" a="1"/>
  <c r="E1784" i="5" s="1"/>
  <c r="H12" i="4"/>
  <c r="E1896" i="5" a="1"/>
  <c r="E1896" i="5" s="1"/>
  <c r="E2190" i="5" a="1"/>
  <c r="E2190" i="5" s="1"/>
  <c r="E1709" i="5" a="1"/>
  <c r="E1709" i="5" s="1"/>
  <c r="E2717" i="5" a="1"/>
  <c r="E2717" i="5" s="1"/>
  <c r="E4324" i="5" a="1"/>
  <c r="E4324" i="5" s="1"/>
  <c r="E4325" i="5" a="1"/>
  <c r="E4325" i="5" s="1"/>
  <c r="E3729" i="5" a="1"/>
  <c r="E3729" i="5" s="1"/>
  <c r="E3730" i="5" a="1"/>
  <c r="E3730" i="5" s="1"/>
  <c r="E3421" i="5" a="1"/>
  <c r="E3421" i="5" s="1"/>
  <c r="E3422" i="5" a="1"/>
  <c r="E3422" i="5" s="1"/>
  <c r="E1293" i="5" a="1"/>
  <c r="E1293" i="5" s="1"/>
  <c r="E1294" i="5" a="1"/>
  <c r="E1294" i="5" s="1"/>
  <c r="E1037" i="5" a="1"/>
  <c r="E1037" i="5" s="1"/>
  <c r="E1038" i="5" a="1"/>
  <c r="E1038" i="5" s="1"/>
  <c r="E671" i="5" a="1"/>
  <c r="E671" i="5" s="1"/>
  <c r="E672" i="5" a="1"/>
  <c r="E672" i="5" s="1"/>
  <c r="E1273" i="5" a="1"/>
  <c r="E1273" i="5" s="1"/>
  <c r="E1274" i="5" a="1"/>
  <c r="E1274" i="5" s="1"/>
  <c r="E4441" i="5" a="1"/>
  <c r="E4441" i="5" s="1"/>
  <c r="E3967" i="5" a="1"/>
  <c r="E3967" i="5" s="1"/>
  <c r="E3568" i="5" a="1"/>
  <c r="E3568" i="5" s="1"/>
  <c r="E3569" i="5" a="1"/>
  <c r="E3569" i="5" s="1"/>
  <c r="E3145" i="5" a="1"/>
  <c r="E3145" i="5" s="1"/>
  <c r="E2931" i="5" a="1"/>
  <c r="E2931" i="5" s="1"/>
  <c r="E2707" i="5" a="1"/>
  <c r="E2707" i="5" s="1"/>
  <c r="E4837" i="5" a="1"/>
  <c r="E4837" i="5" s="1"/>
  <c r="E4758" i="5" a="1"/>
  <c r="E4758" i="5" s="1"/>
  <c r="E4759" i="5" a="1"/>
  <c r="E4759" i="5" s="1"/>
  <c r="E3885" i="5" a="1"/>
  <c r="E3885" i="5" s="1"/>
  <c r="E3886" i="5" a="1"/>
  <c r="E3886" i="5" s="1"/>
  <c r="E3041" i="5" a="1"/>
  <c r="E3041" i="5" s="1"/>
  <c r="E3042" i="5" a="1"/>
  <c r="E3042" i="5" s="1"/>
  <c r="E2750" i="5" a="1"/>
  <c r="E2750" i="5" s="1"/>
  <c r="E2751" i="5" a="1"/>
  <c r="E2751" i="5" s="1"/>
  <c r="E188" i="5" a="1"/>
  <c r="E188" i="5" s="1"/>
  <c r="E189" i="5" a="1"/>
  <c r="E189" i="5" s="1"/>
  <c r="E4919" i="5" a="1"/>
  <c r="E4919" i="5" s="1"/>
  <c r="E3507" i="5" a="1"/>
  <c r="E3507" i="5" s="1"/>
  <c r="E3215" i="5" a="1"/>
  <c r="E3215" i="5" s="1"/>
  <c r="E3216" i="5" a="1"/>
  <c r="E3216" i="5" s="1"/>
  <c r="E3188" i="5" a="1"/>
  <c r="E3188" i="5" s="1"/>
  <c r="E2331" i="5" a="1"/>
  <c r="E2331" i="5" s="1"/>
  <c r="E2332" i="5" a="1"/>
  <c r="E2332" i="5" s="1"/>
  <c r="E1752" i="5" a="1"/>
  <c r="E1752" i="5" s="1"/>
  <c r="E4842" i="5" a="1"/>
  <c r="E4842" i="5" s="1"/>
  <c r="E2699" i="5" a="1"/>
  <c r="E2699" i="5" s="1"/>
  <c r="E2392" i="5" a="1"/>
  <c r="E2392" i="5" s="1"/>
  <c r="E537" i="5" a="1"/>
  <c r="E537" i="5" s="1"/>
  <c r="E3746" i="5" a="1"/>
  <c r="E3746" i="5" s="1"/>
  <c r="E783" i="5" a="1"/>
  <c r="E783" i="5" s="1"/>
  <c r="E379" i="5" a="1"/>
  <c r="E379" i="5" s="1"/>
  <c r="E3918" i="5" a="1"/>
  <c r="E3918" i="5" s="1"/>
  <c r="E3576" i="5" a="1"/>
  <c r="E3576" i="5" s="1"/>
  <c r="E3577" i="5" a="1"/>
  <c r="E3577" i="5" s="1"/>
  <c r="E3446" i="5" a="1"/>
  <c r="E3446" i="5" s="1"/>
  <c r="E3447" i="5" a="1"/>
  <c r="E3447" i="5" s="1"/>
  <c r="E2428" i="5" a="1"/>
  <c r="E2428" i="5" s="1"/>
  <c r="E2429" i="5" a="1"/>
  <c r="E2429" i="5" s="1"/>
  <c r="E1159" i="5" a="1"/>
  <c r="E1159" i="5" s="1"/>
  <c r="E1160" i="5" a="1"/>
  <c r="E1160" i="5" s="1"/>
  <c r="E2408" i="5" a="1"/>
  <c r="E2408" i="5" s="1"/>
  <c r="E2409" i="5" a="1"/>
  <c r="E2409" i="5" s="1"/>
  <c r="E1018" i="5" a="1"/>
  <c r="E1018" i="5" s="1"/>
  <c r="E3050" i="5" a="1"/>
  <c r="E3050" i="5" s="1"/>
  <c r="E3051" i="5" a="1"/>
  <c r="E3051" i="5" s="1"/>
  <c r="E4877" i="5" a="1"/>
  <c r="E4877" i="5" s="1"/>
  <c r="E4878" i="5" a="1"/>
  <c r="E4878" i="5" s="1"/>
  <c r="E3108" i="5" a="1"/>
  <c r="E3108" i="5" s="1"/>
  <c r="E3069" i="5" a="1"/>
  <c r="E3069" i="5" s="1"/>
  <c r="E3070" i="5" a="1"/>
  <c r="E3070" i="5" s="1"/>
  <c r="E2919" i="5" a="1"/>
  <c r="E2919" i="5" s="1"/>
  <c r="E2920" i="5" a="1"/>
  <c r="E2920" i="5" s="1"/>
  <c r="E2636" i="5" a="1"/>
  <c r="E2636" i="5" s="1"/>
  <c r="E2637" i="5" a="1"/>
  <c r="E2637" i="5" s="1"/>
  <c r="E2896" i="5" a="1"/>
  <c r="E2896" i="5" s="1"/>
  <c r="E2897" i="5" a="1"/>
  <c r="E2897" i="5" s="1"/>
  <c r="E4694" i="5" a="1"/>
  <c r="E4694" i="5" s="1"/>
  <c r="E3896" i="5" a="1"/>
  <c r="E3896" i="5" s="1"/>
  <c r="E354" i="5" a="1"/>
  <c r="E354" i="5" s="1"/>
  <c r="E3963" i="5" a="1"/>
  <c r="E3963" i="5" s="1"/>
  <c r="E1377" i="5" a="1"/>
  <c r="E1377" i="5" s="1"/>
  <c r="E4946" i="5" a="1"/>
  <c r="E4946" i="5" s="1"/>
  <c r="E4947" i="5" a="1"/>
  <c r="E4947" i="5" s="1"/>
  <c r="E4718" i="5" a="1"/>
  <c r="E4718" i="5" s="1"/>
  <c r="E4719" i="5" a="1"/>
  <c r="E4719" i="5" s="1"/>
  <c r="E4305" i="5" a="1"/>
  <c r="E4305" i="5" s="1"/>
  <c r="E4306" i="5" a="1"/>
  <c r="E4306" i="5" s="1"/>
  <c r="E3432" i="5" a="1"/>
  <c r="E3432" i="5" s="1"/>
  <c r="E3433" i="5" a="1"/>
  <c r="E3433" i="5" s="1"/>
  <c r="E3558" i="5" a="1"/>
  <c r="E3558" i="5" s="1"/>
  <c r="E3559" i="5" a="1"/>
  <c r="E3559" i="5" s="1"/>
  <c r="E1463" i="5" a="1"/>
  <c r="E1463" i="5" s="1"/>
  <c r="E1464" i="5" a="1"/>
  <c r="E1464" i="5" s="1"/>
  <c r="E1207" i="5" a="1"/>
  <c r="E1207" i="5" s="1"/>
  <c r="E1208" i="5" a="1"/>
  <c r="E1208" i="5" s="1"/>
  <c r="E951" i="5" a="1"/>
  <c r="E951" i="5" s="1"/>
  <c r="E952" i="5" a="1"/>
  <c r="E952" i="5" s="1"/>
  <c r="E218" i="5" a="1"/>
  <c r="E218" i="5" s="1"/>
  <c r="E219" i="5" a="1"/>
  <c r="E219" i="5" s="1"/>
  <c r="E150" i="5" a="1"/>
  <c r="E150" i="5" s="1"/>
  <c r="E151" i="5" a="1"/>
  <c r="E151" i="5" s="1"/>
  <c r="E4327" i="5" a="1"/>
  <c r="E4327" i="5" s="1"/>
  <c r="E4328" i="5" a="1"/>
  <c r="E4328" i="5" s="1"/>
  <c r="E3604" i="5" a="1"/>
  <c r="E3604" i="5" s="1"/>
  <c r="E3605" i="5" a="1"/>
  <c r="E3605" i="5" s="1"/>
  <c r="E2903" i="5" a="1"/>
  <c r="E2903" i="5" s="1"/>
  <c r="E2904" i="5" a="1"/>
  <c r="E2904" i="5" s="1"/>
  <c r="E2433" i="5" a="1"/>
  <c r="E2433" i="5" s="1"/>
  <c r="E2434" i="5" a="1"/>
  <c r="E2434" i="5" s="1"/>
  <c r="E2002" i="5" a="1"/>
  <c r="E2002" i="5" s="1"/>
  <c r="E2003" i="5" a="1"/>
  <c r="E2003" i="5" s="1"/>
  <c r="E549" i="5" a="1"/>
  <c r="E549" i="5" s="1"/>
  <c r="E548" i="5" a="1"/>
  <c r="E548" i="5" s="1"/>
  <c r="E4516" i="5" a="1"/>
  <c r="E4516" i="5" s="1"/>
  <c r="E4517" i="5" a="1"/>
  <c r="E4517" i="5" s="1"/>
  <c r="E3799" i="5" a="1"/>
  <c r="E3799" i="5" s="1"/>
  <c r="E1872" i="5" a="1"/>
  <c r="E1872" i="5" s="1"/>
  <c r="E4001" i="5" a="1"/>
  <c r="E4001" i="5" s="1"/>
  <c r="E4002" i="5" a="1"/>
  <c r="E4002" i="5" s="1"/>
  <c r="E2590" i="5" a="1"/>
  <c r="E2590" i="5" s="1"/>
  <c r="E2591" i="5" a="1"/>
  <c r="E2591" i="5" s="1"/>
  <c r="E4509" i="5" a="1"/>
  <c r="E4509" i="5" s="1"/>
  <c r="E4510" i="5" a="1"/>
  <c r="E4510" i="5" s="1"/>
  <c r="E3728" i="5" a="1"/>
  <c r="E3728" i="5" s="1"/>
  <c r="E1384" i="5" a="1"/>
  <c r="E1384" i="5" s="1"/>
  <c r="E4255" i="5" a="1"/>
  <c r="E4255" i="5" s="1"/>
  <c r="E2970" i="5" a="1"/>
  <c r="E2970" i="5" s="1"/>
  <c r="E2579" i="5" a="1"/>
  <c r="E2579" i="5" s="1"/>
  <c r="E399" i="5" a="1"/>
  <c r="E399" i="5" s="1"/>
  <c r="E4745" i="5" a="1"/>
  <c r="E4745" i="5" s="1"/>
  <c r="E3768" i="5" a="1"/>
  <c r="E3768" i="5" s="1"/>
  <c r="E3663" i="5" a="1"/>
  <c r="E3663" i="5" s="1"/>
  <c r="E1517" i="5" a="1"/>
  <c r="E1517" i="5" s="1"/>
  <c r="E577" i="5" a="1"/>
  <c r="E577" i="5" s="1"/>
  <c r="E77" i="5" a="1"/>
  <c r="E77" i="5" s="1"/>
  <c r="E638" i="5" a="1"/>
  <c r="E638" i="5" s="1"/>
  <c r="E4873" i="5" a="1"/>
  <c r="E4873" i="5" s="1"/>
  <c r="E3338" i="5" a="1"/>
  <c r="E3338" i="5" s="1"/>
  <c r="E2580" i="5" a="1"/>
  <c r="E2580" i="5" s="1"/>
  <c r="E2581" i="5" a="1"/>
  <c r="E2581" i="5" s="1"/>
  <c r="E2976" i="5" a="1"/>
  <c r="E2976" i="5" s="1"/>
  <c r="E2977" i="5" a="1"/>
  <c r="E2977" i="5" s="1"/>
  <c r="E2709" i="5" a="1"/>
  <c r="E2709" i="5" s="1"/>
  <c r="E1544" i="5" a="1"/>
  <c r="E1544" i="5" s="1"/>
  <c r="E4607" i="5" a="1"/>
  <c r="E4607" i="5" s="1"/>
  <c r="E2099" i="5" a="1"/>
  <c r="E2099" i="5" s="1"/>
  <c r="E1875" i="5" a="1"/>
  <c r="E1875" i="5" s="1"/>
  <c r="E1619" i="5" a="1"/>
  <c r="E1619" i="5" s="1"/>
  <c r="E747" i="5" a="1"/>
  <c r="E747" i="5" s="1"/>
  <c r="E420" i="5" a="1"/>
  <c r="E420" i="5" s="1"/>
  <c r="E571" i="5" a="1"/>
  <c r="E571" i="5" s="1"/>
  <c r="E4014" i="5" a="1"/>
  <c r="E4014" i="5" s="1"/>
  <c r="E4015" i="5" a="1"/>
  <c r="E4015" i="5" s="1"/>
  <c r="E3647" i="5" a="1"/>
  <c r="E3647" i="5" s="1"/>
  <c r="E3648" i="5" a="1"/>
  <c r="E3648" i="5" s="1"/>
  <c r="E4664" i="5" a="1"/>
  <c r="E4664" i="5" s="1"/>
  <c r="E4665" i="5" a="1"/>
  <c r="E4665" i="5" s="1"/>
  <c r="E2536" i="5" a="1"/>
  <c r="E2536" i="5" s="1"/>
  <c r="E2537" i="5" a="1"/>
  <c r="E2537" i="5" s="1"/>
  <c r="E5008" i="5" a="1"/>
  <c r="E5008" i="5" s="1"/>
  <c r="E2169" i="5" a="1"/>
  <c r="E2169" i="5" s="1"/>
  <c r="E412" i="5" a="1"/>
  <c r="E412" i="5" s="1"/>
  <c r="E4237" i="5" a="1"/>
  <c r="E4237" i="5" s="1"/>
  <c r="E4238" i="5" a="1"/>
  <c r="E4238" i="5" s="1"/>
  <c r="E2599" i="5" a="1"/>
  <c r="E2599" i="5" s="1"/>
  <c r="E4671" i="5" a="1"/>
  <c r="E4671" i="5" s="1"/>
  <c r="E4089" i="5" a="1"/>
  <c r="E4089" i="5" s="1"/>
  <c r="E3933" i="5" a="1"/>
  <c r="E3933" i="5" s="1"/>
  <c r="E3529" i="5" a="1"/>
  <c r="E3529" i="5" s="1"/>
  <c r="E3395" i="5" a="1"/>
  <c r="E3395" i="5" s="1"/>
  <c r="E3281" i="5" a="1"/>
  <c r="E3281" i="5" s="1"/>
  <c r="E4853" i="5" a="1"/>
  <c r="E4853" i="5" s="1"/>
  <c r="E4854" i="5" a="1"/>
  <c r="E4854" i="5" s="1"/>
  <c r="E4562" i="5" a="1"/>
  <c r="E4562" i="5" s="1"/>
  <c r="E4563" i="5" a="1"/>
  <c r="E4563" i="5" s="1"/>
  <c r="E3919" i="5" a="1"/>
  <c r="E3919" i="5" s="1"/>
  <c r="E3920" i="5" a="1"/>
  <c r="E3920" i="5" s="1"/>
  <c r="E3690" i="5" a="1"/>
  <c r="E3690" i="5" s="1"/>
  <c r="E3607" i="5" a="1"/>
  <c r="E3607" i="5" s="1"/>
  <c r="E3291" i="5" a="1"/>
  <c r="E3291" i="5" s="1"/>
  <c r="E407" i="5" a="1"/>
  <c r="E407" i="5" s="1"/>
  <c r="E408" i="5" a="1"/>
  <c r="E408" i="5" s="1"/>
  <c r="E1410" i="5" a="1"/>
  <c r="E1410" i="5" s="1"/>
  <c r="E1411" i="5" a="1"/>
  <c r="E1411" i="5" s="1"/>
  <c r="E1428" i="5" a="1"/>
  <c r="E1428" i="5" s="1"/>
  <c r="E1429" i="5" a="1"/>
  <c r="E1429" i="5" s="1"/>
  <c r="E3658" i="5" a="1"/>
  <c r="E3658" i="5" s="1"/>
  <c r="E2885" i="5" a="1"/>
  <c r="E2885" i="5" s="1"/>
  <c r="E2589" i="5" a="1"/>
  <c r="E2589" i="5" s="1"/>
  <c r="E928" i="5" a="1"/>
  <c r="E928" i="5" s="1"/>
  <c r="E929" i="5" a="1"/>
  <c r="E929" i="5" s="1"/>
  <c r="E4676" i="5" a="1"/>
  <c r="E4676" i="5" s="1"/>
  <c r="E4569" i="5" a="1"/>
  <c r="E4569" i="5" s="1"/>
  <c r="E3872" i="5" a="1"/>
  <c r="E3872" i="5" s="1"/>
  <c r="E3445" i="5" a="1"/>
  <c r="E3445" i="5" s="1"/>
  <c r="E2842" i="5" a="1"/>
  <c r="E2842" i="5" s="1"/>
  <c r="E2519" i="5" a="1"/>
  <c r="E2519" i="5" s="1"/>
  <c r="E4533" i="5" a="1"/>
  <c r="E4533" i="5" s="1"/>
  <c r="E4144" i="5" a="1"/>
  <c r="E4144" i="5" s="1"/>
  <c r="E2719" i="5" a="1"/>
  <c r="E2719" i="5" s="1"/>
  <c r="E2645" i="5" a="1"/>
  <c r="E2645" i="5" s="1"/>
  <c r="E3322" i="5" a="1"/>
  <c r="E3322" i="5" s="1"/>
  <c r="E3168" i="5" a="1"/>
  <c r="E3168" i="5" s="1"/>
  <c r="E1173" i="5" a="1"/>
  <c r="E1173" i="5" s="1"/>
  <c r="E238" i="5" a="1"/>
  <c r="E238" i="5" s="1"/>
  <c r="E1958" i="5" a="1"/>
  <c r="E1958" i="5" s="1"/>
  <c r="E3130" i="5" a="1"/>
  <c r="E3130" i="5" s="1"/>
  <c r="E3131" i="5" a="1"/>
  <c r="E3131" i="5" s="1"/>
  <c r="E3256" i="5" a="1"/>
  <c r="E3256" i="5" s="1"/>
  <c r="E3257" i="5" a="1"/>
  <c r="E3257" i="5" s="1"/>
  <c r="E3089" i="5" a="1"/>
  <c r="E3089" i="5" s="1"/>
  <c r="E3090" i="5" a="1"/>
  <c r="E3090" i="5" s="1"/>
  <c r="E468" i="5" a="1"/>
  <c r="E468" i="5" s="1"/>
  <c r="E469" i="5" a="1"/>
  <c r="E469" i="5" s="1"/>
  <c r="E615" i="5" a="1"/>
  <c r="E615" i="5" s="1"/>
  <c r="E4298" i="5" a="1"/>
  <c r="E4298" i="5" s="1"/>
  <c r="E3691" i="5" a="1"/>
  <c r="E3691" i="5" s="1"/>
  <c r="E3427" i="5" a="1"/>
  <c r="E3427" i="5" s="1"/>
  <c r="E2791" i="5" a="1"/>
  <c r="E2791" i="5" s="1"/>
  <c r="E2792" i="5" a="1"/>
  <c r="E2792" i="5" s="1"/>
  <c r="E361" i="5" a="1"/>
  <c r="E361" i="5" s="1"/>
  <c r="E2237" i="5" a="1"/>
  <c r="E2237" i="5" s="1"/>
  <c r="E2238" i="5" a="1"/>
  <c r="E2238" i="5" s="1"/>
  <c r="E1960" i="5" a="1"/>
  <c r="E1960" i="5" s="1"/>
  <c r="E902" i="5" a="1"/>
  <c r="E902" i="5" s="1"/>
  <c r="E4183" i="5" a="1"/>
  <c r="E4183" i="5" s="1"/>
  <c r="E3143" i="5" a="1"/>
  <c r="E3143" i="5" s="1"/>
  <c r="E1793" i="5" a="1"/>
  <c r="E1793" i="5" s="1"/>
  <c r="E961" i="5" a="1"/>
  <c r="E961" i="5" s="1"/>
  <c r="E4424" i="5" a="1"/>
  <c r="E4424" i="5" s="1"/>
  <c r="E4610" i="5" a="1"/>
  <c r="E4610" i="5" s="1"/>
  <c r="E4083" i="5" a="1"/>
  <c r="E4083" i="5" s="1"/>
  <c r="E2229" i="5" a="1"/>
  <c r="E2229" i="5" s="1"/>
  <c r="E2223" i="5" a="1"/>
  <c r="E2223" i="5" s="1"/>
  <c r="E1723" i="5" a="1"/>
  <c r="E1723" i="5" s="1"/>
  <c r="E1836" i="5" a="1"/>
  <c r="E1836" i="5" s="1"/>
  <c r="E1580" i="5" a="1"/>
  <c r="E1580" i="5" s="1"/>
  <c r="E1930" i="5" a="1"/>
  <c r="E1930" i="5" s="1"/>
  <c r="E1674" i="5" a="1"/>
  <c r="E1674" i="5" s="1"/>
  <c r="E1074" i="5" a="1"/>
  <c r="E1074" i="5" s="1"/>
  <c r="E1075" i="5" a="1"/>
  <c r="E1075" i="5" s="1"/>
  <c r="E519" i="5" a="1"/>
  <c r="E519" i="5" s="1"/>
  <c r="E4387" i="5" a="1"/>
  <c r="E4387" i="5" s="1"/>
  <c r="E3835" i="5" a="1"/>
  <c r="E3835" i="5" s="1"/>
  <c r="E2523" i="5" a="1"/>
  <c r="E2523" i="5" s="1"/>
  <c r="E2034" i="5" a="1"/>
  <c r="E2034" i="5" s="1"/>
  <c r="E1910" i="5" a="1"/>
  <c r="E1910" i="5" s="1"/>
  <c r="E1654" i="5" a="1"/>
  <c r="E1654" i="5" s="1"/>
  <c r="E775" i="5" a="1"/>
  <c r="E775" i="5" s="1"/>
  <c r="E334" i="5" a="1"/>
  <c r="E334" i="5" s="1"/>
  <c r="E2826" i="5" a="1"/>
  <c r="E2826" i="5" s="1"/>
  <c r="E2603" i="5" a="1"/>
  <c r="E2603" i="5" s="1"/>
  <c r="E4443" i="5" a="1"/>
  <c r="E4443" i="5" s="1"/>
  <c r="E5020" i="5" a="1"/>
  <c r="E5020" i="5" s="1"/>
  <c r="E4870" i="5" a="1"/>
  <c r="E4870" i="5" s="1"/>
  <c r="E4816" i="5" a="1"/>
  <c r="E4816" i="5" s="1"/>
  <c r="E4567" i="5" a="1"/>
  <c r="E4567" i="5" s="1"/>
  <c r="E4141" i="5" a="1"/>
  <c r="E4141" i="5" s="1"/>
  <c r="E3275" i="5" a="1"/>
  <c r="E3275" i="5" s="1"/>
  <c r="E2788" i="5" a="1"/>
  <c r="E2788" i="5" s="1"/>
  <c r="E2789" i="5" a="1"/>
  <c r="E2789" i="5" s="1"/>
  <c r="E2615" i="5" a="1"/>
  <c r="E2615" i="5" s="1"/>
  <c r="E1771" i="5" a="1"/>
  <c r="E1771" i="5" s="1"/>
  <c r="E663" i="5" a="1"/>
  <c r="E663" i="5" s="1"/>
  <c r="E53" i="5" a="1"/>
  <c r="E53" i="5" s="1"/>
  <c r="E1261" i="5" a="1"/>
  <c r="E1261" i="5" s="1"/>
  <c r="E1005" i="5" a="1"/>
  <c r="E1005" i="5" s="1"/>
  <c r="E2604" i="5" a="1"/>
  <c r="E2604" i="5" s="1"/>
  <c r="E2605" i="5" a="1"/>
  <c r="E2605" i="5" s="1"/>
  <c r="E3179" i="5" a="1"/>
  <c r="E3179" i="5" s="1"/>
  <c r="E2659" i="5" a="1"/>
  <c r="E2659" i="5" s="1"/>
  <c r="E710" i="5" a="1"/>
  <c r="E710" i="5" s="1"/>
  <c r="E2575" i="5" a="1"/>
  <c r="E2575" i="5" s="1"/>
  <c r="E798" i="5" a="1"/>
  <c r="E798" i="5" s="1"/>
  <c r="E799" i="5" a="1"/>
  <c r="E799" i="5" s="1"/>
  <c r="E439" i="5" a="1"/>
  <c r="E439" i="5" s="1"/>
  <c r="E4949" i="5" a="1"/>
  <c r="E4949" i="5" s="1"/>
  <c r="E4950" i="5" a="1"/>
  <c r="E4950" i="5" s="1"/>
  <c r="E4942" i="5" a="1"/>
  <c r="E4942" i="5" s="1"/>
  <c r="E1885" i="5" a="1"/>
  <c r="E1885" i="5" s="1"/>
  <c r="E1629" i="5" a="1"/>
  <c r="E1629" i="5" s="1"/>
  <c r="E3707" i="5" a="1"/>
  <c r="E3707" i="5" s="1"/>
  <c r="E2677" i="5" a="1"/>
  <c r="E2677" i="5" s="1"/>
  <c r="E1865" i="5" a="1"/>
  <c r="E1865" i="5" s="1"/>
  <c r="E1609" i="5" a="1"/>
  <c r="E1609" i="5" s="1"/>
  <c r="E4863" i="5" a="1"/>
  <c r="E4863" i="5" s="1"/>
  <c r="E2731" i="5" a="1"/>
  <c r="E2731" i="5" s="1"/>
  <c r="E1696" i="5" a="1"/>
  <c r="E1696" i="5" s="1"/>
  <c r="E1873" i="5" a="1"/>
  <c r="E1873" i="5" s="1"/>
  <c r="E294" i="5" a="1"/>
  <c r="E294" i="5" s="1"/>
  <c r="E50" i="5" a="1"/>
  <c r="E50" i="5" s="1"/>
  <c r="E328" i="5" a="1"/>
  <c r="E328" i="5" s="1"/>
  <c r="E1697" i="5" a="1"/>
  <c r="E1697" i="5" s="1"/>
  <c r="E4210" i="5" a="1"/>
  <c r="E4210" i="5" s="1"/>
  <c r="E3641" i="5" a="1"/>
  <c r="E3641" i="5" s="1"/>
  <c r="E2875" i="5" a="1"/>
  <c r="E2875" i="5" s="1"/>
  <c r="E2876" i="5" a="1"/>
  <c r="E2876" i="5" s="1"/>
  <c r="E1692" i="5" a="1"/>
  <c r="E1692" i="5" s="1"/>
  <c r="E488" i="5" a="1"/>
  <c r="E488" i="5" s="1"/>
  <c r="E731" i="5" a="1"/>
  <c r="E731" i="5" s="1"/>
  <c r="E5000" i="5" a="1"/>
  <c r="E5000" i="5" s="1"/>
  <c r="E2039" i="5" a="1"/>
  <c r="E2039" i="5" s="1"/>
  <c r="E1524" i="5" a="1"/>
  <c r="E1524" i="5" s="1"/>
  <c r="E3268" i="5" a="1"/>
  <c r="E3268" i="5" s="1"/>
  <c r="E2480" i="5" a="1"/>
  <c r="E2480" i="5" s="1"/>
  <c r="E4625" i="5" a="1"/>
  <c r="E4625" i="5" s="1"/>
  <c r="E3998" i="5" a="1"/>
  <c r="E3998" i="5" s="1"/>
  <c r="E3999" i="5" a="1"/>
  <c r="E3999" i="5" s="1"/>
  <c r="E3368" i="5" a="1"/>
  <c r="E3368" i="5" s="1"/>
  <c r="E2606" i="5" a="1"/>
  <c r="E2606" i="5" s="1"/>
  <c r="E2607" i="5" a="1"/>
  <c r="E2607" i="5" s="1"/>
  <c r="E2735" i="5" a="1"/>
  <c r="E2735" i="5" s="1"/>
  <c r="E869" i="5" a="1"/>
  <c r="E869" i="5" s="1"/>
  <c r="E870" i="5" a="1"/>
  <c r="E870" i="5" s="1"/>
  <c r="E3602" i="5" a="1"/>
  <c r="E3602" i="5" s="1"/>
  <c r="E3603" i="5" a="1"/>
  <c r="E3603" i="5" s="1"/>
  <c r="E132" i="5" a="1"/>
  <c r="E132" i="5" s="1"/>
  <c r="E133" i="5" a="1"/>
  <c r="E133" i="5" s="1"/>
  <c r="E4752" i="5" a="1"/>
  <c r="E4752" i="5" s="1"/>
  <c r="E4753" i="5" a="1"/>
  <c r="E4753" i="5" s="1"/>
  <c r="E3698" i="5" a="1"/>
  <c r="E3698" i="5" s="1"/>
  <c r="E3699" i="5" a="1"/>
  <c r="E3699" i="5" s="1"/>
  <c r="E681" i="5" a="1"/>
  <c r="E681" i="5" s="1"/>
  <c r="E3800" i="5" a="1"/>
  <c r="E3800" i="5" s="1"/>
  <c r="E3048" i="5" a="1"/>
  <c r="E3048" i="5" s="1"/>
  <c r="E3049" i="5" a="1"/>
  <c r="E3049" i="5" s="1"/>
  <c r="E2898" i="5" a="1"/>
  <c r="E2898" i="5" s="1"/>
  <c r="E2899" i="5" a="1"/>
  <c r="E2899" i="5" s="1"/>
  <c r="E2703" i="5" a="1"/>
  <c r="E2703" i="5" s="1"/>
  <c r="E2775" i="5" a="1"/>
  <c r="E2775" i="5" s="1"/>
  <c r="E2776" i="5" a="1"/>
  <c r="E2776" i="5" s="1"/>
  <c r="E2660" i="5" a="1"/>
  <c r="E2660" i="5" s="1"/>
  <c r="E2661" i="5" a="1"/>
  <c r="E2661" i="5" s="1"/>
  <c r="E1664" i="5" a="1"/>
  <c r="E1664" i="5" s="1"/>
  <c r="E1665" i="5" a="1"/>
  <c r="E1665" i="5" s="1"/>
  <c r="E1736" i="5" a="1"/>
  <c r="E1736" i="5" s="1"/>
  <c r="E1616" i="5" a="1"/>
  <c r="E1616" i="5" s="1"/>
  <c r="E309" i="5" a="1"/>
  <c r="E309" i="5" s="1"/>
  <c r="E1978" i="5" a="1"/>
  <c r="E1978" i="5" s="1"/>
  <c r="E1529" i="5" a="1"/>
  <c r="E1529" i="5" s="1"/>
  <c r="E1850" i="5" a="1"/>
  <c r="E1850" i="5" s="1"/>
  <c r="E1594" i="5" a="1"/>
  <c r="E1594" i="5" s="1"/>
  <c r="E4972" i="5" a="1"/>
  <c r="E4972" i="5" s="1"/>
  <c r="E4773" i="5" a="1"/>
  <c r="E4773" i="5" s="1"/>
  <c r="E3732" i="5" a="1"/>
  <c r="E3732" i="5" s="1"/>
  <c r="E2018" i="5" a="1"/>
  <c r="E2018" i="5" s="1"/>
  <c r="E1815" i="5" a="1"/>
  <c r="E1815" i="5" s="1"/>
  <c r="E1559" i="5" a="1"/>
  <c r="E1559" i="5" s="1"/>
  <c r="E1963" i="5" a="1"/>
  <c r="E1963" i="5" s="1"/>
  <c r="E1702" i="5" a="1"/>
  <c r="E1702" i="5" s="1"/>
  <c r="E4497" i="5" a="1"/>
  <c r="E4497" i="5" s="1"/>
  <c r="E4178" i="5" a="1"/>
  <c r="E4178" i="5" s="1"/>
  <c r="E3854" i="5" a="1"/>
  <c r="E3854" i="5" s="1"/>
  <c r="E631" i="5" a="1"/>
  <c r="E631" i="5" s="1"/>
  <c r="E4233" i="5" a="1"/>
  <c r="E4233" i="5" s="1"/>
  <c r="E2330" i="5" a="1"/>
  <c r="E2330" i="5" s="1"/>
  <c r="E4027" i="5" a="1"/>
  <c r="E4027" i="5" s="1"/>
  <c r="E3279" i="5" a="1"/>
  <c r="E3279" i="5" s="1"/>
  <c r="E1794" i="5" a="1"/>
  <c r="E1794" i="5" s="1"/>
  <c r="E789" i="5" a="1"/>
  <c r="E789" i="5" s="1"/>
  <c r="E3915" i="5" a="1"/>
  <c r="E3915" i="5" s="1"/>
  <c r="E1928" i="5" a="1"/>
  <c r="E1928" i="5" s="1"/>
  <c r="E1672" i="5" a="1"/>
  <c r="E1672" i="5" s="1"/>
  <c r="E4453" i="5" a="1"/>
  <c r="E4453" i="5" s="1"/>
  <c r="E3916" i="5" a="1"/>
  <c r="E3916" i="5" s="1"/>
  <c r="E4581" i="5" a="1"/>
  <c r="E4581" i="5" s="1"/>
  <c r="E375" i="5" a="1"/>
  <c r="E375" i="5" s="1"/>
  <c r="E3415" i="5" a="1"/>
  <c r="E3415" i="5" s="1"/>
  <c r="E3660" i="5" a="1"/>
  <c r="E3660" i="5" s="1"/>
  <c r="E3186" i="5" a="1"/>
  <c r="E3186" i="5" s="1"/>
  <c r="E2525" i="5" a="1"/>
  <c r="E2525" i="5" s="1"/>
  <c r="E2546" i="5" a="1"/>
  <c r="E2546" i="5" s="1"/>
  <c r="E3272" i="5" a="1"/>
  <c r="E3272" i="5" s="1"/>
  <c r="E875" i="5" a="1"/>
  <c r="E875" i="5" s="1"/>
  <c r="E4107" i="5" a="1"/>
  <c r="E4107" i="5" s="1"/>
  <c r="E4748" i="5" a="1"/>
  <c r="E4748" i="5" s="1"/>
  <c r="E4674" i="5" a="1"/>
  <c r="E4674" i="5" s="1"/>
  <c r="E1073" i="5" a="1"/>
  <c r="E1073" i="5" s="1"/>
  <c r="E1409" i="5" a="1"/>
  <c r="E1409" i="5" s="1"/>
  <c r="E686" i="5" a="1"/>
  <c r="E686" i="5" s="1"/>
  <c r="E4065" i="5" a="1"/>
  <c r="E4065" i="5" s="1"/>
  <c r="E240" i="5" a="1"/>
  <c r="E240" i="5" s="1"/>
  <c r="E794" i="5" a="1"/>
  <c r="E794" i="5" s="1"/>
  <c r="E538" i="5" a="1"/>
  <c r="E538" i="5" s="1"/>
  <c r="E4320" i="5" a="1"/>
  <c r="E4320" i="5" s="1"/>
  <c r="E3849" i="5" a="1"/>
  <c r="E3849" i="5" s="1"/>
  <c r="E3286" i="5" a="1"/>
  <c r="E3286" i="5" s="1"/>
  <c r="E2322" i="5" a="1"/>
  <c r="E2322" i="5" s="1"/>
  <c r="E1285" i="5" a="1"/>
  <c r="E1285" i="5" s="1"/>
  <c r="E1029" i="5" a="1"/>
  <c r="E1029" i="5" s="1"/>
  <c r="E299" i="5" a="1"/>
  <c r="E299" i="5" s="1"/>
  <c r="E2863" i="5" a="1"/>
  <c r="E2863" i="5" s="1"/>
  <c r="E2393" i="5" a="1"/>
  <c r="E2393" i="5" s="1"/>
  <c r="E1952" i="5" a="1"/>
  <c r="E1952" i="5" s="1"/>
  <c r="E1320" i="5" a="1"/>
  <c r="E1320" i="5" s="1"/>
  <c r="E1633" i="5" a="1"/>
  <c r="E1633" i="5" s="1"/>
  <c r="S50" i="4"/>
  <c r="J6" i="4"/>
  <c r="E4774" i="5" a="1"/>
  <c r="E4774" i="5" s="1"/>
  <c r="E4632" i="5" a="1"/>
  <c r="E4632" i="5" s="1"/>
  <c r="E3838" i="5" a="1"/>
  <c r="E3838" i="5" s="1"/>
  <c r="E1916" i="5" a="1"/>
  <c r="E1916" i="5" s="1"/>
  <c r="E1660" i="5" a="1"/>
  <c r="E1660" i="5" s="1"/>
  <c r="E1357" i="5" a="1"/>
  <c r="E1357" i="5" s="1"/>
  <c r="E1101" i="5" a="1"/>
  <c r="E1101" i="5" s="1"/>
  <c r="E4461" i="5" a="1"/>
  <c r="E4461" i="5" s="1"/>
  <c r="E2438" i="5" a="1"/>
  <c r="E2438" i="5" s="1"/>
  <c r="E2342" i="5" a="1"/>
  <c r="E2342" i="5" s="1"/>
  <c r="E1881" i="5" a="1"/>
  <c r="E1881" i="5" s="1"/>
  <c r="E1625" i="5" a="1"/>
  <c r="E1625" i="5" s="1"/>
  <c r="E4724" i="5" a="1"/>
  <c r="E4724" i="5" s="1"/>
  <c r="E3744" i="5" a="1"/>
  <c r="E3744" i="5" s="1"/>
  <c r="E3058" i="5" a="1"/>
  <c r="E3058" i="5" s="1"/>
  <c r="E2867" i="5" a="1"/>
  <c r="E2867" i="5" s="1"/>
  <c r="E2908" i="5" a="1"/>
  <c r="E2908" i="5" s="1"/>
  <c r="E1812" i="5" a="1"/>
  <c r="E1812" i="5" s="1"/>
  <c r="E1556" i="5" a="1"/>
  <c r="E1556" i="5" s="1"/>
  <c r="E3772" i="5" a="1"/>
  <c r="E3772" i="5" s="1"/>
  <c r="E3894" i="5" a="1"/>
  <c r="E3894" i="5" s="1"/>
  <c r="E3284" i="5" a="1"/>
  <c r="E3284" i="5" s="1"/>
  <c r="E2895" i="5" a="1"/>
  <c r="E2895" i="5" s="1"/>
  <c r="E1096" i="5" a="1"/>
  <c r="E1096" i="5" s="1"/>
  <c r="T50" i="4"/>
  <c r="F51" i="4" s="1"/>
  <c r="I9" i="4" s="1"/>
  <c r="E4471" i="5" a="1"/>
  <c r="E4471" i="5" s="1"/>
  <c r="E4227" i="5" a="1"/>
  <c r="E4227" i="5" s="1"/>
  <c r="E4109" i="5" a="1"/>
  <c r="E4109" i="5" s="1"/>
  <c r="E4007" i="5" a="1"/>
  <c r="E4007" i="5" s="1"/>
  <c r="E3774" i="5" a="1"/>
  <c r="E3774" i="5" s="1"/>
  <c r="E3479" i="5" a="1"/>
  <c r="E3479" i="5" s="1"/>
  <c r="E2373" i="5" a="1"/>
  <c r="E2373" i="5" s="1"/>
  <c r="E2695" i="5" a="1"/>
  <c r="E2695" i="5" s="1"/>
  <c r="E2567" i="5" a="1"/>
  <c r="E2567" i="5" s="1"/>
  <c r="E1773" i="5" a="1"/>
  <c r="E1773" i="5" s="1"/>
  <c r="E88" i="5" a="1"/>
  <c r="E88" i="5" s="1"/>
  <c r="E4049" i="5" a="1"/>
  <c r="E4049" i="5" s="1"/>
  <c r="E3997" i="5" a="1"/>
  <c r="E3997" i="5" s="1"/>
  <c r="E3459" i="5" a="1"/>
  <c r="E3459" i="5" s="1"/>
  <c r="E2821" i="5" a="1"/>
  <c r="E2821" i="5" s="1"/>
  <c r="E2685" i="5" a="1"/>
  <c r="E2685" i="5" s="1"/>
  <c r="E2557" i="5" a="1"/>
  <c r="E2557" i="5" s="1"/>
  <c r="E1986" i="5" a="1"/>
  <c r="E1986" i="5" s="1"/>
  <c r="E2336" i="5" a="1"/>
  <c r="E2336" i="5" s="1"/>
  <c r="E791" i="5" a="1"/>
  <c r="E791" i="5" s="1"/>
  <c r="E4717" i="5" a="1"/>
  <c r="E4717" i="5" s="1"/>
  <c r="E4633" i="5" a="1"/>
  <c r="E4633" i="5" s="1"/>
  <c r="E4368" i="5" a="1"/>
  <c r="E4368" i="5" s="1"/>
  <c r="E3956" i="5" a="1"/>
  <c r="E3956" i="5" s="1"/>
  <c r="E3680" i="5" a="1"/>
  <c r="E3680" i="5" s="1"/>
  <c r="E3250" i="5" a="1"/>
  <c r="E3250" i="5" s="1"/>
  <c r="E2906" i="5" a="1"/>
  <c r="E2906" i="5" s="1"/>
  <c r="E2801" i="5" a="1"/>
  <c r="E2801" i="5" s="1"/>
  <c r="E2844" i="5" a="1"/>
  <c r="E2844" i="5" s="1"/>
  <c r="E2675" i="5" a="1"/>
  <c r="E2675" i="5" s="1"/>
  <c r="E1925" i="5" a="1"/>
  <c r="E1925" i="5" s="1"/>
  <c r="E1669" i="5" a="1"/>
  <c r="E1669" i="5" s="1"/>
  <c r="E822" i="5" a="1"/>
  <c r="E822" i="5" s="1"/>
  <c r="E226" i="5" a="1"/>
  <c r="E226" i="5" s="1"/>
  <c r="E719" i="5" a="1"/>
  <c r="E719" i="5" s="1"/>
  <c r="E5033" i="5" a="1"/>
  <c r="E5033" i="5" s="1"/>
  <c r="E4587" i="5" a="1"/>
  <c r="E4587" i="5" s="1"/>
  <c r="E4097" i="5" a="1"/>
  <c r="E4097" i="5" s="1"/>
  <c r="E3022" i="5" a="1"/>
  <c r="E3022" i="5" s="1"/>
  <c r="E2297" i="5" a="1"/>
  <c r="E2297" i="5" s="1"/>
  <c r="E2079" i="5" a="1"/>
  <c r="E2079" i="5" s="1"/>
  <c r="E1345" i="5" a="1"/>
  <c r="E1345" i="5" s="1"/>
  <c r="E4989" i="5" a="1"/>
  <c r="E4989" i="5" s="1"/>
  <c r="E4894" i="5" a="1"/>
  <c r="E4894" i="5" s="1"/>
  <c r="E4736" i="5" a="1"/>
  <c r="E4736" i="5" s="1"/>
  <c r="E4465" i="5" a="1"/>
  <c r="E4465" i="5" s="1"/>
  <c r="E4147" i="5" a="1"/>
  <c r="E4147" i="5" s="1"/>
  <c r="E4256" i="5" a="1"/>
  <c r="E4256" i="5" s="1"/>
  <c r="E3832" i="5" a="1"/>
  <c r="E3832" i="5" s="1"/>
  <c r="E3597" i="5" a="1"/>
  <c r="E3597" i="5" s="1"/>
  <c r="E3664" i="5" a="1"/>
  <c r="E3664" i="5" s="1"/>
  <c r="E3463" i="5" a="1"/>
  <c r="E3463" i="5" s="1"/>
  <c r="E3018" i="5" a="1"/>
  <c r="E3018" i="5" s="1"/>
  <c r="E3007" i="5" a="1"/>
  <c r="E3007" i="5" s="1"/>
  <c r="E2357" i="5" a="1"/>
  <c r="E2357" i="5" s="1"/>
  <c r="E2351" i="5" a="1"/>
  <c r="E2351" i="5" s="1"/>
  <c r="E2687" i="5" a="1"/>
  <c r="E2687" i="5" s="1"/>
  <c r="E2559" i="5" a="1"/>
  <c r="E2559" i="5" s="1"/>
  <c r="E2000" i="5" a="1"/>
  <c r="E2000" i="5" s="1"/>
  <c r="E1533" i="5" a="1"/>
  <c r="E1533" i="5" s="1"/>
  <c r="E699" i="5" a="1"/>
  <c r="E699" i="5" s="1"/>
  <c r="E492" i="5" a="1"/>
  <c r="E492" i="5" s="1"/>
  <c r="E71" i="5" a="1"/>
  <c r="E71" i="5" s="1"/>
  <c r="E641" i="5" a="1"/>
  <c r="E641" i="5" s="1"/>
  <c r="E702" i="5" a="1"/>
  <c r="E702" i="5" s="1"/>
  <c r="E4937" i="5" a="1"/>
  <c r="E4937" i="5" s="1"/>
  <c r="E4812" i="5" a="1"/>
  <c r="E4812" i="5" s="1"/>
  <c r="E4627" i="5" a="1"/>
  <c r="E4627" i="5" s="1"/>
  <c r="E3571" i="5" a="1"/>
  <c r="E3571" i="5" s="1"/>
  <c r="E3354" i="5" a="1"/>
  <c r="E3354" i="5" s="1"/>
  <c r="E3252" i="5" a="1"/>
  <c r="E3252" i="5" s="1"/>
  <c r="E3315" i="5" a="1"/>
  <c r="E3315" i="5" s="1"/>
  <c r="E2209" i="5" a="1"/>
  <c r="E2209" i="5" s="1"/>
  <c r="E2933" i="5" a="1"/>
  <c r="E2933" i="5" s="1"/>
  <c r="E2741" i="5" a="1"/>
  <c r="E2741" i="5" s="1"/>
  <c r="E2613" i="5" a="1"/>
  <c r="E2613" i="5" s="1"/>
  <c r="E2183" i="5" a="1"/>
  <c r="E2183" i="5" s="1"/>
  <c r="E2310" i="5" a="1"/>
  <c r="E2310" i="5" s="1"/>
  <c r="E2466" i="5" a="1"/>
  <c r="E2466" i="5" s="1"/>
  <c r="E2049" i="5" a="1"/>
  <c r="E2049" i="5" s="1"/>
  <c r="E1688" i="5" a="1"/>
  <c r="E1688" i="5" s="1"/>
  <c r="E1782" i="5" a="1"/>
  <c r="E1782" i="5" s="1"/>
  <c r="E1475" i="5" a="1"/>
  <c r="E1475" i="5" s="1"/>
  <c r="E1219" i="5" a="1"/>
  <c r="E1219" i="5" s="1"/>
  <c r="E963" i="5" a="1"/>
  <c r="E963" i="5" s="1"/>
  <c r="E428" i="5" a="1"/>
  <c r="E428" i="5" s="1"/>
  <c r="E186" i="5" a="1"/>
  <c r="E186" i="5" s="1"/>
  <c r="E907" i="5" a="1"/>
  <c r="E907" i="5" s="1"/>
  <c r="E749" i="5" a="1"/>
  <c r="E749" i="5" s="1"/>
  <c r="E727" i="5" a="1"/>
  <c r="E727" i="5" s="1"/>
  <c r="E162" i="5" a="1"/>
  <c r="E162" i="5" s="1"/>
  <c r="E4755" i="5" a="1"/>
  <c r="E4755" i="5" s="1"/>
  <c r="E4769" i="5" a="1"/>
  <c r="E4769" i="5" s="1"/>
  <c r="E4489" i="5" a="1"/>
  <c r="E4489" i="5" s="1"/>
  <c r="E4415" i="5" a="1"/>
  <c r="E4415" i="5" s="1"/>
  <c r="E4198" i="5" a="1"/>
  <c r="E4198" i="5" s="1"/>
  <c r="E4036" i="5" a="1"/>
  <c r="E4036" i="5" s="1"/>
  <c r="E3792" i="5" a="1"/>
  <c r="E3792" i="5" s="1"/>
  <c r="E3486" i="5" a="1"/>
  <c r="E3486" i="5" s="1"/>
  <c r="E3106" i="5" a="1"/>
  <c r="E3106" i="5" s="1"/>
  <c r="E3232" i="5" a="1"/>
  <c r="E3232" i="5" s="1"/>
  <c r="E3295" i="5" a="1"/>
  <c r="E3295" i="5" s="1"/>
  <c r="E2915" i="5" a="1"/>
  <c r="E2915" i="5" s="1"/>
  <c r="E2445" i="5" a="1"/>
  <c r="E2445" i="5" s="1"/>
  <c r="E2890" i="5" a="1"/>
  <c r="E2890" i="5" s="1"/>
  <c r="E2785" i="5" a="1"/>
  <c r="E2785" i="5" s="1"/>
  <c r="E2764" i="5" a="1"/>
  <c r="E2764" i="5" s="1"/>
  <c r="E2635" i="5" a="1"/>
  <c r="E2635" i="5" s="1"/>
  <c r="E2142" i="5" a="1"/>
  <c r="E2142" i="5" s="1"/>
  <c r="E2398" i="5" a="1"/>
  <c r="E2398" i="5" s="1"/>
  <c r="E648" i="5" a="1"/>
  <c r="E648" i="5" s="1"/>
  <c r="E1493" i="5" a="1"/>
  <c r="E1493" i="5" s="1"/>
  <c r="E1237" i="5" a="1"/>
  <c r="E1237" i="5" s="1"/>
  <c r="E981" i="5" a="1"/>
  <c r="E981" i="5" s="1"/>
  <c r="E833" i="5" a="1"/>
  <c r="E833" i="5" s="1"/>
  <c r="E601" i="5" a="1"/>
  <c r="E601" i="5" s="1"/>
  <c r="E4507" i="5" a="1"/>
  <c r="E4507" i="5" s="1"/>
  <c r="E4408" i="5" a="1"/>
  <c r="E4408" i="5" s="1"/>
  <c r="E4228" i="5" a="1"/>
  <c r="E4228" i="5" s="1"/>
  <c r="E4018" i="5" a="1"/>
  <c r="E4018" i="5" s="1"/>
  <c r="E3954" i="5" a="1"/>
  <c r="E3954" i="5" s="1"/>
  <c r="E3004" i="5" a="1"/>
  <c r="E3004" i="5" s="1"/>
  <c r="E2345" i="5" a="1"/>
  <c r="E2345" i="5" s="1"/>
  <c r="E2339" i="5" a="1"/>
  <c r="E2339" i="5" s="1"/>
  <c r="E2060" i="5" a="1"/>
  <c r="E2060" i="5" s="1"/>
  <c r="E676" i="5" a="1"/>
  <c r="E676" i="5" s="1"/>
  <c r="E489" i="5" a="1"/>
  <c r="E489" i="5" s="1"/>
  <c r="E1393" i="5" a="1"/>
  <c r="E1393" i="5" s="1"/>
  <c r="E1137" i="5" a="1"/>
  <c r="E1137" i="5" s="1"/>
  <c r="E2288" i="5" a="1"/>
  <c r="E2288" i="5" s="1"/>
  <c r="E596" i="5" a="1"/>
  <c r="E596" i="5" s="1"/>
  <c r="E109" i="5" a="1"/>
  <c r="E109" i="5" s="1"/>
  <c r="E1000" i="5" a="1"/>
  <c r="E1000" i="5" s="1"/>
  <c r="E1776" i="5" a="1"/>
  <c r="E1776" i="5" s="1"/>
  <c r="E212" i="5" a="1"/>
  <c r="E212" i="5" s="1"/>
  <c r="E184" i="5" a="1"/>
  <c r="E184" i="5" s="1"/>
  <c r="E5023" i="5" a="1"/>
  <c r="E5023" i="5" s="1"/>
  <c r="E4536" i="5" a="1"/>
  <c r="E4536" i="5" s="1"/>
  <c r="E4513" i="5" a="1"/>
  <c r="E4513" i="5" s="1"/>
  <c r="E4466" i="5" a="1"/>
  <c r="E4466" i="5" s="1"/>
  <c r="E4195" i="5" a="1"/>
  <c r="E4195" i="5" s="1"/>
  <c r="E4077" i="5" a="1"/>
  <c r="E4077" i="5" s="1"/>
  <c r="E4084" i="5" a="1"/>
  <c r="E4084" i="5" s="1"/>
  <c r="E3880" i="5" a="1"/>
  <c r="E3880" i="5" s="1"/>
  <c r="E3775" i="5" a="1"/>
  <c r="E3775" i="5" s="1"/>
  <c r="E3645" i="5" a="1"/>
  <c r="E3645" i="5" s="1"/>
  <c r="E3389" i="5" a="1"/>
  <c r="E3389" i="5" s="1"/>
  <c r="E3511" i="5" a="1"/>
  <c r="E3511" i="5" s="1"/>
  <c r="E3339" i="5" a="1"/>
  <c r="E3339" i="5" s="1"/>
  <c r="E3274" i="5" a="1"/>
  <c r="E3274" i="5" s="1"/>
  <c r="E2405" i="5" a="1"/>
  <c r="E2405" i="5" s="1"/>
  <c r="E2399" i="5" a="1"/>
  <c r="E2399" i="5" s="1"/>
  <c r="E2711" i="5" a="1"/>
  <c r="E2711" i="5" s="1"/>
  <c r="E2583" i="5" a="1"/>
  <c r="E2583" i="5" s="1"/>
  <c r="E2402" i="5" a="1"/>
  <c r="E2402" i="5" s="1"/>
  <c r="E1545" i="5" a="1"/>
  <c r="E1545" i="5" s="1"/>
  <c r="E736" i="5" a="1"/>
  <c r="E736" i="5" s="1"/>
  <c r="E504" i="5" a="1"/>
  <c r="E504" i="5" s="1"/>
  <c r="E1325" i="5" a="1"/>
  <c r="E1325" i="5" s="1"/>
  <c r="E1069" i="5" a="1"/>
  <c r="E1069" i="5" s="1"/>
  <c r="E689" i="5" a="1"/>
  <c r="E689" i="5" s="1"/>
  <c r="E194" i="5" a="1"/>
  <c r="E194" i="5" s="1"/>
  <c r="E750" i="5" a="1"/>
  <c r="E750" i="5" s="1"/>
  <c r="E5001" i="5" a="1"/>
  <c r="E5001" i="5" s="1"/>
  <c r="E4802" i="5" a="1"/>
  <c r="E4802" i="5" s="1"/>
  <c r="E4653" i="5" a="1"/>
  <c r="E4653" i="5" s="1"/>
  <c r="E4703" i="5" a="1"/>
  <c r="E4703" i="5" s="1"/>
  <c r="E4574" i="5" a="1"/>
  <c r="E4574" i="5" s="1"/>
  <c r="E4383" i="5" a="1"/>
  <c r="E4383" i="5" s="1"/>
  <c r="E4330" i="5" a="1"/>
  <c r="E4330" i="5" s="1"/>
  <c r="E4192" i="5" a="1"/>
  <c r="E4192" i="5" s="1"/>
  <c r="E3944" i="5" a="1"/>
  <c r="E3944" i="5" s="1"/>
  <c r="E3755" i="5" a="1"/>
  <c r="E3755" i="5" s="1"/>
  <c r="E3491" i="5" a="1"/>
  <c r="E3491" i="5" s="1"/>
  <c r="E3172" i="5" a="1"/>
  <c r="E3172" i="5" s="1"/>
  <c r="E3014" i="5" a="1"/>
  <c r="E3014" i="5" s="1"/>
  <c r="E2853" i="5" a="1"/>
  <c r="E2853" i="5" s="1"/>
  <c r="E2701" i="5" a="1"/>
  <c r="E2701" i="5" s="1"/>
  <c r="E2573" i="5" a="1"/>
  <c r="E2573" i="5" s="1"/>
  <c r="E2103" i="5" a="1"/>
  <c r="E2103" i="5" s="1"/>
  <c r="E1969" i="5" a="1"/>
  <c r="E1969" i="5" s="1"/>
  <c r="E1540" i="5" a="1"/>
  <c r="E1540" i="5" s="1"/>
  <c r="E1395" i="5" a="1"/>
  <c r="E1395" i="5" s="1"/>
  <c r="E1139" i="5" a="1"/>
  <c r="E1139" i="5" s="1"/>
  <c r="E369" i="5" a="1"/>
  <c r="E369" i="5" s="1"/>
  <c r="E1358" i="5" a="1"/>
  <c r="E1358" i="5" s="1"/>
  <c r="E1102" i="5" a="1"/>
  <c r="E1102" i="5" s="1"/>
  <c r="E499" i="5" a="1"/>
  <c r="E499" i="5" s="1"/>
  <c r="E349" i="5" a="1"/>
  <c r="E349" i="5" s="1"/>
  <c r="E867" i="5" a="1"/>
  <c r="E867" i="5" s="1"/>
  <c r="E541" i="5" a="1"/>
  <c r="E541" i="5" s="1"/>
  <c r="E602" i="5" a="1"/>
  <c r="E602" i="5" s="1"/>
  <c r="E146" i="5" a="1"/>
  <c r="E146" i="5" s="1"/>
  <c r="E4983" i="5" a="1"/>
  <c r="E4983" i="5" s="1"/>
  <c r="E4924" i="5" a="1"/>
  <c r="E4924" i="5" s="1"/>
  <c r="E4352" i="5" a="1"/>
  <c r="E4352" i="5" s="1"/>
  <c r="E4357" i="5" a="1"/>
  <c r="E4357" i="5" s="1"/>
  <c r="E3911" i="5" a="1"/>
  <c r="E3911" i="5" s="1"/>
  <c r="E3988" i="5" a="1"/>
  <c r="E3988" i="5" s="1"/>
  <c r="E3863" i="5" a="1"/>
  <c r="E3863" i="5" s="1"/>
  <c r="E3674" i="5" a="1"/>
  <c r="E3674" i="5" s="1"/>
  <c r="E3154" i="5" a="1"/>
  <c r="E3154" i="5" s="1"/>
  <c r="E3024" i="5" a="1"/>
  <c r="E3024" i="5" s="1"/>
  <c r="E2493" i="5" a="1"/>
  <c r="E2493" i="5" s="1"/>
  <c r="E2810" i="5" a="1"/>
  <c r="E2810" i="5" s="1"/>
  <c r="E2961" i="5" a="1"/>
  <c r="E2961" i="5" s="1"/>
  <c r="E2940" i="5" a="1"/>
  <c r="E2940" i="5" s="1"/>
  <c r="E2723" i="5" a="1"/>
  <c r="E2723" i="5" s="1"/>
  <c r="E2595" i="5" a="1"/>
  <c r="E2595" i="5" s="1"/>
  <c r="E2083" i="5" a="1"/>
  <c r="E2083" i="5" s="1"/>
  <c r="E2232" i="5" a="1"/>
  <c r="E2232" i="5" s="1"/>
  <c r="E1810" i="5" a="1"/>
  <c r="E1810" i="5" s="1"/>
  <c r="E402" i="5" a="1"/>
  <c r="E402" i="5" s="1"/>
  <c r="E1338" i="5" a="1"/>
  <c r="E1338" i="5" s="1"/>
  <c r="E1082" i="5" a="1"/>
  <c r="E1082" i="5" s="1"/>
  <c r="E696" i="5" a="1"/>
  <c r="E696" i="5" s="1"/>
  <c r="E282" i="5" a="1"/>
  <c r="E282" i="5" s="1"/>
  <c r="E1349" i="5" a="1"/>
  <c r="E1349" i="5" s="1"/>
  <c r="E1093" i="5" a="1"/>
  <c r="E1093" i="5" s="1"/>
  <c r="E889" i="5" a="1"/>
  <c r="E889" i="5" s="1"/>
  <c r="E649" i="5" a="1"/>
  <c r="E649" i="5" s="1"/>
  <c r="E392" i="5" a="1"/>
  <c r="E392" i="5" s="1"/>
  <c r="E4994" i="5" a="1"/>
  <c r="E4994" i="5" s="1"/>
  <c r="E4958" i="5" a="1"/>
  <c r="E4958" i="5" s="1"/>
  <c r="E4722" i="5" a="1"/>
  <c r="E4722" i="5" s="1"/>
  <c r="E4188" i="5" a="1"/>
  <c r="E4188" i="5" s="1"/>
  <c r="E4080" i="5" a="1"/>
  <c r="E4080" i="5" s="1"/>
  <c r="E3749" i="5" a="1"/>
  <c r="E3749" i="5" s="1"/>
  <c r="E3794" i="5" a="1"/>
  <c r="E3794" i="5" s="1"/>
  <c r="E3633" i="5" a="1"/>
  <c r="E3633" i="5" s="1"/>
  <c r="E3377" i="5" a="1"/>
  <c r="E3377" i="5" s="1"/>
  <c r="E3207" i="5" a="1"/>
  <c r="E3207" i="5" s="1"/>
  <c r="E2927" i="5" a="1"/>
  <c r="E2927" i="5" s="1"/>
  <c r="E2544" i="5" a="1"/>
  <c r="E2544" i="5" s="1"/>
  <c r="E1972" i="5" a="1"/>
  <c r="E1972" i="5" s="1"/>
  <c r="E1505" i="5" a="1"/>
  <c r="E1505" i="5" s="1"/>
  <c r="E993" i="5" a="1"/>
  <c r="E993" i="5" s="1"/>
  <c r="E1448" i="5" a="1"/>
  <c r="E1448" i="5" s="1"/>
  <c r="E591" i="5" a="1"/>
  <c r="E591" i="5" s="1"/>
  <c r="E1889" i="5" a="1"/>
  <c r="E1889" i="5" s="1"/>
  <c r="E692" i="5" a="1"/>
  <c r="E692" i="5" s="1"/>
  <c r="E1217" i="5" a="1"/>
  <c r="E1217" i="5" s="1"/>
  <c r="E1032" i="5" a="1"/>
  <c r="E1032" i="5" s="1"/>
  <c r="E5004" i="5" a="1"/>
  <c r="E5004" i="5" s="1"/>
  <c r="E4980" i="5" a="1"/>
  <c r="E4980" i="5" s="1"/>
  <c r="E4800" i="5" a="1"/>
  <c r="E4800" i="5" s="1"/>
  <c r="E4727" i="5" a="1"/>
  <c r="E4727" i="5" s="1"/>
  <c r="E4456" i="5" a="1"/>
  <c r="E4456" i="5" s="1"/>
  <c r="E4406" i="5" a="1"/>
  <c r="E4406" i="5" s="1"/>
  <c r="E4115" i="5" a="1"/>
  <c r="E4115" i="5" s="1"/>
  <c r="E4216" i="5" a="1"/>
  <c r="E4216" i="5" s="1"/>
  <c r="E4040" i="5" a="1"/>
  <c r="E4040" i="5" s="1"/>
  <c r="E3695" i="5" a="1"/>
  <c r="E3695" i="5" s="1"/>
  <c r="E3565" i="5" a="1"/>
  <c r="E3565" i="5" s="1"/>
  <c r="E3431" i="5" a="1"/>
  <c r="E3431" i="5" s="1"/>
  <c r="E2999" i="5" a="1"/>
  <c r="E2999" i="5" s="1"/>
  <c r="E2325" i="5" a="1"/>
  <c r="E2325" i="5" s="1"/>
  <c r="E2319" i="5" a="1"/>
  <c r="E2319" i="5" s="1"/>
  <c r="E2671" i="5" a="1"/>
  <c r="E2671" i="5" s="1"/>
  <c r="E2043" i="5" a="1"/>
  <c r="E2043" i="5" s="1"/>
  <c r="E2165" i="5" a="1"/>
  <c r="E2165" i="5" s="1"/>
  <c r="E1691" i="5" a="1"/>
  <c r="E1691" i="5" s="1"/>
  <c r="E1525" i="5" a="1"/>
  <c r="E1525" i="5" s="1"/>
  <c r="E325" i="5" a="1"/>
  <c r="E325" i="5" s="1"/>
  <c r="E484" i="5" a="1"/>
  <c r="E484" i="5" s="1"/>
  <c r="E301" i="5" a="1"/>
  <c r="E301" i="5" s="1"/>
  <c r="E1501" i="5" a="1"/>
  <c r="E1501" i="5" s="1"/>
  <c r="E1245" i="5" a="1"/>
  <c r="E1245" i="5" s="1"/>
  <c r="E989" i="5" a="1"/>
  <c r="E989" i="5" s="1"/>
  <c r="E4973" i="5" a="1"/>
  <c r="E4973" i="5" s="1"/>
  <c r="E4843" i="5" a="1"/>
  <c r="E4843" i="5" s="1"/>
  <c r="E4757" i="5" a="1"/>
  <c r="E4757" i="5" s="1"/>
  <c r="E4477" i="5" a="1"/>
  <c r="E4477" i="5" s="1"/>
  <c r="E4430" i="5" a="1"/>
  <c r="E4430" i="5" s="1"/>
  <c r="E4322" i="5" a="1"/>
  <c r="E4322" i="5" s="1"/>
  <c r="E4105" i="5" a="1"/>
  <c r="E4105" i="5" s="1"/>
  <c r="E4057" i="5" a="1"/>
  <c r="E4057" i="5" s="1"/>
  <c r="E4030" i="5" a="1"/>
  <c r="E4030" i="5" s="1"/>
  <c r="E3780" i="5" a="1"/>
  <c r="E3780" i="5" s="1"/>
  <c r="E3900" i="5" a="1"/>
  <c r="E3900" i="5" s="1"/>
  <c r="E3949" i="5" a="1"/>
  <c r="E3949" i="5" s="1"/>
  <c r="E3675" i="5" a="1"/>
  <c r="E3675" i="5" s="1"/>
  <c r="E3545" i="5" a="1"/>
  <c r="E3545" i="5" s="1"/>
  <c r="E3678" i="5" a="1"/>
  <c r="E3678" i="5" s="1"/>
  <c r="E3411" i="5" a="1"/>
  <c r="E3411" i="5" s="1"/>
  <c r="E3289" i="5" a="1"/>
  <c r="E3289" i="5" s="1"/>
  <c r="E3092" i="5" a="1"/>
  <c r="E3092" i="5" s="1"/>
  <c r="E2994" i="5" a="1"/>
  <c r="E2994" i="5" s="1"/>
  <c r="E2965" i="5" a="1"/>
  <c r="E2965" i="5" s="1"/>
  <c r="E2491" i="5" a="1"/>
  <c r="E2491" i="5" s="1"/>
  <c r="E2235" i="5" a="1"/>
  <c r="E2235" i="5" s="1"/>
  <c r="E2757" i="5" a="1"/>
  <c r="E2757" i="5" s="1"/>
  <c r="E2629" i="5" a="1"/>
  <c r="E2629" i="5" s="1"/>
  <c r="E2130" i="5" a="1"/>
  <c r="E2130" i="5" s="1"/>
  <c r="E2374" i="5" a="1"/>
  <c r="E2374" i="5" s="1"/>
  <c r="E2081" i="5" a="1"/>
  <c r="E2081" i="5" s="1"/>
  <c r="E1863" i="5" a="1"/>
  <c r="E1863" i="5" s="1"/>
  <c r="E1607" i="5" a="1"/>
  <c r="E1607" i="5" s="1"/>
  <c r="E1991" i="5" a="1"/>
  <c r="E1991" i="5" s="1"/>
  <c r="E1251" i="5" a="1"/>
  <c r="E1251" i="5" s="1"/>
  <c r="E995" i="5" a="1"/>
  <c r="E995" i="5" s="1"/>
  <c r="E451" i="5" a="1"/>
  <c r="E451" i="5" s="1"/>
  <c r="E262" i="5" a="1"/>
  <c r="E262" i="5" s="1"/>
  <c r="E1470" i="5" a="1"/>
  <c r="E1470" i="5" s="1"/>
  <c r="E1214" i="5" a="1"/>
  <c r="E1214" i="5" s="1"/>
  <c r="E958" i="5" a="1"/>
  <c r="E958" i="5" s="1"/>
  <c r="E221" i="5" a="1"/>
  <c r="E221" i="5" s="1"/>
  <c r="E891" i="5" a="1"/>
  <c r="E891" i="5" s="1"/>
  <c r="E653" i="5" a="1"/>
  <c r="E653" i="5" s="1"/>
  <c r="E4899" i="5" a="1"/>
  <c r="E4899" i="5" s="1"/>
  <c r="E4809" i="5" a="1"/>
  <c r="E4809" i="5" s="1"/>
  <c r="E4678" i="5" a="1"/>
  <c r="E4678" i="5" s="1"/>
  <c r="E4692" i="5" a="1"/>
  <c r="E4692" i="5" s="1"/>
  <c r="E4349" i="5" a="1"/>
  <c r="E4349" i="5" s="1"/>
  <c r="E4240" i="5" a="1"/>
  <c r="E4240" i="5" s="1"/>
  <c r="E4047" i="5" a="1"/>
  <c r="E4047" i="5" s="1"/>
  <c r="E4052" i="5" a="1"/>
  <c r="E4052" i="5" s="1"/>
  <c r="E3983" i="5" a="1"/>
  <c r="E3983" i="5" s="1"/>
  <c r="E3719" i="5" a="1"/>
  <c r="E3719" i="5" s="1"/>
  <c r="E3589" i="5" a="1"/>
  <c r="E3589" i="5" s="1"/>
  <c r="E3650" i="5" a="1"/>
  <c r="E3650" i="5" s="1"/>
  <c r="E3390" i="5" a="1"/>
  <c r="E3390" i="5" s="1"/>
  <c r="E3266" i="5" a="1"/>
  <c r="E3266" i="5" s="1"/>
  <c r="E3329" i="5" a="1"/>
  <c r="E3329" i="5" s="1"/>
  <c r="E3099" i="5" a="1"/>
  <c r="E3099" i="5" s="1"/>
  <c r="E3136" i="5" a="1"/>
  <c r="E3136" i="5" s="1"/>
  <c r="E3225" i="5" a="1"/>
  <c r="E3225" i="5" s="1"/>
  <c r="E2819" i="5" a="1"/>
  <c r="E2819" i="5" s="1"/>
  <c r="E2881" i="5" a="1"/>
  <c r="E2881" i="5" s="1"/>
  <c r="E2747" i="5" a="1"/>
  <c r="E2747" i="5" s="1"/>
  <c r="E2619" i="5" a="1"/>
  <c r="E2619" i="5" s="1"/>
  <c r="E2110" i="5" a="1"/>
  <c r="E2110" i="5" s="1"/>
  <c r="E2334" i="5" a="1"/>
  <c r="E2334" i="5" s="1"/>
  <c r="E2514" i="5" a="1"/>
  <c r="E2514" i="5" s="1"/>
  <c r="E1779" i="5" a="1"/>
  <c r="E1779" i="5" s="1"/>
  <c r="E862" i="5" a="1"/>
  <c r="E862" i="5" s="1"/>
  <c r="E54" i="5" a="1"/>
  <c r="E54" i="5" s="1"/>
  <c r="E1258" i="5" a="1"/>
  <c r="E1258" i="5" s="1"/>
  <c r="E1002" i="5" a="1"/>
  <c r="E1002" i="5" s="1"/>
  <c r="E616" i="5" a="1"/>
  <c r="E616" i="5" s="1"/>
  <c r="E472" i="5" a="1"/>
  <c r="E472" i="5" s="1"/>
  <c r="E1397" i="5" a="1"/>
  <c r="E1397" i="5" s="1"/>
  <c r="E1141" i="5" a="1"/>
  <c r="E1141" i="5" s="1"/>
  <c r="E913" i="5" a="1"/>
  <c r="E913" i="5" s="1"/>
  <c r="E203" i="5" a="1"/>
  <c r="E203" i="5" s="1"/>
  <c r="E758" i="5" a="1"/>
  <c r="E758" i="5" s="1"/>
  <c r="E751" i="5" a="1"/>
  <c r="E751" i="5" s="1"/>
  <c r="E381" i="5" a="1"/>
  <c r="E381" i="5" s="1"/>
  <c r="E4913" i="5" a="1"/>
  <c r="E4913" i="5" s="1"/>
  <c r="E4859" i="5" a="1"/>
  <c r="E4859" i="5" s="1"/>
  <c r="E4856" i="5" a="1"/>
  <c r="E4856" i="5" s="1"/>
  <c r="E4651" i="5" a="1"/>
  <c r="E4651" i="5" s="1"/>
  <c r="E4613" i="5" a="1"/>
  <c r="E4613" i="5" s="1"/>
  <c r="E4539" i="5" a="1"/>
  <c r="E4539" i="5" s="1"/>
  <c r="E4381" i="5" a="1"/>
  <c r="E4381" i="5" s="1"/>
  <c r="E4230" i="5" a="1"/>
  <c r="E4230" i="5" s="1"/>
  <c r="E3923" i="5" a="1"/>
  <c r="E3923" i="5" s="1"/>
  <c r="E3861" i="5" a="1"/>
  <c r="E3861" i="5" s="1"/>
  <c r="E3842" i="5" a="1"/>
  <c r="E3842" i="5" s="1"/>
  <c r="E3425" i="5" a="1"/>
  <c r="E3425" i="5" s="1"/>
  <c r="E3166" i="5" a="1"/>
  <c r="E3166" i="5" s="1"/>
  <c r="E3255" i="5" a="1"/>
  <c r="E3255" i="5" s="1"/>
  <c r="E3320" i="5" a="1"/>
  <c r="E3320" i="5" s="1"/>
  <c r="E2975" i="5" a="1"/>
  <c r="E2975" i="5" s="1"/>
  <c r="E2505" i="5" a="1"/>
  <c r="E2505" i="5" s="1"/>
  <c r="E2249" i="5" a="1"/>
  <c r="E2249" i="5" s="1"/>
  <c r="E2307" i="5" a="1"/>
  <c r="E2307" i="5" s="1"/>
  <c r="E2824" i="5" a="1"/>
  <c r="E2824" i="5" s="1"/>
  <c r="E2153" i="5" a="1"/>
  <c r="E2153" i="5" s="1"/>
  <c r="E1758" i="5" a="1"/>
  <c r="E1758" i="5" s="1"/>
  <c r="E743" i="5" a="1"/>
  <c r="E743" i="5" s="1"/>
  <c r="E363" i="5" a="1"/>
  <c r="E363" i="5" s="1"/>
  <c r="E708" i="5" a="1"/>
  <c r="E708" i="5" s="1"/>
  <c r="E497" i="5" a="1"/>
  <c r="E497" i="5" s="1"/>
  <c r="E229" i="5" a="1"/>
  <c r="E229" i="5" s="1"/>
  <c r="E1425" i="5" a="1"/>
  <c r="E1425" i="5" s="1"/>
  <c r="E1169" i="5" a="1"/>
  <c r="E1169" i="5" s="1"/>
  <c r="E1432" i="5" a="1"/>
  <c r="E1432" i="5" s="1"/>
  <c r="E1176" i="5" a="1"/>
  <c r="E1176" i="5" s="1"/>
  <c r="E786" i="5" a="1"/>
  <c r="E786" i="5" s="1"/>
  <c r="E530" i="5" a="1"/>
  <c r="E530" i="5" s="1"/>
  <c r="E2143" i="5" a="1"/>
  <c r="E2143" i="5" s="1"/>
  <c r="E2224" i="5" a="1"/>
  <c r="E2224" i="5" s="1"/>
  <c r="E1648" i="5" a="1"/>
  <c r="E1648" i="5" s="1"/>
  <c r="E255" i="5" a="1"/>
  <c r="E255" i="5" s="1"/>
  <c r="E330" i="5" a="1"/>
  <c r="E330" i="5" s="1"/>
  <c r="E709" i="5" a="1"/>
  <c r="E709" i="5" s="1"/>
  <c r="E578" i="5" a="1"/>
  <c r="E578" i="5" s="1"/>
  <c r="E2780" i="5" a="1"/>
  <c r="E2780" i="5" s="1"/>
  <c r="E3533" i="5" a="1"/>
  <c r="E3533" i="5" s="1"/>
  <c r="E476" i="5" a="1"/>
  <c r="E476" i="5" s="1"/>
  <c r="E4590" i="5" a="1"/>
  <c r="E4590" i="5" s="1"/>
  <c r="E2304" i="5" a="1"/>
  <c r="E2304" i="5" s="1"/>
  <c r="E118" i="5" a="1"/>
  <c r="E118" i="5" s="1"/>
  <c r="E685" i="5" a="1"/>
  <c r="E685" i="5" s="1"/>
  <c r="E2270" i="5" a="1"/>
  <c r="E2270" i="5" s="1"/>
  <c r="E1993" i="5" a="1"/>
  <c r="E1993" i="5" s="1"/>
  <c r="E1329" i="5" a="1"/>
  <c r="E1329" i="5" s="1"/>
  <c r="E4449" i="5" a="1"/>
  <c r="E4449" i="5" s="1"/>
  <c r="E3816" i="5" a="1"/>
  <c r="E3816" i="5" s="1"/>
  <c r="E3581" i="5" a="1"/>
  <c r="E3581" i="5" s="1"/>
  <c r="E2181" i="5" a="1"/>
  <c r="E2181" i="5" s="1"/>
  <c r="E314" i="5" a="1"/>
  <c r="E314" i="5" s="1"/>
  <c r="E127" i="5" a="1"/>
  <c r="E127" i="5" s="1"/>
  <c r="E4871" i="5" a="1"/>
  <c r="E4871" i="5" s="1"/>
  <c r="E4794" i="5" a="1"/>
  <c r="E4794" i="5" s="1"/>
  <c r="E4790" i="5" a="1"/>
  <c r="E4790" i="5" s="1"/>
  <c r="E4384" i="5" a="1"/>
  <c r="E4384" i="5" s="1"/>
  <c r="E3501" i="5" a="1"/>
  <c r="E3501" i="5" s="1"/>
  <c r="E3367" i="5" a="1"/>
  <c r="E3367" i="5" s="1"/>
  <c r="E2983" i="5" a="1"/>
  <c r="E2983" i="5" s="1"/>
  <c r="E2517" i="5" a="1"/>
  <c r="E2517" i="5" s="1"/>
  <c r="E2261" i="5" a="1"/>
  <c r="E2261" i="5" s="1"/>
  <c r="E2255" i="5" a="1"/>
  <c r="E2255" i="5" s="1"/>
  <c r="E2639" i="5" a="1"/>
  <c r="E2639" i="5" s="1"/>
  <c r="E2476" i="5" a="1"/>
  <c r="E2476" i="5" s="1"/>
  <c r="E2150" i="5" a="1"/>
  <c r="E2150" i="5" s="1"/>
  <c r="E2101" i="5" a="1"/>
  <c r="E2101" i="5" s="1"/>
  <c r="E1883" i="5" a="1"/>
  <c r="E1883" i="5" s="1"/>
  <c r="E1627" i="5" a="1"/>
  <c r="E1627" i="5" s="1"/>
  <c r="E1509" i="5" a="1"/>
  <c r="E1509" i="5" s="1"/>
  <c r="E466" i="5" a="1"/>
  <c r="E466" i="5" s="1"/>
  <c r="E1437" i="5" a="1"/>
  <c r="E1437" i="5" s="1"/>
  <c r="E1181" i="5" a="1"/>
  <c r="E1181" i="5" s="1"/>
  <c r="E801" i="5" a="1"/>
  <c r="E801" i="5" s="1"/>
  <c r="E177" i="5" a="1"/>
  <c r="E177" i="5" s="1"/>
  <c r="E703" i="5" a="1"/>
  <c r="E703" i="5" s="1"/>
  <c r="E4987" i="5" a="1"/>
  <c r="E4987" i="5" s="1"/>
  <c r="E4622" i="5" a="1"/>
  <c r="E4622" i="5" s="1"/>
  <c r="E4416" i="5" a="1"/>
  <c r="E4416" i="5" s="1"/>
  <c r="E4290" i="5" a="1"/>
  <c r="E4290" i="5" s="1"/>
  <c r="E4174" i="5" a="1"/>
  <c r="E4174" i="5" s="1"/>
  <c r="E3992" i="5" a="1"/>
  <c r="E3992" i="5" s="1"/>
  <c r="E3867" i="5" a="1"/>
  <c r="E3867" i="5" s="1"/>
  <c r="E3682" i="5" a="1"/>
  <c r="E3682" i="5" s="1"/>
  <c r="E3481" i="5" a="1"/>
  <c r="E3481" i="5" s="1"/>
  <c r="E3362" i="5" a="1"/>
  <c r="E3362" i="5" s="1"/>
  <c r="E3028" i="5" a="1"/>
  <c r="E3028" i="5" s="1"/>
  <c r="E2201" i="5" a="1"/>
  <c r="E2201" i="5" s="1"/>
  <c r="E2901" i="5" a="1"/>
  <c r="E2901" i="5" s="1"/>
  <c r="E2427" i="5" a="1"/>
  <c r="E2427" i="5" s="1"/>
  <c r="E2725" i="5" a="1"/>
  <c r="E2725" i="5" s="1"/>
  <c r="E2597" i="5" a="1"/>
  <c r="E2597" i="5" s="1"/>
  <c r="E2502" i="5" a="1"/>
  <c r="E2502" i="5" s="1"/>
  <c r="E2066" i="5" a="1"/>
  <c r="E2066" i="5" s="1"/>
  <c r="E2246" i="5" a="1"/>
  <c r="E2246" i="5" s="1"/>
  <c r="E2368" i="5" a="1"/>
  <c r="E2368" i="5" s="1"/>
  <c r="E2017" i="5" a="1"/>
  <c r="E2017" i="5" s="1"/>
  <c r="E1799" i="5" a="1"/>
  <c r="E1799" i="5" s="1"/>
  <c r="E1552" i="5" a="1"/>
  <c r="E1552" i="5" s="1"/>
  <c r="E1967" i="5" a="1"/>
  <c r="E1967" i="5" s="1"/>
  <c r="E1443" i="5" a="1"/>
  <c r="E1443" i="5" s="1"/>
  <c r="E1187" i="5" a="1"/>
  <c r="E1187" i="5" s="1"/>
  <c r="E807" i="5" a="1"/>
  <c r="E807" i="5" s="1"/>
  <c r="E199" i="5" a="1"/>
  <c r="E199" i="5" s="1"/>
  <c r="E1406" i="5" a="1"/>
  <c r="E1406" i="5" s="1"/>
  <c r="E1150" i="5" a="1"/>
  <c r="E1150" i="5" s="1"/>
  <c r="E511" i="5" a="1"/>
  <c r="E511" i="5" s="1"/>
  <c r="E388" i="5" a="1"/>
  <c r="E388" i="5" s="1"/>
  <c r="E859" i="5" a="1"/>
  <c r="E859" i="5" s="1"/>
  <c r="E224" i="5" a="1"/>
  <c r="E224" i="5" s="1"/>
  <c r="E667" i="5" a="1"/>
  <c r="E667" i="5" s="1"/>
  <c r="E302" i="5" a="1"/>
  <c r="E302" i="5" s="1"/>
  <c r="E72" i="5" a="1"/>
  <c r="E72" i="5" s="1"/>
  <c r="E4960" i="5" a="1"/>
  <c r="E4960" i="5" s="1"/>
  <c r="E4669" i="5" a="1"/>
  <c r="E4669" i="5" s="1"/>
  <c r="E4643" i="5" a="1"/>
  <c r="E4643" i="5" s="1"/>
  <c r="E4638" i="5" a="1"/>
  <c r="E4638" i="5" s="1"/>
  <c r="E4344" i="5" a="1"/>
  <c r="E4344" i="5" s="1"/>
  <c r="E4317" i="5" a="1"/>
  <c r="E4317" i="5" s="1"/>
  <c r="E4134" i="5" a="1"/>
  <c r="E4134" i="5" s="1"/>
  <c r="E3525" i="5" a="1"/>
  <c r="E3525" i="5" s="1"/>
  <c r="E3582" i="5" a="1"/>
  <c r="E3582" i="5" s="1"/>
  <c r="E3202" i="5" a="1"/>
  <c r="E3202" i="5" s="1"/>
  <c r="E3035" i="5" a="1"/>
  <c r="E3035" i="5" s="1"/>
  <c r="E3072" i="5" a="1"/>
  <c r="E3072" i="5" s="1"/>
  <c r="E3161" i="5" a="1"/>
  <c r="E3161" i="5" s="1"/>
  <c r="E2541" i="5" a="1"/>
  <c r="E2541" i="5" s="1"/>
  <c r="E2922" i="5" a="1"/>
  <c r="E2922" i="5" s="1"/>
  <c r="E2817" i="5" a="1"/>
  <c r="E2817" i="5" s="1"/>
  <c r="E2924" i="5" a="1"/>
  <c r="E2924" i="5" s="1"/>
  <c r="E2715" i="5" a="1"/>
  <c r="E2715" i="5" s="1"/>
  <c r="E2587" i="5" a="1"/>
  <c r="E2587" i="5" s="1"/>
  <c r="E2046" i="5" a="1"/>
  <c r="E2046" i="5" s="1"/>
  <c r="E2328" i="5" a="1"/>
  <c r="E2328" i="5" s="1"/>
  <c r="E1715" i="5" a="1"/>
  <c r="E1715" i="5" s="1"/>
  <c r="E830" i="5" a="1"/>
  <c r="E830" i="5" s="1"/>
  <c r="E437" i="5" a="1"/>
  <c r="E437" i="5" s="1"/>
  <c r="E1450" i="5" a="1"/>
  <c r="E1450" i="5" s="1"/>
  <c r="E1194" i="5" a="1"/>
  <c r="E1194" i="5" s="1"/>
  <c r="E808" i="5" a="1"/>
  <c r="E808" i="5" s="1"/>
  <c r="E552" i="5" a="1"/>
  <c r="E552" i="5" s="1"/>
  <c r="E1333" i="5" a="1"/>
  <c r="E1333" i="5" s="1"/>
  <c r="E1077" i="5" a="1"/>
  <c r="E1077" i="5" s="1"/>
  <c r="E881" i="5" a="1"/>
  <c r="E881" i="5" s="1"/>
  <c r="E136" i="5" a="1"/>
  <c r="E136" i="5" s="1"/>
  <c r="E694" i="5" a="1"/>
  <c r="E694" i="5" s="1"/>
  <c r="E335" i="5" a="1"/>
  <c r="E335" i="5" s="1"/>
  <c r="E5026" i="5" a="1"/>
  <c r="E5026" i="5" s="1"/>
  <c r="E4922" i="5" a="1"/>
  <c r="E4922" i="5" s="1"/>
  <c r="E4851" i="5" a="1"/>
  <c r="E4851" i="5" s="1"/>
  <c r="E4751" i="5" a="1"/>
  <c r="E4751" i="5" s="1"/>
  <c r="E4549" i="5" a="1"/>
  <c r="E4549" i="5" s="1"/>
  <c r="E4475" i="5" a="1"/>
  <c r="E4475" i="5" s="1"/>
  <c r="E4176" i="5" a="1"/>
  <c r="E4176" i="5" s="1"/>
  <c r="E3797" i="5" a="1"/>
  <c r="E3797" i="5" s="1"/>
  <c r="E3778" i="5" a="1"/>
  <c r="E3778" i="5" s="1"/>
  <c r="E3617" i="5" a="1"/>
  <c r="E3617" i="5" s="1"/>
  <c r="E3364" i="5" a="1"/>
  <c r="E3364" i="5" s="1"/>
  <c r="E3102" i="5" a="1"/>
  <c r="E3102" i="5" s="1"/>
  <c r="E3191" i="5" a="1"/>
  <c r="E3191" i="5" s="1"/>
  <c r="E3292" i="5" a="1"/>
  <c r="E3292" i="5" s="1"/>
  <c r="E2911" i="5" a="1"/>
  <c r="E2911" i="5" s="1"/>
  <c r="E2441" i="5" a="1"/>
  <c r="E2441" i="5" s="1"/>
  <c r="E2203" i="5" a="1"/>
  <c r="E2203" i="5" s="1"/>
  <c r="E2243" i="5" a="1"/>
  <c r="E2243" i="5" s="1"/>
  <c r="E2528" i="5" a="1"/>
  <c r="E2528" i="5" s="1"/>
  <c r="E2156" i="5" a="1"/>
  <c r="E2156" i="5" s="1"/>
  <c r="E2089" i="5" a="1"/>
  <c r="E2089" i="5" s="1"/>
  <c r="E1554" i="5" a="1"/>
  <c r="E1554" i="5" s="1"/>
  <c r="E1954" i="5" a="1"/>
  <c r="E1954" i="5" s="1"/>
  <c r="E1694" i="5" a="1"/>
  <c r="E1694" i="5" s="1"/>
  <c r="E603" i="5" a="1"/>
  <c r="E603" i="5" s="1"/>
  <c r="E644" i="5" a="1"/>
  <c r="E644" i="5" s="1"/>
  <c r="E481" i="5" a="1"/>
  <c r="E481" i="5" s="1"/>
  <c r="E1361" i="5" a="1"/>
  <c r="E1361" i="5" s="1"/>
  <c r="E1105" i="5" a="1"/>
  <c r="E1105" i="5" s="1"/>
  <c r="E165" i="5" a="1"/>
  <c r="E165" i="5" s="1"/>
  <c r="E1368" i="5" a="1"/>
  <c r="E1368" i="5" s="1"/>
  <c r="E1112" i="5" a="1"/>
  <c r="E1112" i="5" s="1"/>
  <c r="E722" i="5" a="1"/>
  <c r="E722" i="5" s="1"/>
  <c r="E679" i="5" a="1"/>
  <c r="E679" i="5" s="1"/>
  <c r="E2358" i="5" a="1"/>
  <c r="E2358" i="5" s="1"/>
  <c r="E2073" i="5" a="1"/>
  <c r="E2073" i="5" s="1"/>
  <c r="E1825" i="5" a="1"/>
  <c r="E1825" i="5" s="1"/>
  <c r="E67" i="5" a="1"/>
  <c r="E67" i="5" s="1"/>
  <c r="E1480" i="5" a="1"/>
  <c r="E1480" i="5" s="1"/>
  <c r="E527" i="5" a="1"/>
  <c r="E527" i="5" s="1"/>
  <c r="E4523" i="5" a="1"/>
  <c r="E4523" i="5" s="1"/>
  <c r="E4221" i="5" a="1"/>
  <c r="E4221" i="5" s="1"/>
  <c r="E2991" i="5" a="1"/>
  <c r="E2991" i="5" s="1"/>
  <c r="E2133" i="5" a="1"/>
  <c r="E2133" i="5" s="1"/>
  <c r="E4797" i="5" a="1"/>
  <c r="E4797" i="5" s="1"/>
  <c r="E4834" i="5" a="1"/>
  <c r="E4834" i="5" s="1"/>
  <c r="E4390" i="5" a="1"/>
  <c r="E4390" i="5" s="1"/>
  <c r="E2759" i="5" a="1"/>
  <c r="E2759" i="5" s="1"/>
  <c r="E2631" i="5" a="1"/>
  <c r="E2631" i="5" s="1"/>
  <c r="E2134" i="5" a="1"/>
  <c r="E2134" i="5" s="1"/>
  <c r="E1867" i="5" a="1"/>
  <c r="E1867" i="5" s="1"/>
  <c r="E1611" i="5" a="1"/>
  <c r="E1611" i="5" s="1"/>
  <c r="E4346" i="5" a="1"/>
  <c r="E4346" i="5" s="1"/>
  <c r="E4153" i="5" a="1"/>
  <c r="E4153" i="5" s="1"/>
  <c r="E3465" i="5" a="1"/>
  <c r="E3465" i="5" s="1"/>
  <c r="E3587" i="5" a="1"/>
  <c r="E3587" i="5" s="1"/>
  <c r="E2949" i="5" a="1"/>
  <c r="E2949" i="5" s="1"/>
  <c r="E2475" i="5" a="1"/>
  <c r="E2475" i="5" s="1"/>
  <c r="E2749" i="5" a="1"/>
  <c r="E2749" i="5" s="1"/>
  <c r="E2621" i="5" a="1"/>
  <c r="E2621" i="5" s="1"/>
  <c r="E2220" i="5" a="1"/>
  <c r="E2220" i="5" s="1"/>
  <c r="E1768" i="5" a="1"/>
  <c r="E1768" i="5" s="1"/>
  <c r="E1944" i="5" a="1"/>
  <c r="E1944" i="5" s="1"/>
  <c r="E1262" i="5" a="1"/>
  <c r="E1262" i="5" s="1"/>
  <c r="E1006" i="5" a="1"/>
  <c r="E1006" i="5" s="1"/>
  <c r="E635" i="5" a="1"/>
  <c r="E635" i="5" s="1"/>
  <c r="E338" i="5" a="1"/>
  <c r="E338" i="5" s="1"/>
  <c r="E59" i="5" a="1"/>
  <c r="E59" i="5" s="1"/>
  <c r="E4785" i="5" a="1"/>
  <c r="E4785" i="5" s="1"/>
  <c r="E4505" i="5" a="1"/>
  <c r="E4505" i="5" s="1"/>
  <c r="E4245" i="5" a="1"/>
  <c r="E4245" i="5" s="1"/>
  <c r="E4071" i="5" a="1"/>
  <c r="E4071" i="5" s="1"/>
  <c r="E3808" i="5" a="1"/>
  <c r="E3808" i="5" s="1"/>
  <c r="E3902" i="5" a="1"/>
  <c r="E3902" i="5" s="1"/>
  <c r="E3639" i="5" a="1"/>
  <c r="E3639" i="5" s="1"/>
  <c r="E3122" i="5" a="1"/>
  <c r="E3122" i="5" s="1"/>
  <c r="E3211" i="5" a="1"/>
  <c r="E3211" i="5" s="1"/>
  <c r="E3081" i="5" a="1"/>
  <c r="E3081" i="5" s="1"/>
  <c r="E2461" i="5" a="1"/>
  <c r="E2461" i="5" s="1"/>
  <c r="E2778" i="5" a="1"/>
  <c r="E2778" i="5" s="1"/>
  <c r="E2929" i="5" a="1"/>
  <c r="E2929" i="5" s="1"/>
  <c r="E2972" i="5" a="1"/>
  <c r="E2972" i="5" s="1"/>
  <c r="E2739" i="5" a="1"/>
  <c r="E2739" i="5" s="1"/>
  <c r="E2611" i="5" a="1"/>
  <c r="E2611" i="5" s="1"/>
  <c r="E2030" i="5" a="1"/>
  <c r="E2030" i="5" s="1"/>
  <c r="E1763" i="5" a="1"/>
  <c r="E1763" i="5" s="1"/>
  <c r="E1498" i="5" a="1"/>
  <c r="E1498" i="5" s="1"/>
  <c r="E1242" i="5" a="1"/>
  <c r="E1242" i="5" s="1"/>
  <c r="E986" i="5" a="1"/>
  <c r="E986" i="5" s="1"/>
  <c r="E217" i="5" a="1"/>
  <c r="E217" i="5" s="1"/>
  <c r="E4681" i="5" a="1"/>
  <c r="E4681" i="5" s="1"/>
  <c r="E4459" i="5" a="1"/>
  <c r="E4459" i="5" s="1"/>
  <c r="E4151" i="5" a="1"/>
  <c r="E4151" i="5" s="1"/>
  <c r="E4124" i="5" a="1"/>
  <c r="E4124" i="5" s="1"/>
  <c r="E3239" i="5" a="1"/>
  <c r="E3239" i="5" s="1"/>
  <c r="E1352" i="5" a="1"/>
  <c r="E1352" i="5" s="1"/>
  <c r="E4976" i="5" a="1"/>
  <c r="E4976" i="5" s="1"/>
  <c r="E4593" i="5" a="1"/>
  <c r="E4593" i="5" s="1"/>
  <c r="E4546" i="5" a="1"/>
  <c r="E4546" i="5" s="1"/>
  <c r="E4376" i="5" a="1"/>
  <c r="E4376" i="5" s="1"/>
  <c r="E3704" i="5" a="1"/>
  <c r="E3704" i="5" s="1"/>
  <c r="E3469" i="5" a="1"/>
  <c r="E3469" i="5" s="1"/>
  <c r="E3591" i="5" a="1"/>
  <c r="E3591" i="5" s="1"/>
  <c r="E3359" i="5" a="1"/>
  <c r="E3359" i="5" s="1"/>
  <c r="E2485" i="5" a="1"/>
  <c r="E2485" i="5" s="1"/>
  <c r="E2069" i="5" a="1"/>
  <c r="E2069" i="5" s="1"/>
  <c r="E1708" i="5" a="1"/>
  <c r="E1708" i="5" s="1"/>
  <c r="E1802" i="5" a="1"/>
  <c r="E1802" i="5" s="1"/>
  <c r="E208" i="5" a="1"/>
  <c r="E208" i="5" s="1"/>
  <c r="E769" i="5" a="1"/>
  <c r="E769" i="5" s="1"/>
  <c r="E513" i="5" a="1"/>
  <c r="E513" i="5" s="1"/>
  <c r="E574" i="5" a="1"/>
  <c r="E574" i="5" s="1"/>
  <c r="E4936" i="5" a="1"/>
  <c r="E4936" i="5" s="1"/>
  <c r="E4818" i="5" a="1"/>
  <c r="E4818" i="5" s="1"/>
  <c r="E4657" i="5" a="1"/>
  <c r="E4657" i="5" s="1"/>
  <c r="E4526" i="5" a="1"/>
  <c r="E4526" i="5" s="1"/>
  <c r="E4499" i="5" a="1"/>
  <c r="E4499" i="5" s="1"/>
  <c r="E4137" i="5" a="1"/>
  <c r="E4137" i="5" s="1"/>
  <c r="E4252" i="5" a="1"/>
  <c r="E4252" i="5" s="1"/>
  <c r="E3981" i="5" a="1"/>
  <c r="E3981" i="5" s="1"/>
  <c r="E3443" i="5" a="1"/>
  <c r="E3443" i="5" s="1"/>
  <c r="E3317" i="5" a="1"/>
  <c r="E3317" i="5" s="1"/>
  <c r="E3124" i="5" a="1"/>
  <c r="E3124" i="5" s="1"/>
  <c r="E3002" i="5" a="1"/>
  <c r="E3002" i="5" s="1"/>
  <c r="E2805" i="5" a="1"/>
  <c r="E2805" i="5" s="1"/>
  <c r="E2055" i="5" a="1"/>
  <c r="E2055" i="5" s="1"/>
  <c r="E2177" i="5" a="1"/>
  <c r="E2177" i="5" s="1"/>
  <c r="E1528" i="5" a="1"/>
  <c r="E1528" i="5" s="1"/>
  <c r="E1347" i="5" a="1"/>
  <c r="E1347" i="5" s="1"/>
  <c r="E1091" i="5" a="1"/>
  <c r="E1091" i="5" s="1"/>
  <c r="E655" i="5" a="1"/>
  <c r="E655" i="5" s="1"/>
  <c r="E487" i="5" a="1"/>
  <c r="E487" i="5" s="1"/>
  <c r="E843" i="5" a="1"/>
  <c r="E843" i="5" s="1"/>
  <c r="E621" i="5" a="1"/>
  <c r="E621" i="5" s="1"/>
  <c r="E5030" i="5" a="1"/>
  <c r="E5030" i="5" s="1"/>
  <c r="E4979" i="5" a="1"/>
  <c r="E4979" i="5" s="1"/>
  <c r="E4701" i="5" a="1"/>
  <c r="E4701" i="5" s="1"/>
  <c r="E4617" i="5" a="1"/>
  <c r="E4617" i="5" s="1"/>
  <c r="E4543" i="5" a="1"/>
  <c r="E4543" i="5" s="1"/>
  <c r="E4117" i="5" a="1"/>
  <c r="E4117" i="5" s="1"/>
  <c r="E4164" i="5" a="1"/>
  <c r="E4164" i="5" s="1"/>
  <c r="E3614" i="5" a="1"/>
  <c r="E3614" i="5" s="1"/>
  <c r="E3701" i="5" a="1"/>
  <c r="E3701" i="5" s="1"/>
  <c r="E3234" i="5" a="1"/>
  <c r="E3234" i="5" s="1"/>
  <c r="E3297" i="5" a="1"/>
  <c r="E3297" i="5" s="1"/>
  <c r="E3104" i="5" a="1"/>
  <c r="E3104" i="5" s="1"/>
  <c r="E2913" i="5" a="1"/>
  <c r="E2913" i="5" s="1"/>
  <c r="E2892" i="5" a="1"/>
  <c r="E2892" i="5" s="1"/>
  <c r="E2354" i="5" a="1"/>
  <c r="E2354" i="5" s="1"/>
  <c r="E2264" i="5" a="1"/>
  <c r="E2264" i="5" s="1"/>
  <c r="E1965" i="5" a="1"/>
  <c r="E1965" i="5" s="1"/>
  <c r="E1747" i="5" a="1"/>
  <c r="E1747" i="5" s="1"/>
  <c r="E776" i="5" a="1"/>
  <c r="E776" i="5" s="1"/>
  <c r="E520" i="5" a="1"/>
  <c r="E520" i="5" s="1"/>
  <c r="E397" i="5" a="1"/>
  <c r="E397" i="5" s="1"/>
  <c r="E1365" i="5" a="1"/>
  <c r="E1365" i="5" s="1"/>
  <c r="E1109" i="5" a="1"/>
  <c r="E1109" i="5" s="1"/>
  <c r="E897" i="5" a="1"/>
  <c r="E897" i="5" s="1"/>
  <c r="E687" i="5" a="1"/>
  <c r="E687" i="5" s="1"/>
  <c r="E4746" i="5" a="1"/>
  <c r="E4746" i="5" s="1"/>
  <c r="E4635" i="5" a="1"/>
  <c r="E4635" i="5" s="1"/>
  <c r="E3829" i="5" a="1"/>
  <c r="E3829" i="5" s="1"/>
  <c r="E3198" i="5" a="1"/>
  <c r="E3198" i="5" s="1"/>
  <c r="E2217" i="5" a="1"/>
  <c r="E2217" i="5" s="1"/>
  <c r="E2211" i="5" a="1"/>
  <c r="E2211" i="5" s="1"/>
  <c r="E2496" i="5" a="1"/>
  <c r="E2496" i="5" s="1"/>
  <c r="E1975" i="5" a="1"/>
  <c r="E1975" i="5" s="1"/>
  <c r="E1530" i="5" a="1"/>
  <c r="E1530" i="5" s="1"/>
  <c r="E57" i="5" a="1"/>
  <c r="E57" i="5" s="1"/>
  <c r="E1265" i="5" a="1"/>
  <c r="E1265" i="5" s="1"/>
  <c r="E1009" i="5" a="1"/>
  <c r="E1009" i="5" s="1"/>
  <c r="E619" i="5" a="1"/>
  <c r="E619" i="5" s="1"/>
  <c r="E332" i="5" a="1"/>
  <c r="E332" i="5" s="1"/>
  <c r="C51" i="3"/>
  <c r="I6" i="3" s="1"/>
  <c r="I13" i="3" s="1"/>
  <c r="J13" i="3" s="1"/>
  <c r="J12" i="3"/>
  <c r="K15" i="3" s="1"/>
  <c r="L15" i="3" s="1"/>
  <c r="E1256" i="5" a="1"/>
  <c r="E1256" i="5" s="1"/>
  <c r="E1945" i="5" a="1"/>
  <c r="E1945" i="5" s="1"/>
  <c r="E564" i="5" a="1"/>
  <c r="E564" i="5" s="1"/>
  <c r="E1153" i="5" a="1"/>
  <c r="E1153" i="5" s="1"/>
  <c r="E770" i="5" a="1"/>
  <c r="E770" i="5" s="1"/>
  <c r="E4594" i="5" a="1"/>
  <c r="E4594" i="5" s="1"/>
  <c r="E4391" i="5" a="1"/>
  <c r="E4391" i="5" s="1"/>
  <c r="E4205" i="5" a="1"/>
  <c r="E4205" i="5" s="1"/>
  <c r="E4082" i="5" a="1"/>
  <c r="E4082" i="5" s="1"/>
  <c r="E3752" i="5" a="1"/>
  <c r="E3752" i="5" s="1"/>
  <c r="E3517" i="5" a="1"/>
  <c r="E3517" i="5" s="1"/>
  <c r="E3383" i="5" a="1"/>
  <c r="E3383" i="5" s="1"/>
  <c r="E2987" i="5" a="1"/>
  <c r="E2987" i="5" s="1"/>
  <c r="E2533" i="5" a="1"/>
  <c r="E2533" i="5" s="1"/>
  <c r="E2277" i="5" a="1"/>
  <c r="E2277" i="5" s="1"/>
  <c r="E2271" i="5" a="1"/>
  <c r="E2271" i="5" s="1"/>
  <c r="E2117" i="5" a="1"/>
  <c r="E2117" i="5" s="1"/>
  <c r="E1513" i="5" a="1"/>
  <c r="E1513" i="5" s="1"/>
  <c r="E1453" i="5" a="1"/>
  <c r="E1453" i="5" s="1"/>
  <c r="E1197" i="5" a="1"/>
  <c r="E1197" i="5" s="1"/>
  <c r="E561" i="5" a="1"/>
  <c r="E561" i="5" s="1"/>
  <c r="E622" i="5" a="1"/>
  <c r="E622" i="5" s="1"/>
  <c r="E47" i="5" a="1"/>
  <c r="E47" i="5" s="1"/>
  <c r="E4867" i="5" a="1"/>
  <c r="E4867" i="5" s="1"/>
  <c r="E4446" i="5" a="1"/>
  <c r="E4446" i="5" s="1"/>
  <c r="E4419" i="5" a="1"/>
  <c r="E4419" i="5" s="1"/>
  <c r="E4266" i="5" a="1"/>
  <c r="E4266" i="5" s="1"/>
  <c r="E4206" i="5" a="1"/>
  <c r="E4206" i="5" s="1"/>
  <c r="E3883" i="5" a="1"/>
  <c r="E3883" i="5" s="1"/>
  <c r="E3619" i="5" a="1"/>
  <c r="E3619" i="5" s="1"/>
  <c r="E3366" i="5" a="1"/>
  <c r="E3366" i="5" s="1"/>
  <c r="E3044" i="5" a="1"/>
  <c r="E3044" i="5" s="1"/>
  <c r="E2981" i="5" a="1"/>
  <c r="E2981" i="5" s="1"/>
  <c r="E2507" i="5" a="1"/>
  <c r="E2507" i="5" s="1"/>
  <c r="E2284" i="5" a="1"/>
  <c r="E2284" i="5" s="1"/>
  <c r="E2097" i="5" a="1"/>
  <c r="E2097" i="5" s="1"/>
  <c r="E1508" i="5" a="1"/>
  <c r="E1508" i="5" s="1"/>
  <c r="E1267" i="5" a="1"/>
  <c r="E1267" i="5" s="1"/>
  <c r="E1011" i="5" a="1"/>
  <c r="E1011" i="5" s="1"/>
  <c r="E463" i="5" a="1"/>
  <c r="E463" i="5" s="1"/>
  <c r="E1486" i="5" a="1"/>
  <c r="E1486" i="5" s="1"/>
  <c r="E1230" i="5" a="1"/>
  <c r="E1230" i="5" s="1"/>
  <c r="E974" i="5" a="1"/>
  <c r="E974" i="5" s="1"/>
  <c r="E931" i="5" a="1"/>
  <c r="E931" i="5" s="1"/>
  <c r="E669" i="5" a="1"/>
  <c r="E669" i="5" s="1"/>
  <c r="E730" i="5" a="1"/>
  <c r="E730" i="5" s="1"/>
  <c r="E4864" i="5" a="1"/>
  <c r="E4864" i="5" s="1"/>
  <c r="E4685" i="5" a="1"/>
  <c r="E4685" i="5" s="1"/>
  <c r="E4288" i="5" a="1"/>
  <c r="E4288" i="5" s="1"/>
  <c r="E4293" i="5" a="1"/>
  <c r="E4293" i="5" s="1"/>
  <c r="E4132" i="5" a="1"/>
  <c r="E4132" i="5" s="1"/>
  <c r="E4060" i="5" a="1"/>
  <c r="E4060" i="5" s="1"/>
  <c r="E3712" i="5" a="1"/>
  <c r="E3712" i="5" s="1"/>
  <c r="E3785" i="5" a="1"/>
  <c r="E3785" i="5" s="1"/>
  <c r="E3735" i="5" a="1"/>
  <c r="E3735" i="5" s="1"/>
  <c r="E3026" i="5" a="1"/>
  <c r="E3026" i="5" s="1"/>
  <c r="E3152" i="5" a="1"/>
  <c r="E3152" i="5" s="1"/>
  <c r="E2938" i="5" a="1"/>
  <c r="E2938" i="5" s="1"/>
  <c r="E2833" i="5" a="1"/>
  <c r="E2833" i="5" s="1"/>
  <c r="E2812" i="5" a="1"/>
  <c r="E2812" i="5" s="1"/>
  <c r="E2366" i="5" a="1"/>
  <c r="E2366" i="5" s="1"/>
  <c r="E1938" i="5" a="1"/>
  <c r="E1938" i="5" s="1"/>
  <c r="E1682" i="5" a="1"/>
  <c r="E1682" i="5" s="1"/>
  <c r="E258" i="5" a="1"/>
  <c r="E258" i="5" s="1"/>
  <c r="E1466" i="5" a="1"/>
  <c r="E1466" i="5" s="1"/>
  <c r="E1210" i="5" a="1"/>
  <c r="E1210" i="5" s="1"/>
  <c r="E954" i="5" a="1"/>
  <c r="E954" i="5" s="1"/>
  <c r="E568" i="5" a="1"/>
  <c r="E568" i="5" s="1"/>
  <c r="E1477" i="5" a="1"/>
  <c r="E1477" i="5" s="1"/>
  <c r="E1221" i="5" a="1"/>
  <c r="E1221" i="5" s="1"/>
  <c r="E965" i="5" a="1"/>
  <c r="E965" i="5" s="1"/>
  <c r="E825" i="5" a="1"/>
  <c r="E825" i="5" s="1"/>
  <c r="E86" i="5" a="1"/>
  <c r="E86" i="5" s="1"/>
  <c r="E535" i="5" a="1"/>
  <c r="E535" i="5" s="1"/>
  <c r="E4990" i="5" a="1"/>
  <c r="E4990" i="5" s="1"/>
  <c r="E4729" i="5" a="1"/>
  <c r="E4729" i="5" s="1"/>
  <c r="E4427" i="5" a="1"/>
  <c r="E4427" i="5" s="1"/>
  <c r="E4119" i="5" a="1"/>
  <c r="E4119" i="5" s="1"/>
  <c r="E4094" i="5" a="1"/>
  <c r="E4094" i="5" s="1"/>
  <c r="E3877" i="5" a="1"/>
  <c r="E3877" i="5" s="1"/>
  <c r="E3938" i="5" a="1"/>
  <c r="E3938" i="5" s="1"/>
  <c r="E3892" i="5" a="1"/>
  <c r="E3892" i="5" s="1"/>
  <c r="E3635" i="5" a="1"/>
  <c r="E3635" i="5" s="1"/>
  <c r="E3505" i="5" a="1"/>
  <c r="E3505" i="5" s="1"/>
  <c r="E3309" i="5" a="1"/>
  <c r="E3309" i="5" s="1"/>
  <c r="E3079" i="5" a="1"/>
  <c r="E3079" i="5" s="1"/>
  <c r="E2799" i="5" a="1"/>
  <c r="E2799" i="5" s="1"/>
  <c r="E2265" i="5" a="1"/>
  <c r="E2265" i="5" s="1"/>
  <c r="E2416" i="5" a="1"/>
  <c r="E2416" i="5" s="1"/>
  <c r="E660" i="5" a="1"/>
  <c r="E660" i="5" s="1"/>
  <c r="E304" i="5" a="1"/>
  <c r="E304" i="5" s="1"/>
  <c r="E1249" i="5" a="1"/>
  <c r="E1249" i="5" s="1"/>
  <c r="E248" i="5" a="1"/>
  <c r="E248" i="5" s="1"/>
  <c r="E1192" i="5" a="1"/>
  <c r="E1192" i="5" s="1"/>
  <c r="E2009" i="5" a="1"/>
  <c r="E2009" i="5" s="1"/>
  <c r="E1806" i="5" a="1"/>
  <c r="E1806" i="5" s="1"/>
  <c r="E279" i="5" a="1"/>
  <c r="E279" i="5" s="1"/>
  <c r="E435" i="5" a="1"/>
  <c r="E435" i="5" s="1"/>
  <c r="E4806" i="5" a="1"/>
  <c r="E4806" i="5" s="1"/>
  <c r="E4654" i="5" a="1"/>
  <c r="E4654" i="5" s="1"/>
  <c r="E4584" i="5" a="1"/>
  <c r="E4584" i="5" s="1"/>
  <c r="E4514" i="5" a="1"/>
  <c r="E4514" i="5" s="1"/>
  <c r="E4388" i="5" a="1"/>
  <c r="E4388" i="5" s="1"/>
  <c r="E3823" i="5" a="1"/>
  <c r="E3823" i="5" s="1"/>
  <c r="E3437" i="5" a="1"/>
  <c r="E3437" i="5" s="1"/>
  <c r="E3351" i="5" a="1"/>
  <c r="E3351" i="5" s="1"/>
  <c r="E2453" i="5" a="1"/>
  <c r="E2453" i="5" s="1"/>
  <c r="E2206" i="5" a="1"/>
  <c r="E2206" i="5" s="1"/>
  <c r="E2412" i="5" a="1"/>
  <c r="E2412" i="5" s="1"/>
  <c r="E2086" i="5" a="1"/>
  <c r="E2086" i="5" s="1"/>
  <c r="E2171" i="5" a="1"/>
  <c r="E2171" i="5" s="1"/>
  <c r="E2418" i="5" a="1"/>
  <c r="E2418" i="5" s="1"/>
  <c r="E2037" i="5" a="1"/>
  <c r="E2037" i="5" s="1"/>
  <c r="E1819" i="5" a="1"/>
  <c r="E1819" i="5" s="1"/>
  <c r="E1563" i="5" a="1"/>
  <c r="E1563" i="5" s="1"/>
  <c r="E1996" i="5" a="1"/>
  <c r="E1996" i="5" s="1"/>
  <c r="E404" i="5" a="1"/>
  <c r="E404" i="5" s="1"/>
  <c r="E174" i="5" a="1"/>
  <c r="E174" i="5" s="1"/>
  <c r="E1373" i="5" a="1"/>
  <c r="E1373" i="5" s="1"/>
  <c r="E1117" i="5" a="1"/>
  <c r="E1117" i="5" s="1"/>
  <c r="E609" i="5" a="1"/>
  <c r="E609" i="5" s="1"/>
  <c r="E111" i="5" a="1"/>
  <c r="E111" i="5" s="1"/>
  <c r="E583" i="5" a="1"/>
  <c r="E583" i="5" s="1"/>
  <c r="E318" i="5" a="1"/>
  <c r="E318" i="5" s="1"/>
  <c r="E4770" i="5" a="1"/>
  <c r="E4770" i="5" s="1"/>
  <c r="E4605" i="5" a="1"/>
  <c r="E4605" i="5" s="1"/>
  <c r="E4558" i="5" a="1"/>
  <c r="E4558" i="5" s="1"/>
  <c r="E4421" i="5" a="1"/>
  <c r="E4421" i="5" s="1"/>
  <c r="E4160" i="5" a="1"/>
  <c r="E4160" i="5" s="1"/>
  <c r="E3928" i="5" a="1"/>
  <c r="E3928" i="5" s="1"/>
  <c r="E3803" i="5" a="1"/>
  <c r="E3803" i="5" s="1"/>
  <c r="E3417" i="5" a="1"/>
  <c r="E3417" i="5" s="1"/>
  <c r="E3346" i="5" a="1"/>
  <c r="E3346" i="5" s="1"/>
  <c r="E3220" i="5" a="1"/>
  <c r="E3220" i="5" s="1"/>
  <c r="E3288" i="5" a="1"/>
  <c r="E3288" i="5" s="1"/>
  <c r="E2837" i="5" a="1"/>
  <c r="E2837" i="5" s="1"/>
  <c r="E2363" i="5" a="1"/>
  <c r="E2363" i="5" s="1"/>
  <c r="E2380" i="5" a="1"/>
  <c r="E2380" i="5" s="1"/>
  <c r="E2240" i="5" a="1"/>
  <c r="E2240" i="5" s="1"/>
  <c r="E1735" i="5" a="1"/>
  <c r="E1735" i="5" s="1"/>
  <c r="E1536" i="5" a="1"/>
  <c r="E1536" i="5" s="1"/>
  <c r="E1379" i="5" a="1"/>
  <c r="E1379" i="5" s="1"/>
  <c r="E1123" i="5" a="1"/>
  <c r="E1123" i="5" s="1"/>
  <c r="E1342" i="5" a="1"/>
  <c r="E1342" i="5" s="1"/>
  <c r="E1086" i="5" a="1"/>
  <c r="E1086" i="5" s="1"/>
  <c r="E700" i="5" a="1"/>
  <c r="E700" i="5" s="1"/>
  <c r="E495" i="5" a="1"/>
  <c r="E495" i="5" s="1"/>
  <c r="E827" i="5" a="1"/>
  <c r="E827" i="5" s="1"/>
  <c r="E157" i="5" a="1"/>
  <c r="E157" i="5" s="1"/>
  <c r="E543" i="5" a="1"/>
  <c r="E543" i="5" s="1"/>
  <c r="E5021" i="5" a="1"/>
  <c r="E5021" i="5" s="1"/>
  <c r="E4963" i="5" a="1"/>
  <c r="E4963" i="5" s="1"/>
  <c r="E4828" i="5" a="1"/>
  <c r="E4828" i="5" s="1"/>
  <c r="E4787" i="5" a="1"/>
  <c r="E4787" i="5" s="1"/>
  <c r="E4667" i="5" a="1"/>
  <c r="E4667" i="5" s="1"/>
  <c r="E4397" i="5" a="1"/>
  <c r="E4397" i="5" s="1"/>
  <c r="E4312" i="5" a="1"/>
  <c r="E4312" i="5" s="1"/>
  <c r="E4285" i="5" a="1"/>
  <c r="E4285" i="5" s="1"/>
  <c r="E4246" i="5" a="1"/>
  <c r="E4246" i="5" s="1"/>
  <c r="E4258" i="5" a="1"/>
  <c r="E4258" i="5" s="1"/>
  <c r="E3972" i="5" a="1"/>
  <c r="E3972" i="5" s="1"/>
  <c r="E3833" i="5" a="1"/>
  <c r="E3833" i="5" s="1"/>
  <c r="E3847" i="5" a="1"/>
  <c r="E3847" i="5" s="1"/>
  <c r="E3461" i="5" a="1"/>
  <c r="E3461" i="5" s="1"/>
  <c r="E3518" i="5" a="1"/>
  <c r="E3518" i="5" s="1"/>
  <c r="E3138" i="5" a="1"/>
  <c r="E3138" i="5" s="1"/>
  <c r="E3227" i="5" a="1"/>
  <c r="E3227" i="5" s="1"/>
  <c r="E3264" i="5" a="1"/>
  <c r="E3264" i="5" s="1"/>
  <c r="E3327" i="5" a="1"/>
  <c r="E3327" i="5" s="1"/>
  <c r="E3097" i="5" a="1"/>
  <c r="E3097" i="5" s="1"/>
  <c r="E2947" i="5" a="1"/>
  <c r="E2947" i="5" s="1"/>
  <c r="E2477" i="5" a="1"/>
  <c r="E2477" i="5" s="1"/>
  <c r="E2858" i="5" a="1"/>
  <c r="E2858" i="5" s="1"/>
  <c r="E2860" i="5" a="1"/>
  <c r="E2860" i="5" s="1"/>
  <c r="E2683" i="5" a="1"/>
  <c r="E2683" i="5" s="1"/>
  <c r="E2555" i="5" a="1"/>
  <c r="E2555" i="5" s="1"/>
  <c r="E2290" i="5" a="1"/>
  <c r="E2290" i="5" s="1"/>
  <c r="E1907" i="5" a="1"/>
  <c r="E1907" i="5" s="1"/>
  <c r="E1651" i="5" a="1"/>
  <c r="E1651" i="5" s="1"/>
  <c r="E926" i="5" a="1"/>
  <c r="E926" i="5" s="1"/>
  <c r="E1386" i="5" a="1"/>
  <c r="E1386" i="5" s="1"/>
  <c r="E1130" i="5" a="1"/>
  <c r="E1130" i="5" s="1"/>
  <c r="E61" i="5" a="1"/>
  <c r="E61" i="5" s="1"/>
  <c r="E1269" i="5" a="1"/>
  <c r="E1269" i="5" s="1"/>
  <c r="E1013" i="5" a="1"/>
  <c r="E1013" i="5" s="1"/>
  <c r="E849" i="5" a="1"/>
  <c r="E849" i="5" s="1"/>
  <c r="E69" i="5" a="1"/>
  <c r="E69" i="5" s="1"/>
  <c r="E630" i="5" a="1"/>
  <c r="E630" i="5" s="1"/>
  <c r="E231" i="5" a="1"/>
  <c r="E231" i="5" s="1"/>
  <c r="E4985" i="5" a="1"/>
  <c r="E4985" i="5" s="1"/>
  <c r="E4838" i="5" a="1"/>
  <c r="E4838" i="5" s="1"/>
  <c r="E4780" i="5" a="1"/>
  <c r="E4780" i="5" s="1"/>
  <c r="E4706" i="5" a="1"/>
  <c r="E4706" i="5" s="1"/>
  <c r="E4485" i="5" a="1"/>
  <c r="E4485" i="5" s="1"/>
  <c r="E4425" i="5" a="1"/>
  <c r="E4425" i="5" s="1"/>
  <c r="E4103" i="5" a="1"/>
  <c r="E4103" i="5" s="1"/>
  <c r="E4156" i="5" a="1"/>
  <c r="E4156" i="5" s="1"/>
  <c r="E4011" i="5" a="1"/>
  <c r="E4011" i="5" s="1"/>
  <c r="E3733" i="5" a="1"/>
  <c r="E3733" i="5" s="1"/>
  <c r="E4025" i="5" a="1"/>
  <c r="E4025" i="5" s="1"/>
  <c r="E3553" i="5" a="1"/>
  <c r="E3553" i="5" s="1"/>
  <c r="E3348" i="5" a="1"/>
  <c r="E3348" i="5" s="1"/>
  <c r="E3038" i="5" a="1"/>
  <c r="E3038" i="5" s="1"/>
  <c r="E3127" i="5" a="1"/>
  <c r="E3127" i="5" s="1"/>
  <c r="E3012" i="5" a="1"/>
  <c r="E3012" i="5" s="1"/>
  <c r="E2847" i="5" a="1"/>
  <c r="E2847" i="5" s="1"/>
  <c r="E2377" i="5" a="1"/>
  <c r="E2377" i="5" s="1"/>
  <c r="E2952" i="5" a="1"/>
  <c r="E2952" i="5" s="1"/>
  <c r="E2464" i="5" a="1"/>
  <c r="E2464" i="5" s="1"/>
  <c r="E2092" i="5" a="1"/>
  <c r="E2092" i="5" s="1"/>
  <c r="E2025" i="5" a="1"/>
  <c r="E2025" i="5" s="1"/>
  <c r="E1538" i="5" a="1"/>
  <c r="E1538" i="5" s="1"/>
  <c r="E1886" i="5" a="1"/>
  <c r="E1886" i="5" s="1"/>
  <c r="E1630" i="5" a="1"/>
  <c r="E1630" i="5" s="1"/>
  <c r="E457" i="5" a="1"/>
  <c r="E457" i="5" s="1"/>
  <c r="E580" i="5" a="1"/>
  <c r="E580" i="5" s="1"/>
  <c r="E92" i="5" a="1"/>
  <c r="E92" i="5" s="1"/>
  <c r="E1297" i="5" a="1"/>
  <c r="E1297" i="5" s="1"/>
  <c r="E1041" i="5" a="1"/>
  <c r="E1041" i="5" s="1"/>
  <c r="E99" i="5" a="1"/>
  <c r="E99" i="5" s="1"/>
  <c r="E1304" i="5" a="1"/>
  <c r="E1304" i="5" s="1"/>
  <c r="E1048" i="5" a="1"/>
  <c r="E1048" i="5" s="1"/>
  <c r="E658" i="5" a="1"/>
  <c r="E658" i="5" s="1"/>
  <c r="E197" i="5" a="1"/>
  <c r="E197" i="5" s="1"/>
  <c r="E2140" i="5" a="1"/>
  <c r="E2140" i="5" s="1"/>
  <c r="E1534" i="5" a="1"/>
  <c r="E1534" i="5" s="1"/>
  <c r="E1569" i="5" a="1"/>
  <c r="E1569" i="5" s="1"/>
  <c r="E628" i="5" a="1"/>
  <c r="E628" i="5" s="1"/>
  <c r="E1281" i="5" a="1"/>
  <c r="E1281" i="5" s="1"/>
  <c r="E1224" i="5" a="1"/>
  <c r="E1224" i="5" s="1"/>
  <c r="E296" i="5" a="1"/>
  <c r="E296" i="5" s="1"/>
  <c r="E4890" i="5" a="1"/>
  <c r="E4890" i="5" s="1"/>
  <c r="E625" i="5" a="1"/>
  <c r="E625" i="5" s="1"/>
  <c r="E5036" i="5" a="1"/>
  <c r="E5036" i="5" s="1"/>
  <c r="E4646" i="5" a="1"/>
  <c r="E4646" i="5" s="1"/>
  <c r="E4529" i="5" a="1"/>
  <c r="E4529" i="5" s="1"/>
  <c r="E4482" i="5" a="1"/>
  <c r="E4482" i="5" s="1"/>
  <c r="E4211" i="5" a="1"/>
  <c r="E4211" i="5" s="1"/>
  <c r="E3904" i="5" a="1"/>
  <c r="E3904" i="5" s="1"/>
  <c r="E3668" i="5" a="1"/>
  <c r="E3668" i="5" s="1"/>
  <c r="E3405" i="5" a="1"/>
  <c r="E3405" i="5" s="1"/>
  <c r="E3527" i="5" a="1"/>
  <c r="E3527" i="5" s="1"/>
  <c r="E3343" i="5" a="1"/>
  <c r="E3343" i="5" s="1"/>
  <c r="E3282" i="5" a="1"/>
  <c r="E3282" i="5" s="1"/>
  <c r="E2421" i="5" a="1"/>
  <c r="E2421" i="5" s="1"/>
  <c r="E2198" i="5" a="1"/>
  <c r="E2198" i="5" s="1"/>
  <c r="E1549" i="5" a="1"/>
  <c r="E1549" i="5" s="1"/>
  <c r="E1821" i="5" a="1"/>
  <c r="E1821" i="5" s="1"/>
  <c r="E1565" i="5" a="1"/>
  <c r="E1565" i="5" s="1"/>
  <c r="E795" i="5" a="1"/>
  <c r="E795" i="5" s="1"/>
  <c r="E508" i="5" a="1"/>
  <c r="E508" i="5" s="1"/>
  <c r="E705" i="5" a="1"/>
  <c r="E705" i="5" s="1"/>
  <c r="E766" i="5" a="1"/>
  <c r="E766" i="5" s="1"/>
  <c r="E341" i="5" a="1"/>
  <c r="E341" i="5" s="1"/>
  <c r="E121" i="5" a="1"/>
  <c r="E121" i="5" s="1"/>
  <c r="E5016" i="5" a="1"/>
  <c r="E5016" i="5" s="1"/>
  <c r="E4775" i="5" a="1"/>
  <c r="E4775" i="5" s="1"/>
  <c r="E4462" i="5" a="1"/>
  <c r="E4462" i="5" s="1"/>
  <c r="E4435" i="5" a="1"/>
  <c r="E4435" i="5" s="1"/>
  <c r="E4110" i="5" a="1"/>
  <c r="E4110" i="5" s="1"/>
  <c r="E3513" i="5" a="1"/>
  <c r="E3513" i="5" s="1"/>
  <c r="E3637" i="5" a="1"/>
  <c r="E3637" i="5" s="1"/>
  <c r="E3379" i="5" a="1"/>
  <c r="E3379" i="5" s="1"/>
  <c r="E3273" i="5" a="1"/>
  <c r="E3273" i="5" s="1"/>
  <c r="E3060" i="5" a="1"/>
  <c r="E3060" i="5" s="1"/>
  <c r="E2986" i="5" a="1"/>
  <c r="E2986" i="5" s="1"/>
  <c r="E2267" i="5" a="1"/>
  <c r="E2267" i="5" s="1"/>
  <c r="E2162" i="5" a="1"/>
  <c r="E2162" i="5" s="1"/>
  <c r="E2316" i="5" a="1"/>
  <c r="E2316" i="5" s="1"/>
  <c r="E2113" i="5" a="1"/>
  <c r="E2113" i="5" s="1"/>
  <c r="E1895" i="5" a="1"/>
  <c r="E1895" i="5" s="1"/>
  <c r="E1639" i="5" a="1"/>
  <c r="E1639" i="5" s="1"/>
  <c r="E1512" i="5" a="1"/>
  <c r="E1512" i="5" s="1"/>
  <c r="E1846" i="5" a="1"/>
  <c r="E1846" i="5" s="1"/>
  <c r="E1590" i="5" a="1"/>
  <c r="E1590" i="5" s="1"/>
  <c r="E1283" i="5" a="1"/>
  <c r="E1283" i="5" s="1"/>
  <c r="E1027" i="5" a="1"/>
  <c r="E1027" i="5" s="1"/>
  <c r="E289" i="5" a="1"/>
  <c r="E289" i="5" s="1"/>
  <c r="E465" i="5" a="1"/>
  <c r="E465" i="5" s="1"/>
  <c r="E939" i="5" a="1"/>
  <c r="E939" i="5" s="1"/>
  <c r="E811" i="5" a="1"/>
  <c r="E811" i="5" s="1"/>
  <c r="E4999" i="5" a="1"/>
  <c r="E4999" i="5" s="1"/>
  <c r="E4907" i="5" a="1"/>
  <c r="E4907" i="5" s="1"/>
  <c r="E4798" i="5" a="1"/>
  <c r="E4798" i="5" s="1"/>
  <c r="E4553" i="5" a="1"/>
  <c r="E4553" i="5" s="1"/>
  <c r="E4479" i="5" a="1"/>
  <c r="E4479" i="5" s="1"/>
  <c r="E3856" i="5" a="1"/>
  <c r="E3856" i="5" s="1"/>
  <c r="E3951" i="5" a="1"/>
  <c r="E3951" i="5" s="1"/>
  <c r="E4033" i="5" a="1"/>
  <c r="E4033" i="5" s="1"/>
  <c r="E3493" i="5" a="1"/>
  <c r="E3493" i="5" s="1"/>
  <c r="E3550" i="5" a="1"/>
  <c r="E3550" i="5" s="1"/>
  <c r="E3170" i="5" a="1"/>
  <c r="E3170" i="5" s="1"/>
  <c r="E3259" i="5" a="1"/>
  <c r="E3259" i="5" s="1"/>
  <c r="E3040" i="5" a="1"/>
  <c r="E3040" i="5" s="1"/>
  <c r="E3129" i="5" a="1"/>
  <c r="E3129" i="5" s="1"/>
  <c r="E2509" i="5" a="1"/>
  <c r="E2509" i="5" s="1"/>
  <c r="E2954" i="5" a="1"/>
  <c r="E2954" i="5" s="1"/>
  <c r="E2849" i="5" a="1"/>
  <c r="E2849" i="5" s="1"/>
  <c r="E2828" i="5" a="1"/>
  <c r="E2828" i="5" s="1"/>
  <c r="E2667" i="5" a="1"/>
  <c r="E2667" i="5" s="1"/>
  <c r="E2226" i="5" a="1"/>
  <c r="E2226" i="5" s="1"/>
  <c r="E2035" i="5" a="1"/>
  <c r="E2035" i="5" s="1"/>
  <c r="E1980" i="5" a="1"/>
  <c r="E1980" i="5" s="1"/>
  <c r="E846" i="5" a="1"/>
  <c r="E846" i="5" s="1"/>
  <c r="E273" i="5" a="1"/>
  <c r="E273" i="5" s="1"/>
  <c r="E346" i="5" a="1"/>
  <c r="E346" i="5" s="1"/>
  <c r="E96" i="5" a="1"/>
  <c r="E96" i="5" s="1"/>
  <c r="E1301" i="5" a="1"/>
  <c r="E1301" i="5" s="1"/>
  <c r="E1045" i="5" a="1"/>
  <c r="E1045" i="5" s="1"/>
  <c r="E865" i="5" a="1"/>
  <c r="E865" i="5" s="1"/>
  <c r="E103" i="5" a="1"/>
  <c r="E103" i="5" s="1"/>
  <c r="E4783" i="5" a="1"/>
  <c r="E4783" i="5" s="1"/>
  <c r="E4737" i="5" a="1"/>
  <c r="E4737" i="5" s="1"/>
  <c r="E4571" i="5" a="1"/>
  <c r="E4571" i="5" s="1"/>
  <c r="E4090" i="5" a="1"/>
  <c r="E4090" i="5" s="1"/>
  <c r="E3765" i="5" a="1"/>
  <c r="E3765" i="5" s="1"/>
  <c r="E2432" i="5" a="1"/>
  <c r="E2432" i="5" s="1"/>
  <c r="E2121" i="5" a="1"/>
  <c r="E2121" i="5" s="1"/>
  <c r="E539" i="5" a="1"/>
  <c r="E539" i="5" s="1"/>
  <c r="E740" i="5" a="1"/>
  <c r="E740" i="5" s="1"/>
  <c r="E1457" i="5" a="1"/>
  <c r="E1457" i="5" s="1"/>
  <c r="E1201" i="5" a="1"/>
  <c r="E1201" i="5" s="1"/>
  <c r="E945" i="5" a="1"/>
  <c r="E945" i="5" s="1"/>
  <c r="E64" i="5" a="1"/>
  <c r="E64" i="5" s="1"/>
  <c r="E639" i="5" a="1"/>
  <c r="E639" i="5" s="1"/>
  <c r="E1185" i="5" a="1"/>
  <c r="E1185" i="5" s="1"/>
  <c r="E1128" i="5" a="1"/>
  <c r="E1128" i="5" s="1"/>
  <c r="E1518" i="5" a="1"/>
  <c r="E1518" i="5" s="1"/>
  <c r="E433" i="5" a="1"/>
  <c r="E433" i="5" s="1"/>
  <c r="E514" i="5" a="1"/>
  <c r="E514" i="5" s="1"/>
  <c r="E5013" i="5" a="1"/>
  <c r="E5013" i="5" s="1"/>
  <c r="E4742" i="5" a="1"/>
  <c r="E4742" i="5" s="1"/>
  <c r="E4600" i="5" a="1"/>
  <c r="E4600" i="5" s="1"/>
  <c r="E4577" i="5" a="1"/>
  <c r="E4577" i="5" s="1"/>
  <c r="E4530" i="5" a="1"/>
  <c r="E4530" i="5" s="1"/>
  <c r="E4212" i="5" a="1"/>
  <c r="E4212" i="5" s="1"/>
  <c r="E3839" i="5" a="1"/>
  <c r="E3839" i="5" s="1"/>
  <c r="E3642" i="5" a="1"/>
  <c r="E3642" i="5" s="1"/>
  <c r="E3453" i="5" a="1"/>
  <c r="E3453" i="5" s="1"/>
  <c r="E3575" i="5" a="1"/>
  <c r="E3575" i="5" s="1"/>
  <c r="E3355" i="5" a="1"/>
  <c r="E3355" i="5" s="1"/>
  <c r="E2469" i="5" a="1"/>
  <c r="E2469" i="5" s="1"/>
  <c r="E2482" i="5" a="1"/>
  <c r="E2482" i="5" s="1"/>
  <c r="E2053" i="5" a="1"/>
  <c r="E2053" i="5" s="1"/>
  <c r="E1948" i="5" a="1"/>
  <c r="E1948" i="5" s="1"/>
  <c r="E431" i="5" a="1"/>
  <c r="E431" i="5" s="1"/>
  <c r="E234" i="5" a="1"/>
  <c r="E234" i="5" s="1"/>
  <c r="E1389" i="5" a="1"/>
  <c r="E1389" i="5" s="1"/>
  <c r="E1133" i="5" a="1"/>
  <c r="E1133" i="5" s="1"/>
  <c r="E753" i="5" a="1"/>
  <c r="E753" i="5" s="1"/>
  <c r="E558" i="5" a="1"/>
  <c r="E558" i="5" s="1"/>
  <c r="E4888" i="5" a="1"/>
  <c r="E4888" i="5" s="1"/>
  <c r="E4793" i="5" a="1"/>
  <c r="E4793" i="5" s="1"/>
  <c r="E4611" i="5" a="1"/>
  <c r="E4611" i="5" s="1"/>
  <c r="E4362" i="5" a="1"/>
  <c r="E4362" i="5" s="1"/>
  <c r="E4185" i="5" a="1"/>
  <c r="E4185" i="5" s="1"/>
  <c r="E4078" i="5" a="1"/>
  <c r="E4078" i="5" s="1"/>
  <c r="E4008" i="5" a="1"/>
  <c r="E4008" i="5" s="1"/>
  <c r="E3819" i="5" a="1"/>
  <c r="E3819" i="5" s="1"/>
  <c r="E3555" i="5" a="1"/>
  <c r="E3555" i="5" s="1"/>
  <c r="E3350" i="5" a="1"/>
  <c r="E3350" i="5" s="1"/>
  <c r="E3236" i="5" a="1"/>
  <c r="E3236" i="5" s="1"/>
  <c r="E3299" i="5" a="1"/>
  <c r="E3299" i="5" s="1"/>
  <c r="E2205" i="5" a="1"/>
  <c r="E2205" i="5" s="1"/>
  <c r="E2917" i="5" a="1"/>
  <c r="E2917" i="5" s="1"/>
  <c r="E2167" i="5" a="1"/>
  <c r="E2167" i="5" s="1"/>
  <c r="E2278" i="5" a="1"/>
  <c r="E2278" i="5" s="1"/>
  <c r="E2400" i="5" a="1"/>
  <c r="E2400" i="5" s="1"/>
  <c r="E2033" i="5" a="1"/>
  <c r="E2033" i="5" s="1"/>
  <c r="E1988" i="5" a="1"/>
  <c r="E1988" i="5" s="1"/>
  <c r="E1459" i="5" a="1"/>
  <c r="E1459" i="5" s="1"/>
  <c r="E1203" i="5" a="1"/>
  <c r="E1203" i="5" s="1"/>
  <c r="E947" i="5" a="1"/>
  <c r="E947" i="5" s="1"/>
  <c r="E1422" i="5" a="1"/>
  <c r="E1422" i="5" s="1"/>
  <c r="E1166" i="5" a="1"/>
  <c r="E1166" i="5" s="1"/>
  <c r="E780" i="5" a="1"/>
  <c r="E780" i="5" s="1"/>
  <c r="E524" i="5" a="1"/>
  <c r="E524" i="5" s="1"/>
  <c r="E170" i="5" a="1"/>
  <c r="E170" i="5" s="1"/>
  <c r="E899" i="5" a="1"/>
  <c r="E899" i="5" s="1"/>
  <c r="E605" i="5" a="1"/>
  <c r="E605" i="5" s="1"/>
  <c r="E107" i="5" a="1"/>
  <c r="E107" i="5" s="1"/>
  <c r="E666" i="5" a="1"/>
  <c r="E666" i="5" s="1"/>
  <c r="E575" i="5" a="1"/>
  <c r="E575" i="5" s="1"/>
  <c r="E205" i="5" a="1"/>
  <c r="E205" i="5" s="1"/>
  <c r="E5014" i="5" a="1"/>
  <c r="E5014" i="5" s="1"/>
  <c r="E4884" i="5" a="1"/>
  <c r="E4884" i="5" s="1"/>
  <c r="E4683" i="5" a="1"/>
  <c r="E4683" i="5" s="1"/>
  <c r="E4591" i="5" a="1"/>
  <c r="E4591" i="5" s="1"/>
  <c r="E4261" i="5" a="1"/>
  <c r="E4261" i="5" s="1"/>
  <c r="E4055" i="5" a="1"/>
  <c r="E4055" i="5" s="1"/>
  <c r="E3721" i="5" a="1"/>
  <c r="E3721" i="5" s="1"/>
  <c r="E3671" i="5" a="1"/>
  <c r="E3671" i="5" s="1"/>
  <c r="E3598" i="5" a="1"/>
  <c r="E3598" i="5" s="1"/>
  <c r="E3218" i="5" a="1"/>
  <c r="E3218" i="5" s="1"/>
  <c r="E3287" i="5" a="1"/>
  <c r="E3287" i="5" s="1"/>
  <c r="E3088" i="5" a="1"/>
  <c r="E3088" i="5" s="1"/>
  <c r="E2874" i="5" a="1"/>
  <c r="E2874" i="5" s="1"/>
  <c r="E2769" i="5" a="1"/>
  <c r="E2769" i="5" s="1"/>
  <c r="E2755" i="5" a="1"/>
  <c r="E2755" i="5" s="1"/>
  <c r="E2627" i="5" a="1"/>
  <c r="E2627" i="5" s="1"/>
  <c r="E2147" i="5" a="1"/>
  <c r="E2147" i="5" s="1"/>
  <c r="E2360" i="5" a="1"/>
  <c r="E2360" i="5" s="1"/>
  <c r="E1874" i="5" a="1"/>
  <c r="E1874" i="5" s="1"/>
  <c r="E1618" i="5" a="1"/>
  <c r="E1618" i="5" s="1"/>
  <c r="E1402" i="5" a="1"/>
  <c r="E1402" i="5" s="1"/>
  <c r="E1146" i="5" a="1"/>
  <c r="E1146" i="5" s="1"/>
  <c r="E760" i="5" a="1"/>
  <c r="E760" i="5" s="1"/>
  <c r="E1413" i="5" a="1"/>
  <c r="E1413" i="5" s="1"/>
  <c r="E1157" i="5" a="1"/>
  <c r="E1157" i="5" s="1"/>
  <c r="E921" i="5" a="1"/>
  <c r="E921" i="5" s="1"/>
  <c r="E713" i="5" a="1"/>
  <c r="E713" i="5" s="1"/>
  <c r="E187" i="5" a="1"/>
  <c r="E187" i="5" s="1"/>
  <c r="E4929" i="5" a="1"/>
  <c r="E4929" i="5" s="1"/>
  <c r="E4902" i="5" a="1"/>
  <c r="E4902" i="5" s="1"/>
  <c r="E4767" i="5" a="1"/>
  <c r="E4767" i="5" s="1"/>
  <c r="E4186" i="5" a="1"/>
  <c r="E4186" i="5" s="1"/>
  <c r="E4208" i="5" a="1"/>
  <c r="E4208" i="5" s="1"/>
  <c r="E3813" i="5" a="1"/>
  <c r="E3813" i="5" s="1"/>
  <c r="E3858" i="5" a="1"/>
  <c r="E3858" i="5" s="1"/>
  <c r="E3441" i="5" a="1"/>
  <c r="E3441" i="5" s="1"/>
  <c r="E3336" i="5" a="1"/>
  <c r="E3336" i="5" s="1"/>
  <c r="E2294" i="5" a="1"/>
  <c r="E2294" i="5" s="1"/>
  <c r="E532" i="5" a="1"/>
  <c r="E532" i="5" s="1"/>
  <c r="E1121" i="5" a="1"/>
  <c r="E1121" i="5" s="1"/>
  <c r="E115" i="5" a="1"/>
  <c r="E115" i="5" s="1"/>
  <c r="E1064" i="5" a="1"/>
  <c r="E1064" i="5" s="1"/>
  <c r="E1712" i="5" a="1"/>
  <c r="E1712" i="5" s="1"/>
  <c r="E1473" i="5" a="1"/>
  <c r="E1473" i="5" s="1"/>
  <c r="E1288" i="5" a="1"/>
  <c r="E1288" i="5" s="1"/>
  <c r="E4777" i="5" a="1"/>
  <c r="E4777" i="5" s="1"/>
  <c r="E4520" i="5" a="1"/>
  <c r="E4520" i="5" s="1"/>
  <c r="E4450" i="5" a="1"/>
  <c r="E4450" i="5" s="1"/>
  <c r="E4423" i="5" a="1"/>
  <c r="E4423" i="5" s="1"/>
  <c r="E3759" i="5" a="1"/>
  <c r="E3759" i="5" s="1"/>
  <c r="E3629" i="5" a="1"/>
  <c r="E3629" i="5" s="1"/>
  <c r="E3373" i="5" a="1"/>
  <c r="E3373" i="5" s="1"/>
  <c r="E3495" i="5" a="1"/>
  <c r="E3495" i="5" s="1"/>
  <c r="E3015" i="5" a="1"/>
  <c r="E3015" i="5" s="1"/>
  <c r="E2389" i="5" a="1"/>
  <c r="E2389" i="5" s="1"/>
  <c r="E2383" i="5" a="1"/>
  <c r="E2383" i="5" s="1"/>
  <c r="E2022" i="5" a="1"/>
  <c r="E2022" i="5" s="1"/>
  <c r="E2107" i="5" a="1"/>
  <c r="E2107" i="5" s="1"/>
  <c r="E1755" i="5" a="1"/>
  <c r="E1755" i="5" s="1"/>
  <c r="E1541" i="5" a="1"/>
  <c r="E1541" i="5" s="1"/>
  <c r="E763" i="5" a="1"/>
  <c r="E763" i="5" s="1"/>
  <c r="E500" i="5" a="1"/>
  <c r="E500" i="5" s="1"/>
  <c r="E1309" i="5" a="1"/>
  <c r="E1309" i="5" s="1"/>
  <c r="E1053" i="5" a="1"/>
  <c r="E1053" i="5" s="1"/>
  <c r="E545" i="5" a="1"/>
  <c r="E545" i="5" s="1"/>
  <c r="E455" i="5" a="1"/>
  <c r="E455" i="5" s="1"/>
  <c r="E267" i="5" a="1"/>
  <c r="E267" i="5" s="1"/>
  <c r="E4905" i="5" a="1"/>
  <c r="E4905" i="5" s="1"/>
  <c r="E4848" i="5" a="1"/>
  <c r="E4848" i="5" s="1"/>
  <c r="E4649" i="5" a="1"/>
  <c r="E4649" i="5" s="1"/>
  <c r="E4687" i="5" a="1"/>
  <c r="E4687" i="5" s="1"/>
  <c r="E4541" i="5" a="1"/>
  <c r="E4541" i="5" s="1"/>
  <c r="E4494" i="5" a="1"/>
  <c r="E4494" i="5" s="1"/>
  <c r="E4379" i="5" a="1"/>
  <c r="E4379" i="5" s="1"/>
  <c r="E4354" i="5" a="1"/>
  <c r="E4354" i="5" s="1"/>
  <c r="E4169" i="5" a="1"/>
  <c r="E4169" i="5" s="1"/>
  <c r="E3844" i="5" a="1"/>
  <c r="E3844" i="5" s="1"/>
  <c r="E4013" i="5" a="1"/>
  <c r="E4013" i="5" s="1"/>
  <c r="E3739" i="5" a="1"/>
  <c r="E3739" i="5" s="1"/>
  <c r="E3609" i="5" a="1"/>
  <c r="E3609" i="5" s="1"/>
  <c r="E3686" i="5" a="1"/>
  <c r="E3686" i="5" s="1"/>
  <c r="E3475" i="5" a="1"/>
  <c r="E3475" i="5" s="1"/>
  <c r="E3156" i="5" a="1"/>
  <c r="E3156" i="5" s="1"/>
  <c r="E3010" i="5" a="1"/>
  <c r="E3010" i="5" s="1"/>
  <c r="E2773" i="5" a="1"/>
  <c r="E2773" i="5" s="1"/>
  <c r="E2299" i="5" a="1"/>
  <c r="E2299" i="5" s="1"/>
  <c r="E2194" i="5" a="1"/>
  <c r="E2194" i="5" s="1"/>
  <c r="E2252" i="5" a="1"/>
  <c r="E2252" i="5" s="1"/>
  <c r="E2145" i="5" a="1"/>
  <c r="E2145" i="5" s="1"/>
  <c r="E1927" i="5" a="1"/>
  <c r="E1927" i="5" s="1"/>
  <c r="E1671" i="5" a="1"/>
  <c r="E1671" i="5" s="1"/>
  <c r="E1520" i="5" a="1"/>
  <c r="E1520" i="5" s="1"/>
  <c r="E1315" i="5" a="1"/>
  <c r="E1315" i="5" s="1"/>
  <c r="E1059" i="5" a="1"/>
  <c r="E1059" i="5" s="1"/>
  <c r="E311" i="5" a="1"/>
  <c r="E311" i="5" s="1"/>
  <c r="E74" i="5" a="1"/>
  <c r="E74" i="5" s="1"/>
  <c r="E1278" i="5" a="1"/>
  <c r="E1278" i="5" s="1"/>
  <c r="E1022" i="5" a="1"/>
  <c r="E1022" i="5" s="1"/>
  <c r="E479" i="5" a="1"/>
  <c r="E479" i="5" s="1"/>
  <c r="E285" i="5" a="1"/>
  <c r="E285" i="5" s="1"/>
  <c r="E923" i="5" a="1"/>
  <c r="E923" i="5" s="1"/>
  <c r="E717" i="5" a="1"/>
  <c r="E717" i="5" s="1"/>
  <c r="E441" i="5" a="1"/>
  <c r="E441" i="5" s="1"/>
  <c r="E191" i="5" a="1"/>
  <c r="E191" i="5" s="1"/>
  <c r="E5028" i="5" a="1"/>
  <c r="E5028" i="5" s="1"/>
  <c r="E4931" i="5" a="1"/>
  <c r="E4931" i="5" s="1"/>
  <c r="E4732" i="5" a="1"/>
  <c r="E4732" i="5" s="1"/>
  <c r="E4399" i="5" a="1"/>
  <c r="E4399" i="5" s="1"/>
  <c r="E4280" i="5" a="1"/>
  <c r="E4280" i="5" s="1"/>
  <c r="E4253" i="5" a="1"/>
  <c r="E4253" i="5" s="1"/>
  <c r="E4100" i="5" a="1"/>
  <c r="E4100" i="5" s="1"/>
  <c r="E3888" i="5" a="1"/>
  <c r="E3888" i="5" s="1"/>
  <c r="E3769" i="5" a="1"/>
  <c r="E3769" i="5" s="1"/>
  <c r="E3783" i="5" a="1"/>
  <c r="E3783" i="5" s="1"/>
  <c r="E3654" i="5" a="1"/>
  <c r="E3654" i="5" s="1"/>
  <c r="E3397" i="5" a="1"/>
  <c r="E3397" i="5" s="1"/>
  <c r="E3454" i="5" a="1"/>
  <c r="E3454" i="5" s="1"/>
  <c r="E3074" i="5" a="1"/>
  <c r="E3074" i="5" s="1"/>
  <c r="E3163" i="5" a="1"/>
  <c r="E3163" i="5" s="1"/>
  <c r="E3200" i="5" a="1"/>
  <c r="E3200" i="5" s="1"/>
  <c r="E3278" i="5" a="1"/>
  <c r="E3278" i="5" s="1"/>
  <c r="E3033" i="5" a="1"/>
  <c r="E3033" i="5" s="1"/>
  <c r="E2883" i="5" a="1"/>
  <c r="E2883" i="5" s="1"/>
  <c r="E2413" i="5" a="1"/>
  <c r="E2413" i="5" s="1"/>
  <c r="E2794" i="5" a="1"/>
  <c r="E2794" i="5" s="1"/>
  <c r="E2945" i="5" a="1"/>
  <c r="E2945" i="5" s="1"/>
  <c r="E2796" i="5" a="1"/>
  <c r="E2796" i="5" s="1"/>
  <c r="E2651" i="5" a="1"/>
  <c r="E2651" i="5" s="1"/>
  <c r="E2174" i="5" a="1"/>
  <c r="E2174" i="5" s="1"/>
  <c r="E1843" i="5" a="1"/>
  <c r="E1843" i="5" s="1"/>
  <c r="E1587" i="5" a="1"/>
  <c r="E1587" i="5" s="1"/>
  <c r="E894" i="5" a="1"/>
  <c r="E894" i="5" s="1"/>
  <c r="E683" i="5" a="1"/>
  <c r="E683" i="5" s="1"/>
  <c r="E342" i="5" a="1"/>
  <c r="E342" i="5" s="1"/>
  <c r="E1322" i="5" a="1"/>
  <c r="E1322" i="5" s="1"/>
  <c r="E1066" i="5" a="1"/>
  <c r="E1066" i="5" s="1"/>
  <c r="E1461" i="5" a="1"/>
  <c r="E1461" i="5" s="1"/>
  <c r="E1205" i="5" a="1"/>
  <c r="E1205" i="5" s="1"/>
  <c r="E949" i="5" a="1"/>
  <c r="E949" i="5" s="1"/>
  <c r="E817" i="5" a="1"/>
  <c r="E817" i="5" s="1"/>
  <c r="E566" i="5" a="1"/>
  <c r="E566" i="5" s="1"/>
  <c r="E426" i="5" a="1"/>
  <c r="E426" i="5" s="1"/>
  <c r="E172" i="5" a="1"/>
  <c r="E172" i="5" s="1"/>
  <c r="E4992" i="5" a="1"/>
  <c r="E4992" i="5" s="1"/>
  <c r="E4956" i="5" a="1"/>
  <c r="E4956" i="5" s="1"/>
  <c r="E4791" i="5" a="1"/>
  <c r="E4791" i="5" s="1"/>
  <c r="E4697" i="5" a="1"/>
  <c r="E4697" i="5" s="1"/>
  <c r="E4603" i="5" a="1"/>
  <c r="E4603" i="5" s="1"/>
  <c r="E4394" i="5" a="1"/>
  <c r="E4394" i="5" s="1"/>
  <c r="E4190" i="5" a="1"/>
  <c r="E4190" i="5" s="1"/>
  <c r="E3947" i="5" a="1"/>
  <c r="E3947" i="5" s="1"/>
  <c r="E3986" i="5" a="1"/>
  <c r="E3986" i="5" s="1"/>
  <c r="E3683" i="5" a="1"/>
  <c r="E3683" i="5" s="1"/>
  <c r="E3489" i="5" a="1"/>
  <c r="E3489" i="5" s="1"/>
  <c r="E3230" i="5" a="1"/>
  <c r="E3230" i="5" s="1"/>
  <c r="E3063" i="5" a="1"/>
  <c r="E3063" i="5" s="1"/>
  <c r="E2996" i="5" a="1"/>
  <c r="E2996" i="5" s="1"/>
  <c r="E2783" i="5" a="1"/>
  <c r="E2783" i="5" s="1"/>
  <c r="E2313" i="5" a="1"/>
  <c r="E2313" i="5" s="1"/>
  <c r="E2371" i="5" a="1"/>
  <c r="E2371" i="5" s="1"/>
  <c r="E2888" i="5" a="1"/>
  <c r="E2888" i="5" s="1"/>
  <c r="E2534" i="5" a="1"/>
  <c r="E2534" i="5" s="1"/>
  <c r="E2396" i="5" a="1"/>
  <c r="E2396" i="5" s="1"/>
  <c r="E2028" i="5" a="1"/>
  <c r="E2028" i="5" s="1"/>
  <c r="E1522" i="5" a="1"/>
  <c r="E1522" i="5" s="1"/>
  <c r="E1822" i="5" a="1"/>
  <c r="E1822" i="5" s="1"/>
  <c r="E1566" i="5" a="1"/>
  <c r="E1566" i="5" s="1"/>
  <c r="E410" i="5" a="1"/>
  <c r="E410" i="5" s="1"/>
  <c r="E772" i="5" a="1"/>
  <c r="E772" i="5" s="1"/>
  <c r="E516" i="5" a="1"/>
  <c r="E516" i="5" s="1"/>
  <c r="E394" i="5" a="1"/>
  <c r="E394" i="5" s="1"/>
  <c r="E1489" i="5" a="1"/>
  <c r="E1489" i="5" s="1"/>
  <c r="E1233" i="5" a="1"/>
  <c r="E1233" i="5" s="1"/>
  <c r="E977" i="5" a="1"/>
  <c r="E977" i="5" s="1"/>
  <c r="E1496" i="5" a="1"/>
  <c r="E1496" i="5" s="1"/>
  <c r="E1240" i="5" a="1"/>
  <c r="E1240" i="5" s="1"/>
  <c r="E984" i="5" a="1"/>
  <c r="E984" i="5" s="1"/>
  <c r="E594" i="5" a="1"/>
  <c r="E594" i="5" s="1"/>
  <c r="E447" i="5" a="1"/>
  <c r="E447" i="5" s="1"/>
  <c r="E138" i="5" a="1"/>
  <c r="E138" i="5" s="1"/>
  <c r="E2012" i="5" a="1"/>
  <c r="E2012" i="5" s="1"/>
  <c r="E1904" i="5" a="1"/>
  <c r="E1904" i="5" s="1"/>
  <c r="E1742" i="5" a="1"/>
  <c r="E1742" i="5" s="1"/>
  <c r="E477" i="5" a="1"/>
  <c r="E477" i="5" s="1"/>
  <c r="E1025" i="5" a="1"/>
  <c r="E1025" i="5" s="1"/>
  <c r="E968" i="5" a="1"/>
  <c r="E968" i="5" s="1"/>
  <c r="H15" i="2"/>
  <c r="T14" i="2"/>
  <c r="S14" i="2"/>
  <c r="T13" i="2"/>
  <c r="S13" i="2"/>
  <c r="T12" i="2"/>
  <c r="S12" i="2"/>
  <c r="T11" i="2"/>
  <c r="S11" i="2"/>
  <c r="T10" i="2"/>
  <c r="S10" i="2"/>
  <c r="T9" i="2"/>
  <c r="S9" i="2"/>
  <c r="H9" i="2"/>
  <c r="T8" i="2"/>
  <c r="S8" i="2"/>
  <c r="T7" i="2"/>
  <c r="S7" i="2"/>
  <c r="T6" i="2"/>
  <c r="S6" i="2"/>
  <c r="H6" i="2"/>
  <c r="T5" i="2"/>
  <c r="S5" i="2"/>
  <c r="T4" i="2"/>
  <c r="S4" i="2"/>
  <c r="T3" i="2"/>
  <c r="S3" i="2"/>
  <c r="E1" i="2"/>
  <c r="J52" i="1"/>
  <c r="G52" i="1"/>
  <c r="I50" i="1"/>
  <c r="F50" i="1"/>
  <c r="K50" i="1" s="1"/>
  <c r="C50" i="1"/>
  <c r="I49" i="1"/>
  <c r="F49" i="1"/>
  <c r="K49" i="1" s="1"/>
  <c r="C49" i="1"/>
  <c r="I48" i="1"/>
  <c r="F48" i="1"/>
  <c r="K48" i="1" s="1"/>
  <c r="C48" i="1"/>
  <c r="I47" i="1"/>
  <c r="F47" i="1"/>
  <c r="K47" i="1" s="1"/>
  <c r="C47" i="1"/>
  <c r="L19" i="4"/>
  <c r="L20" i="4"/>
  <c r="E47" i="1"/>
  <c r="D47" i="1"/>
  <c r="L22" i="4"/>
  <c r="E50" i="1"/>
  <c r="D48" i="1"/>
  <c r="L23" i="4"/>
  <c r="E48" i="1"/>
  <c r="L24" i="4"/>
  <c r="L21" i="4"/>
  <c r="E49" i="1"/>
  <c r="D49" i="1"/>
  <c r="D50" i="1"/>
  <c r="L25" i="4" l="1"/>
  <c r="H12" i="2"/>
  <c r="I12" i="2"/>
  <c r="I52" i="1"/>
  <c r="R50" i="1"/>
  <c r="R49" i="1"/>
  <c r="R48" i="1"/>
  <c r="R47" i="1"/>
  <c r="L47" i="1"/>
  <c r="N47" i="1" s="1"/>
  <c r="L48" i="1"/>
  <c r="N48" i="1" s="1"/>
  <c r="L49" i="1"/>
  <c r="N49" i="1" s="1"/>
  <c r="L50" i="1"/>
  <c r="N50" i="1" s="1"/>
  <c r="S50" i="2"/>
  <c r="N24" i="3"/>
  <c r="O24" i="3" s="1"/>
  <c r="N22" i="3"/>
  <c r="O22" i="3" s="1"/>
  <c r="C51" i="4"/>
  <c r="I6" i="4" s="1"/>
  <c r="N21" i="4" s="1"/>
  <c r="O21" i="4" s="1"/>
  <c r="J12" i="4"/>
  <c r="K15" i="4" s="1"/>
  <c r="L15" i="4" s="1"/>
  <c r="N23" i="3"/>
  <c r="O23" i="3" s="1"/>
  <c r="N19" i="3"/>
  <c r="T50" i="2"/>
  <c r="F51" i="2" s="1"/>
  <c r="I9" i="2" s="1"/>
  <c r="N21" i="3"/>
  <c r="O21" i="3" s="1"/>
  <c r="N20" i="3"/>
  <c r="O20" i="3" s="1"/>
  <c r="C15" i="5" a="1"/>
  <c r="C15" i="5" s="1"/>
  <c r="L19" i="2"/>
  <c r="L21" i="2"/>
  <c r="L22" i="2"/>
  <c r="L23" i="2"/>
  <c r="L24" i="2"/>
  <c r="L20" i="2"/>
  <c r="L25" i="2" l="1"/>
  <c r="N20" i="4"/>
  <c r="O20" i="4" s="1"/>
  <c r="N19" i="4"/>
  <c r="O19" i="4" s="1"/>
  <c r="I13" i="4"/>
  <c r="J13" i="4" s="1"/>
  <c r="N22" i="4"/>
  <c r="O22" i="4" s="1"/>
  <c r="N24" i="4"/>
  <c r="O24" i="4" s="1"/>
  <c r="N23" i="4"/>
  <c r="O23" i="4" s="1"/>
  <c r="E15" i="5"/>
  <c r="D15" i="5"/>
  <c r="E14" i="5" a="1"/>
  <c r="E14" i="5" s="1"/>
  <c r="C16" i="5" a="1"/>
  <c r="C16" i="5" s="1"/>
  <c r="O19" i="3"/>
  <c r="N25" i="3"/>
  <c r="C51" i="2"/>
  <c r="I6" i="2" s="1"/>
  <c r="N19" i="2" s="1"/>
  <c r="J12" i="2"/>
  <c r="K15" i="2" s="1"/>
  <c r="L15" i="2" s="1"/>
  <c r="N25" i="4" l="1"/>
  <c r="N22" i="2"/>
  <c r="O22" i="2" s="1"/>
  <c r="N24" i="2"/>
  <c r="O24" i="2" s="1"/>
  <c r="I13" i="2"/>
  <c r="J13" i="2" s="1"/>
  <c r="N21" i="2"/>
  <c r="O21" i="2" s="1"/>
  <c r="N23" i="2"/>
  <c r="O23" i="2" s="1"/>
  <c r="O50" i="1"/>
  <c r="O49" i="1"/>
  <c r="O48" i="1"/>
  <c r="O47" i="1"/>
  <c r="P50" i="1"/>
  <c r="P49" i="1"/>
  <c r="P48" i="1"/>
  <c r="P47" i="1"/>
  <c r="H47" i="1"/>
  <c r="H44" i="1"/>
  <c r="H50" i="1"/>
  <c r="H48" i="1"/>
  <c r="H49" i="1"/>
  <c r="E42" i="1"/>
  <c r="O19" i="2"/>
  <c r="D16" i="5" a="1"/>
  <c r="D16" i="5" s="1"/>
  <c r="E16" i="5"/>
  <c r="N20" i="2"/>
  <c r="O20" i="2" s="1"/>
  <c r="C17" i="5" a="1"/>
  <c r="C17" i="5" s="1"/>
  <c r="J38" i="1"/>
  <c r="G38" i="1"/>
  <c r="I36" i="1"/>
  <c r="F36" i="1"/>
  <c r="K36" i="1" s="1"/>
  <c r="C36" i="1"/>
  <c r="I35" i="1"/>
  <c r="F35" i="1"/>
  <c r="K35" i="1" s="1"/>
  <c r="C35" i="1"/>
  <c r="I34" i="1"/>
  <c r="F34" i="1"/>
  <c r="C34" i="1"/>
  <c r="I33" i="1"/>
  <c r="F33" i="1"/>
  <c r="C33" i="1"/>
  <c r="E36" i="1"/>
  <c r="E35" i="1"/>
  <c r="E34" i="1"/>
  <c r="E33" i="1"/>
  <c r="D33" i="1"/>
  <c r="D34" i="1"/>
  <c r="D35" i="1"/>
  <c r="D36" i="1"/>
  <c r="H33" i="1" l="1"/>
  <c r="K33" i="1"/>
  <c r="H35" i="1"/>
  <c r="H36" i="1"/>
  <c r="H34" i="1"/>
  <c r="K34" i="1"/>
  <c r="I38" i="1"/>
  <c r="R36" i="1"/>
  <c r="R35" i="1"/>
  <c r="R34" i="1"/>
  <c r="R33" i="1"/>
  <c r="C18" i="5" a="1"/>
  <c r="C18" i="5" s="1"/>
  <c r="N25" i="2"/>
  <c r="L33" i="1"/>
  <c r="N33" i="1" s="1"/>
  <c r="L34" i="1"/>
  <c r="N34" i="1" s="1"/>
  <c r="L35" i="1"/>
  <c r="N35" i="1" s="1"/>
  <c r="L36" i="1"/>
  <c r="N36" i="1" s="1"/>
  <c r="E17" i="5"/>
  <c r="D17" i="5"/>
  <c r="C19" i="5" l="1" a="1"/>
  <c r="C19" i="5" s="1"/>
  <c r="C20" i="5" s="1" a="1"/>
  <c r="C20" i="5" s="1"/>
  <c r="E18" i="5"/>
  <c r="D18" i="5"/>
  <c r="P36" i="1" l="1"/>
  <c r="P35" i="1"/>
  <c r="P34" i="1"/>
  <c r="P33" i="1"/>
  <c r="O36" i="1"/>
  <c r="O35" i="1"/>
  <c r="O34" i="1"/>
  <c r="O33" i="1"/>
  <c r="H30" i="1"/>
  <c r="E28" i="1"/>
  <c r="E20" i="5"/>
  <c r="D20" i="5"/>
  <c r="C21" i="5" a="1"/>
  <c r="C21" i="5" s="1"/>
  <c r="E19" i="5"/>
  <c r="D19" i="5"/>
  <c r="J24" i="1"/>
  <c r="G24" i="1"/>
  <c r="I22" i="1"/>
  <c r="C22" i="1"/>
  <c r="I21" i="1"/>
  <c r="C21" i="1"/>
  <c r="I20" i="1"/>
  <c r="C20" i="1"/>
  <c r="I19" i="1"/>
  <c r="C19" i="1"/>
  <c r="D21" i="1"/>
  <c r="E22" i="1"/>
  <c r="E20" i="1"/>
  <c r="D19" i="1"/>
  <c r="D22" i="1"/>
  <c r="D20" i="1"/>
  <c r="E21" i="1"/>
  <c r="E19" i="1"/>
  <c r="R22" i="1" l="1"/>
  <c r="R21" i="1"/>
  <c r="R20" i="1"/>
  <c r="R19" i="1"/>
  <c r="I24" i="1"/>
  <c r="E21" i="5" a="1"/>
  <c r="E21" i="5" s="1"/>
  <c r="D21" i="5" a="1"/>
  <c r="D21" i="5" s="1"/>
  <c r="C22" i="5" a="1"/>
  <c r="C22" i="5" s="1"/>
  <c r="D22" i="5" l="1"/>
  <c r="E22" i="5"/>
  <c r="O22" i="1" l="1"/>
  <c r="O21" i="1"/>
  <c r="O20" i="1"/>
  <c r="O19" i="1"/>
  <c r="P22" i="1"/>
  <c r="P21" i="1"/>
  <c r="P20" i="1"/>
  <c r="P19" i="1"/>
  <c r="H16" i="1"/>
  <c r="E14" i="1"/>
  <c r="D10" i="1"/>
  <c r="F2" i="1" l="1"/>
  <c r="J52" i="10"/>
  <c r="I52" i="10"/>
  <c r="G52" i="10"/>
  <c r="W51" i="10"/>
  <c r="V50" i="10"/>
  <c r="K50" i="10"/>
  <c r="F50" i="10"/>
  <c r="L50" i="10" s="1"/>
  <c r="N50" i="10" s="1"/>
  <c r="C50" i="10"/>
  <c r="V49" i="10"/>
  <c r="F49" i="10"/>
  <c r="K49" i="10" s="1"/>
  <c r="C49" i="10"/>
  <c r="V48" i="10"/>
  <c r="F48" i="10"/>
  <c r="L48" i="10" s="1"/>
  <c r="N48" i="10" s="1"/>
  <c r="C48" i="10"/>
  <c r="V47" i="10"/>
  <c r="F47" i="10"/>
  <c r="L47" i="10" s="1"/>
  <c r="N47" i="10" s="1"/>
  <c r="C47" i="10"/>
  <c r="E10" i="1"/>
  <c r="D9" i="1"/>
  <c r="E9" i="1"/>
  <c r="D7" i="1"/>
  <c r="E7" i="1"/>
  <c r="E8" i="1"/>
  <c r="D8" i="1"/>
  <c r="K10" i="1" l="1"/>
  <c r="K8" i="1"/>
  <c r="K7" i="1"/>
  <c r="K9" i="1"/>
  <c r="F3" i="1"/>
  <c r="L49" i="10"/>
  <c r="N49" i="10" s="1"/>
  <c r="V51" i="10"/>
  <c r="K47" i="10"/>
  <c r="R47" i="10"/>
  <c r="R49" i="10"/>
  <c r="R50" i="10"/>
  <c r="R48" i="10"/>
  <c r="K48" i="10"/>
  <c r="F9" i="1"/>
  <c r="M22" i="1"/>
  <c r="M33" i="1"/>
  <c r="M48" i="1"/>
  <c r="F10" i="1"/>
  <c r="M19" i="1"/>
  <c r="M35" i="1"/>
  <c r="M50" i="1"/>
  <c r="F8" i="1"/>
  <c r="M20" i="1"/>
  <c r="M34" i="1"/>
  <c r="M47" i="1"/>
  <c r="F7" i="1"/>
  <c r="M21" i="1"/>
  <c r="M36" i="1"/>
  <c r="M49" i="1"/>
  <c r="S50" i="1" l="1"/>
  <c r="Q50" i="1"/>
  <c r="S48" i="1"/>
  <c r="Q48" i="1"/>
  <c r="S49" i="1"/>
  <c r="Q49" i="1"/>
  <c r="S47" i="1"/>
  <c r="Q47" i="1"/>
  <c r="Q35" i="1"/>
  <c r="S35" i="1"/>
  <c r="Q33" i="1"/>
  <c r="S33" i="1"/>
  <c r="Q36" i="1"/>
  <c r="S36" i="1"/>
  <c r="Q34" i="1"/>
  <c r="S34" i="1"/>
  <c r="Q19" i="1"/>
  <c r="S19" i="1"/>
  <c r="S22" i="1"/>
  <c r="Q22" i="1"/>
  <c r="Q21" i="1"/>
  <c r="S21" i="1"/>
  <c r="Q20" i="1"/>
  <c r="S20" i="1"/>
  <c r="G10" i="1"/>
  <c r="I10" i="1"/>
  <c r="H10" i="1" s="1"/>
  <c r="G9" i="1"/>
  <c r="I9" i="1"/>
  <c r="H9" i="1" s="1"/>
  <c r="F19" i="1"/>
  <c r="H19" i="1" s="1"/>
  <c r="I7" i="1"/>
  <c r="H7" i="1" s="1"/>
  <c r="G7" i="1"/>
  <c r="I8" i="1"/>
  <c r="H8" i="1" s="1"/>
  <c r="F20" i="1"/>
  <c r="K20" i="1" s="1"/>
  <c r="G8" i="1"/>
  <c r="F21" i="1"/>
  <c r="F22" i="1"/>
  <c r="O50" i="10"/>
  <c r="Q50" i="10" s="1"/>
  <c r="H50" i="10"/>
  <c r="P49" i="10"/>
  <c r="S49" i="10" s="1"/>
  <c r="H48" i="10"/>
  <c r="P47" i="10"/>
  <c r="S47" i="10" s="1"/>
  <c r="O49" i="10"/>
  <c r="Q49" i="10" s="1"/>
  <c r="H49" i="10"/>
  <c r="P48" i="10"/>
  <c r="S48" i="10" s="1"/>
  <c r="O48" i="10"/>
  <c r="Q48" i="10" s="1"/>
  <c r="P50" i="10"/>
  <c r="S50" i="10" s="1"/>
  <c r="O47" i="10"/>
  <c r="Q47" i="10" s="1"/>
  <c r="H47" i="10"/>
  <c r="H44" i="10"/>
  <c r="E42" i="10"/>
  <c r="J38" i="10"/>
  <c r="I38" i="10"/>
  <c r="G38" i="10"/>
  <c r="W37" i="10"/>
  <c r="V36" i="10"/>
  <c r="F36" i="10"/>
  <c r="K36" i="10" s="1"/>
  <c r="C36" i="10"/>
  <c r="V35" i="10"/>
  <c r="F35" i="10"/>
  <c r="K35" i="10" s="1"/>
  <c r="C35" i="10"/>
  <c r="V34" i="10"/>
  <c r="F34" i="10"/>
  <c r="L34" i="10" s="1"/>
  <c r="N34" i="10" s="1"/>
  <c r="C34" i="10"/>
  <c r="V33" i="10"/>
  <c r="F33" i="10"/>
  <c r="L33" i="10" s="1"/>
  <c r="N33" i="10" s="1"/>
  <c r="C33" i="10"/>
  <c r="L35" i="10" l="1"/>
  <c r="N35" i="10" s="1"/>
  <c r="L19" i="1"/>
  <c r="N19" i="1" s="1"/>
  <c r="L20" i="1"/>
  <c r="N20" i="1" s="1"/>
  <c r="H20" i="1"/>
  <c r="T20" i="1"/>
  <c r="T34" i="1"/>
  <c r="T33" i="1"/>
  <c r="K19" i="1"/>
  <c r="T49" i="1"/>
  <c r="T50" i="1"/>
  <c r="H22" i="1"/>
  <c r="K22" i="1"/>
  <c r="L22" i="1"/>
  <c r="N22" i="1" s="1"/>
  <c r="T22" i="1"/>
  <c r="T47" i="1"/>
  <c r="T48" i="1"/>
  <c r="H21" i="1"/>
  <c r="L21" i="1"/>
  <c r="N21" i="1" s="1"/>
  <c r="K21" i="1"/>
  <c r="T21" i="1"/>
  <c r="T19" i="1"/>
  <c r="T36" i="1"/>
  <c r="T35" i="1"/>
  <c r="L36" i="10"/>
  <c r="N36" i="10" s="1"/>
  <c r="K33" i="10"/>
  <c r="T47" i="10"/>
  <c r="R33" i="10"/>
  <c r="R35" i="10"/>
  <c r="R34" i="10"/>
  <c r="R36" i="10"/>
  <c r="K34" i="10"/>
  <c r="T49" i="10"/>
  <c r="T48" i="10"/>
  <c r="T50" i="10"/>
  <c r="O36" i="10" l="1"/>
  <c r="Q36" i="10" s="1"/>
  <c r="H36" i="10"/>
  <c r="P35" i="10"/>
  <c r="S35" i="10" s="1"/>
  <c r="H33" i="10"/>
  <c r="O35" i="10"/>
  <c r="Q35" i="10" s="1"/>
  <c r="H35" i="10"/>
  <c r="P34" i="10"/>
  <c r="S34" i="10" s="1"/>
  <c r="H34" i="10"/>
  <c r="O34" i="10"/>
  <c r="Q34" i="10" s="1"/>
  <c r="P33" i="10"/>
  <c r="S33" i="10" s="1"/>
  <c r="P36" i="10"/>
  <c r="S36" i="10" s="1"/>
  <c r="O33" i="10"/>
  <c r="Q33" i="10" s="1"/>
  <c r="H30" i="10"/>
  <c r="E28" i="10"/>
  <c r="J24" i="10"/>
  <c r="I24" i="10"/>
  <c r="G24" i="10"/>
  <c r="W23" i="10"/>
  <c r="V22" i="10"/>
  <c r="C22" i="10"/>
  <c r="V21" i="10"/>
  <c r="C21" i="10"/>
  <c r="V20" i="10"/>
  <c r="C20" i="10"/>
  <c r="V19" i="10"/>
  <c r="C19" i="10"/>
  <c r="V23" i="10" l="1"/>
  <c r="T33" i="10"/>
  <c r="R20" i="10"/>
  <c r="R21" i="10"/>
  <c r="R19" i="10"/>
  <c r="R22" i="10"/>
  <c r="T34" i="10"/>
  <c r="T35" i="10"/>
  <c r="T36" i="10"/>
  <c r="P22" i="10" l="1"/>
  <c r="S22" i="10" s="1"/>
  <c r="O19" i="10"/>
  <c r="Q19" i="10" s="1"/>
  <c r="O22" i="10"/>
  <c r="Q22" i="10" s="1"/>
  <c r="P21" i="10"/>
  <c r="S21" i="10" s="1"/>
  <c r="O21" i="10"/>
  <c r="Q21" i="10" s="1"/>
  <c r="P20" i="10"/>
  <c r="S20" i="10" s="1"/>
  <c r="O20" i="10"/>
  <c r="Q20" i="10" s="1"/>
  <c r="P19" i="10"/>
  <c r="S19" i="10" s="1"/>
  <c r="H16" i="10"/>
  <c r="E14" i="10"/>
  <c r="I10" i="10"/>
  <c r="H10" i="10" s="1"/>
  <c r="G10" i="10"/>
  <c r="T22" i="10" l="1"/>
  <c r="T20" i="10"/>
  <c r="T19" i="10"/>
  <c r="T21" i="10"/>
  <c r="I9" i="10"/>
  <c r="H9" i="10" s="1"/>
  <c r="G9" i="10"/>
  <c r="K10" i="10" l="1"/>
  <c r="F22" i="10" s="1"/>
  <c r="K9" i="10"/>
  <c r="F21" i="10" s="1"/>
  <c r="K8" i="10"/>
  <c r="F20" i="10" s="1"/>
  <c r="I8" i="10"/>
  <c r="H8" i="10" s="1"/>
  <c r="G8" i="10"/>
  <c r="K7" i="10"/>
  <c r="F19" i="10" s="1"/>
  <c r="I7" i="10"/>
  <c r="H7" i="10" s="1"/>
  <c r="G7" i="10"/>
  <c r="F2" i="10"/>
  <c r="F3" i="10" s="1"/>
  <c r="L21" i="10" l="1"/>
  <c r="N21" i="10" s="1"/>
  <c r="K21" i="10"/>
  <c r="H21" i="10"/>
  <c r="L19" i="10"/>
  <c r="N19" i="10" s="1"/>
  <c r="K19" i="10"/>
  <c r="H19" i="10"/>
  <c r="K20" i="10"/>
  <c r="L20" i="10"/>
  <c r="N20" i="10" s="1"/>
  <c r="H20" i="10"/>
  <c r="K22" i="10"/>
  <c r="L22" i="10"/>
  <c r="N22" i="10" s="1"/>
  <c r="H22" i="10"/>
</calcChain>
</file>

<file path=xl/connections.xml><?xml version="1.0" encoding="utf-8"?>
<connections xmlns="http://schemas.openxmlformats.org/spreadsheetml/2006/main">
  <connection id="1" name="Conexión" type="1" refreshedVersion="4" savePassword="1" saveData="1">
    <dbPr connection="DRIVER={Oracle en OraClient11g_home1};SERVER=RDGOLF.BESES.ORG;UID=consultas;PWD=consultas;DBQ=RDGOLF.BESES.ORG;DBA=W;APA=T;EXC=F;XSM=Default;FEN=T;QTO=T;FRC=10;FDL=10;LOB=T;RST=T;BTD=F;BNF=F;BAM=IfAllSuccessful;NUM=NLS;DPM=F;MTS=T;MDI=Me;CSR=F;FWC=F;FBS=60000;TLO=O;MLD=0;ODA=F;" command="select instrumentos.codigo as cod_instrumento,_x000d__x000a_       instrumentos.descripcion as valor,_x000d__x000a_       fondos.tipo_fondo,_x000d__x000a_       entidades.codigo as cod_fondo, entidades.apellidos as fondo, hisval.titulos_x000d__x000a_from hisval, instrumentos, entidades, fondos_x000d__x000a_where hisval.instrumento = instrumentos.codigo and_x000d__x000a_      hisval.cartera = entidades.codigo and_x000d__x000a_      entidades.codigo = fondos.codigo and_x000d__x000a_      hisval.fec_valoracion = to_date('01/10/2020','dd/mm/yyyy') and_x000d__x000a_      hisval.instrumento = 19489_x000d__x000a_ order by 3,5,6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<sst xmlns="http://schemas.openxmlformats.org/spreadsheetml/2006/main" count="361" uniqueCount="124">
  <si>
    <t>FONDOS</t>
  </si>
  <si>
    <t>P.MEDIO</t>
  </si>
  <si>
    <t>RENTA VARIABLE</t>
  </si>
  <si>
    <t>EURO</t>
  </si>
  <si>
    <t>last_price</t>
  </si>
  <si>
    <t>Px Close 1d</t>
  </si>
  <si>
    <t>EUR</t>
  </si>
  <si>
    <t>USD</t>
  </si>
  <si>
    <t>eurusd curncy</t>
  </si>
  <si>
    <t>GBP</t>
  </si>
  <si>
    <t>eurgbp curncy</t>
  </si>
  <si>
    <t>CHF</t>
  </si>
  <si>
    <t>eurchf curncy</t>
  </si>
  <si>
    <t>HKD</t>
  </si>
  <si>
    <t>eurhkd curncy</t>
  </si>
  <si>
    <t>Cierre día anterior</t>
  </si>
  <si>
    <t>Nominal por contrato</t>
  </si>
  <si>
    <t>Garantías</t>
  </si>
  <si>
    <t>FUT_INIT_SPEC_ML</t>
  </si>
  <si>
    <t>P compra</t>
  </si>
  <si>
    <t>USA</t>
  </si>
  <si>
    <t>DOLARES</t>
  </si>
  <si>
    <t>COMPRAS</t>
  </si>
  <si>
    <t>VENTAS</t>
  </si>
  <si>
    <t>TOTAL</t>
  </si>
  <si>
    <t>MEDIA</t>
  </si>
  <si>
    <t xml:space="preserve"> </t>
  </si>
  <si>
    <t>Fondo</t>
  </si>
  <si>
    <t>Total cartera</t>
  </si>
  <si>
    <t>S/Cart</t>
  </si>
  <si>
    <t>POSICION</t>
  </si>
  <si>
    <t>Inflection Points</t>
  </si>
  <si>
    <t>Payout</t>
  </si>
  <si>
    <t>Under Price</t>
  </si>
  <si>
    <t>DELTA</t>
  </si>
  <si>
    <t>IMP VOL</t>
  </si>
  <si>
    <t>Multiple</t>
  </si>
  <si>
    <t>Option</t>
  </si>
  <si>
    <t>Strike</t>
  </si>
  <si>
    <t>Price</t>
  </si>
  <si>
    <t>Amount</t>
  </si>
  <si>
    <t>Options</t>
  </si>
  <si>
    <t>DELTA_LAST</t>
  </si>
  <si>
    <t>IVOL_TM</t>
  </si>
  <si>
    <t>PX_POS_MULT_FACTOR</t>
  </si>
  <si>
    <t>OPT_PUT_CALL</t>
  </si>
  <si>
    <t>OPT_STRIKE_PX</t>
  </si>
  <si>
    <t>px_last</t>
  </si>
  <si>
    <t xml:space="preserve">P&amp;L </t>
  </si>
  <si>
    <t>VGA Index</t>
  </si>
  <si>
    <t>P&amp;L</t>
  </si>
  <si>
    <t>Inflections</t>
  </si>
  <si>
    <t>Equity:</t>
  </si>
  <si>
    <t>Underlying</t>
  </si>
  <si>
    <t>Delta</t>
  </si>
  <si>
    <t>Value of a contract</t>
  </si>
  <si>
    <t>Min P&amp;L</t>
  </si>
  <si>
    <t>Max P&amp;L</t>
  </si>
  <si>
    <t>Delta Exposure</t>
  </si>
  <si>
    <t>Cost of Strategy</t>
  </si>
  <si>
    <t>lista("titulos_fondos";$A$1;$A$2)</t>
  </si>
  <si>
    <t>COD_INSTRUMENTO</t>
  </si>
  <si>
    <t>VALOR</t>
  </si>
  <si>
    <t>TIPO_FONDO</t>
  </si>
  <si>
    <t>COD_FONDO</t>
  </si>
  <si>
    <t>FONDO</t>
  </si>
  <si>
    <t>TITULOS</t>
  </si>
  <si>
    <t xml:space="preserve">AC EON AG </t>
  </si>
  <si>
    <t>FI</t>
  </si>
  <si>
    <t>NB VALOR EUROPA, FI</t>
  </si>
  <si>
    <t>FP</t>
  </si>
  <si>
    <t>NOVO B. CRECIMIENTO, FP</t>
  </si>
  <si>
    <t>SV</t>
  </si>
  <si>
    <t>ALMUDENA INVERSIONES, SICAV, S.A.</t>
  </si>
  <si>
    <t>EUROPEAN STOCK EXCHANGE, SICAV, S.A.</t>
  </si>
  <si>
    <t>GONBLAS INVERSIONES, SICAV, S.A.</t>
  </si>
  <si>
    <t>HOSIFE 2002, SICAV, S.A.</t>
  </si>
  <si>
    <t>INTERVALOR, SICAV, S.A.</t>
  </si>
  <si>
    <t>INVERSIONES FINANCIERAS CUBI, SICAV, S.A.</t>
  </si>
  <si>
    <t>MOKANA INVERSIONES, SICAV, S.A.</t>
  </si>
  <si>
    <t>TAMBEL INVERSIONES, SICAV, S.A.</t>
  </si>
  <si>
    <t>TÍTULOS ALCALÁ, SICAV, S.A.</t>
  </si>
  <si>
    <t>TÍTULOS ZURBANO FV, SICAV, S.A.</t>
  </si>
  <si>
    <t>VECTORIAL VALORES, SICAV, S.A.</t>
  </si>
  <si>
    <t>RV</t>
  </si>
  <si>
    <t>CARTERA</t>
  </si>
  <si>
    <t>Rtdo/inicio</t>
  </si>
  <si>
    <t>Cartera</t>
  </si>
  <si>
    <t xml:space="preserve">Rtdo día </t>
  </si>
  <si>
    <t>Aport/Ini</t>
  </si>
  <si>
    <t>Rtdo día</t>
  </si>
  <si>
    <t>total</t>
  </si>
  <si>
    <t>CTA ALTURA</t>
  </si>
  <si>
    <t>NB075</t>
  </si>
  <si>
    <t>NB029</t>
  </si>
  <si>
    <t>NB028</t>
  </si>
  <si>
    <t>NB072</t>
  </si>
  <si>
    <t>** 91 374 53 15</t>
  </si>
  <si>
    <t>* 91 374 53 10</t>
  </si>
  <si>
    <t>DÓLAR</t>
  </si>
  <si>
    <t>↓</t>
  </si>
  <si>
    <t>%RV Hoy</t>
  </si>
  <si>
    <t>EUROSTOXX</t>
  </si>
  <si>
    <t>MINI S&amp;P</t>
  </si>
  <si>
    <t>d("FON_PAT";$C19;$F$3)</t>
  </si>
  <si>
    <t>SI(ESERROR(d("fon_rv_med";C7;$E$2;$F$3));0;d("fon_rv_med";C7;$E$2;$F$3))</t>
  </si>
  <si>
    <t>NASDAQ</t>
  </si>
  <si>
    <t>INPUT</t>
  </si>
  <si>
    <t>TREA RV MIXTA, FP</t>
  </si>
  <si>
    <t>TREA RV, FP</t>
  </si>
  <si>
    <t>TREA GLOBAL FLEXIBLE 0-35, FI</t>
  </si>
  <si>
    <t>TREA GLOBAL FLEXIBLE 0-100, FI</t>
  </si>
  <si>
    <t>VGH3 INDEX</t>
  </si>
  <si>
    <t>NQH3 INDEX</t>
  </si>
  <si>
    <t>ESH3 INDEX</t>
  </si>
  <si>
    <t>PX_HIGH</t>
  </si>
  <si>
    <t>PX_LOW</t>
  </si>
  <si>
    <t>VGz3 Index</t>
  </si>
  <si>
    <t>SX5E 12/15/23 P4100 Index</t>
  </si>
  <si>
    <t>SX5E 12/15/23 C4650 Index</t>
  </si>
  <si>
    <t>ES0000012B62</t>
  </si>
  <si>
    <t>VGU3 INDEX</t>
  </si>
  <si>
    <t>NQU3 INDEX</t>
  </si>
  <si>
    <t>ESU3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</si>
</sst>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_-* #,##0.00\ _€_-;\-* #,##0.00\ _€_-;_-* &quot;-&quot;??\ _€_-;_-@_-"/>
    <numFmt numFmtId="165" formatCode="[$-C0A]d\-mmm\-yy;@"/>
    <numFmt numFmtId="166" formatCode="#,##0.0"/>
    <numFmt numFmtId="167" formatCode="0.0"/>
    <numFmt numFmtId="168" formatCode="0_ ;\-0\ "/>
    <numFmt numFmtId="169" formatCode="0.0000"/>
    <numFmt numFmtId="170" formatCode="_-* #,##0\ _€_-;\-* #,##0\ _€_-;_-* &quot;-&quot;??\ _€_-;_-@_-"/>
    <numFmt numFmtId="171" formatCode="0.00000"/>
    <numFmt numFmtId="172" formatCode="#,##0\ &quot;€&quot;"/>
    <numFmt numFmtId="173" formatCode="_-* #,##0.00\ [$€]_-;\-* #,##0.00\ [$€]_-;_-* &quot;-&quot;??\ [$€]_-;_-@_-"/>
    <numFmt numFmtId="174" formatCode="_(&quot;€&quot;* #,##0.00_);_(&quot;€&quot;* \(#,##0.00\);_(&quot;€&quot;* &quot;-&quot;??_);_(@_)"/>
    <numFmt numFmtId="175" formatCode="0.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9"/>
      <color indexed="12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10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b/>
      <sz val="12"/>
      <color indexed="12"/>
      <name val="Arial"/>
      <family val="2"/>
    </font>
    <font>
      <b/>
      <sz val="16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rgb="FF00206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  <scheme val="minor"/>
    </font>
    <font>
      <b/>
      <sz val="11"/>
      <color indexed="12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Arial"/>
      <family val="2"/>
    </font>
    <font>
      <b/>
      <sz val="11"/>
      <color theme="1"/>
      <name val="Calibri"/>
      <family val="2"/>
    </font>
    <font>
      <b/>
      <sz val="9"/>
      <color rgb="FF0070C0"/>
      <name val="Calibri"/>
      <family val="2"/>
      <scheme val="minor"/>
    </font>
    <font>
      <b/>
      <sz val="8"/>
      <color indexed="12"/>
      <name val="Arial"/>
      <family val="2"/>
    </font>
    <font>
      <b/>
      <i/>
      <sz val="10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7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0" fontId="2" fillId="0" borderId="0">
      <alignment horizontal="left" wrapText="1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3">
    <xf numFmtId="0" fontId="0" fillId="0" borderId="0" xfId="0"/>
    <xf numFmtId="0" fontId="0" fillId="0" borderId="0" xfId="0" applyAlignment="1">
      <alignment horizontal="center"/>
    </xf>
    <xf numFmtId="165" fontId="3" fillId="2" borderId="0" xfId="3" applyNumberFormat="1" applyFont="1" applyFill="1" applyAlignment="1">
      <alignment horizontal="center"/>
    </xf>
    <xf numFmtId="165" fontId="3" fillId="0" borderId="0" xfId="3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0" fillId="0" borderId="0" xfId="1" applyFont="1" applyAlignment="1">
      <alignment horizontal="center"/>
    </xf>
    <xf numFmtId="164" fontId="0" fillId="0" borderId="0" xfId="0" applyNumberFormat="1"/>
    <xf numFmtId="0" fontId="2" fillId="0" borderId="0" xfId="3"/>
    <xf numFmtId="0" fontId="3" fillId="0" borderId="0" xfId="3" applyFont="1" applyAlignment="1">
      <alignment horizontal="center"/>
    </xf>
    <xf numFmtId="0" fontId="2" fillId="0" borderId="0" xfId="3" applyAlignment="1">
      <alignment horizontal="left"/>
    </xf>
    <xf numFmtId="2" fontId="2" fillId="0" borderId="0" xfId="3" applyNumberFormat="1" applyAlignment="1">
      <alignment horizontal="center"/>
    </xf>
    <xf numFmtId="0" fontId="7" fillId="0" borderId="0" xfId="3" applyFont="1"/>
    <xf numFmtId="2" fontId="9" fillId="3" borderId="1" xfId="3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2" fontId="10" fillId="2" borderId="0" xfId="3" applyNumberFormat="1" applyFont="1" applyFill="1" applyAlignment="1">
      <alignment horizontal="center"/>
    </xf>
    <xf numFmtId="2" fontId="10" fillId="0" borderId="0" xfId="3" applyNumberFormat="1" applyFont="1" applyAlignment="1">
      <alignment horizontal="center"/>
    </xf>
    <xf numFmtId="0" fontId="8" fillId="0" borderId="0" xfId="3" applyFont="1" applyAlignment="1">
      <alignment horizontal="right"/>
    </xf>
    <xf numFmtId="3" fontId="10" fillId="4" borderId="0" xfId="3" applyNumberFormat="1" applyFont="1" applyFill="1" applyAlignment="1">
      <alignment horizontal="center"/>
    </xf>
    <xf numFmtId="0" fontId="0" fillId="0" borderId="3" xfId="0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0" xfId="0" applyFont="1" applyAlignment="1">
      <alignment horizontal="right"/>
    </xf>
    <xf numFmtId="10" fontId="4" fillId="0" borderId="0" xfId="0" applyNumberFormat="1" applyFont="1" applyAlignment="1">
      <alignment horizontal="center"/>
    </xf>
    <xf numFmtId="0" fontId="8" fillId="0" borderId="7" xfId="3" applyFont="1" applyBorder="1" applyAlignment="1">
      <alignment horizontal="center"/>
    </xf>
    <xf numFmtId="0" fontId="8" fillId="0" borderId="8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0" fontId="7" fillId="0" borderId="0" xfId="3" applyFont="1" applyAlignment="1">
      <alignment horizontal="center"/>
    </xf>
    <xf numFmtId="0" fontId="7" fillId="0" borderId="4" xfId="3" applyFont="1" applyBorder="1" applyAlignment="1">
      <alignment horizontal="center"/>
    </xf>
    <xf numFmtId="0" fontId="7" fillId="0" borderId="10" xfId="3" applyFont="1" applyBorder="1" applyAlignment="1">
      <alignment horizontal="center"/>
    </xf>
    <xf numFmtId="0" fontId="7" fillId="0" borderId="3" xfId="3" applyFont="1" applyBorder="1" applyAlignment="1">
      <alignment horizontal="center"/>
    </xf>
    <xf numFmtId="0" fontId="7" fillId="0" borderId="11" xfId="3" applyFont="1" applyBorder="1" applyAlignment="1">
      <alignment horizontal="center"/>
    </xf>
    <xf numFmtId="10" fontId="0" fillId="0" borderId="0" xfId="2" applyNumberFormat="1" applyFont="1"/>
    <xf numFmtId="10" fontId="5" fillId="0" borderId="0" xfId="2" applyNumberFormat="1" applyFont="1"/>
    <xf numFmtId="1" fontId="13" fillId="5" borderId="0" xfId="3" applyNumberFormat="1" applyFont="1" applyFill="1" applyAlignment="1">
      <alignment horizontal="left"/>
    </xf>
    <xf numFmtId="0" fontId="14" fillId="5" borderId="0" xfId="3" applyFont="1" applyFill="1" applyAlignment="1">
      <alignment horizontal="center"/>
    </xf>
    <xf numFmtId="1" fontId="14" fillId="5" borderId="0" xfId="3" applyNumberFormat="1" applyFont="1" applyFill="1" applyAlignment="1">
      <alignment horizontal="center"/>
    </xf>
    <xf numFmtId="0" fontId="16" fillId="5" borderId="0" xfId="3" applyFont="1" applyFill="1" applyAlignment="1">
      <alignment horizontal="left"/>
    </xf>
    <xf numFmtId="0" fontId="15" fillId="5" borderId="0" xfId="3" applyFont="1" applyFill="1" applyAlignment="1">
      <alignment horizontal="center"/>
    </xf>
    <xf numFmtId="166" fontId="14" fillId="5" borderId="0" xfId="3" applyNumberFormat="1" applyFont="1" applyFill="1" applyAlignment="1">
      <alignment horizontal="center"/>
    </xf>
    <xf numFmtId="0" fontId="2" fillId="5" borderId="0" xfId="3" applyFill="1"/>
    <xf numFmtId="3" fontId="17" fillId="7" borderId="6" xfId="3" applyNumberFormat="1" applyFont="1" applyFill="1" applyBorder="1" applyAlignment="1" applyProtection="1">
      <alignment horizontal="center"/>
      <protection locked="0"/>
    </xf>
    <xf numFmtId="2" fontId="17" fillId="7" borderId="4" xfId="3" applyNumberFormat="1" applyFont="1" applyFill="1" applyBorder="1" applyAlignment="1" applyProtection="1">
      <alignment horizontal="center"/>
      <protection locked="0"/>
    </xf>
    <xf numFmtId="0" fontId="17" fillId="5" borderId="0" xfId="3" applyFont="1" applyFill="1" applyAlignment="1">
      <alignment horizontal="center"/>
    </xf>
    <xf numFmtId="167" fontId="17" fillId="7" borderId="4" xfId="3" applyNumberFormat="1" applyFont="1" applyFill="1" applyBorder="1" applyAlignment="1" applyProtection="1">
      <alignment horizontal="center" wrapText="1"/>
      <protection locked="0"/>
    </xf>
    <xf numFmtId="0" fontId="15" fillId="6" borderId="7" xfId="3" applyFont="1" applyFill="1" applyBorder="1" applyAlignment="1">
      <alignment horizontal="centerContinuous"/>
    </xf>
    <xf numFmtId="0" fontId="15" fillId="6" borderId="9" xfId="3" applyFont="1" applyFill="1" applyBorder="1" applyAlignment="1">
      <alignment horizontal="centerContinuous"/>
    </xf>
    <xf numFmtId="168" fontId="18" fillId="5" borderId="0" xfId="1" applyNumberFormat="1" applyFont="1" applyFill="1" applyBorder="1" applyAlignment="1" applyProtection="1">
      <alignment horizontal="center"/>
    </xf>
    <xf numFmtId="0" fontId="15" fillId="6" borderId="6" xfId="3" applyFont="1" applyFill="1" applyBorder="1" applyAlignment="1">
      <alignment horizontal="center"/>
    </xf>
    <xf numFmtId="0" fontId="15" fillId="6" borderId="4" xfId="3" applyFont="1" applyFill="1" applyBorder="1" applyAlignment="1">
      <alignment horizontal="center"/>
    </xf>
    <xf numFmtId="167" fontId="17" fillId="7" borderId="4" xfId="3" applyNumberFormat="1" applyFont="1" applyFill="1" applyBorder="1" applyAlignment="1" applyProtection="1">
      <alignment horizontal="center"/>
      <protection locked="0"/>
    </xf>
    <xf numFmtId="166" fontId="19" fillId="6" borderId="10" xfId="3" applyNumberFormat="1" applyFont="1" applyFill="1" applyBorder="1" applyAlignment="1">
      <alignment horizontal="center"/>
    </xf>
    <xf numFmtId="2" fontId="19" fillId="6" borderId="11" xfId="3" applyNumberFormat="1" applyFont="1" applyFill="1" applyBorder="1" applyAlignment="1">
      <alignment horizontal="center"/>
    </xf>
    <xf numFmtId="2" fontId="14" fillId="5" borderId="0" xfId="3" applyNumberFormat="1" applyFont="1" applyFill="1" applyAlignment="1">
      <alignment horizontal="center"/>
    </xf>
    <xf numFmtId="0" fontId="17" fillId="5" borderId="6" xfId="3" applyFont="1" applyFill="1" applyBorder="1" applyAlignment="1">
      <alignment horizontal="center"/>
    </xf>
    <xf numFmtId="1" fontId="17" fillId="5" borderId="0" xfId="3" applyNumberFormat="1" applyFont="1" applyFill="1" applyAlignment="1">
      <alignment horizontal="center"/>
    </xf>
    <xf numFmtId="0" fontId="9" fillId="5" borderId="0" xfId="3" applyFont="1" applyFill="1"/>
    <xf numFmtId="169" fontId="14" fillId="5" borderId="0" xfId="3" applyNumberFormat="1" applyFont="1" applyFill="1" applyAlignment="1">
      <alignment horizontal="center"/>
    </xf>
    <xf numFmtId="0" fontId="14" fillId="6" borderId="7" xfId="3" applyFont="1" applyFill="1" applyBorder="1"/>
    <xf numFmtId="0" fontId="20" fillId="6" borderId="8" xfId="3" applyFont="1" applyFill="1" applyBorder="1"/>
    <xf numFmtId="0" fontId="14" fillId="6" borderId="9" xfId="3" applyFont="1" applyFill="1" applyBorder="1"/>
    <xf numFmtId="0" fontId="21" fillId="6" borderId="10" xfId="3" applyFont="1" applyFill="1" applyBorder="1" applyAlignment="1">
      <alignment horizontal="center"/>
    </xf>
    <xf numFmtId="166" fontId="19" fillId="6" borderId="3" xfId="3" applyNumberFormat="1" applyFont="1" applyFill="1" applyBorder="1" applyAlignment="1">
      <alignment horizontal="center"/>
    </xf>
    <xf numFmtId="4" fontId="19" fillId="6" borderId="11" xfId="3" applyNumberFormat="1" applyFont="1" applyFill="1" applyBorder="1" applyAlignment="1">
      <alignment horizontal="center"/>
    </xf>
    <xf numFmtId="0" fontId="16" fillId="5" borderId="0" xfId="3" applyFont="1" applyFill="1" applyAlignment="1">
      <alignment horizontal="center"/>
    </xf>
    <xf numFmtId="2" fontId="22" fillId="5" borderId="0" xfId="3" applyNumberFormat="1" applyFont="1" applyFill="1" applyAlignment="1">
      <alignment horizontal="center"/>
    </xf>
    <xf numFmtId="170" fontId="23" fillId="5" borderId="14" xfId="1" applyNumberFormat="1" applyFont="1" applyFill="1" applyBorder="1" applyAlignment="1" applyProtection="1">
      <alignment horizontal="center"/>
    </xf>
    <xf numFmtId="2" fontId="24" fillId="8" borderId="0" xfId="3" applyNumberFormat="1" applyFont="1" applyFill="1" applyAlignment="1">
      <alignment horizontal="center"/>
    </xf>
    <xf numFmtId="0" fontId="24" fillId="5" borderId="0" xfId="3" applyFont="1" applyFill="1" applyAlignment="1">
      <alignment horizontal="center"/>
    </xf>
    <xf numFmtId="0" fontId="23" fillId="5" borderId="0" xfId="3" applyFont="1" applyFill="1" applyAlignment="1">
      <alignment horizontal="center"/>
    </xf>
    <xf numFmtId="4" fontId="2" fillId="5" borderId="0" xfId="3" applyNumberFormat="1" applyFill="1" applyAlignment="1">
      <alignment horizontal="center"/>
    </xf>
    <xf numFmtId="4" fontId="23" fillId="5" borderId="0" xfId="3" applyNumberFormat="1" applyFont="1" applyFill="1" applyAlignment="1">
      <alignment horizontal="center"/>
    </xf>
    <xf numFmtId="170" fontId="23" fillId="5" borderId="0" xfId="1" applyNumberFormat="1" applyFont="1" applyFill="1" applyBorder="1" applyAlignment="1" applyProtection="1">
      <alignment horizontal="center"/>
    </xf>
    <xf numFmtId="171" fontId="17" fillId="7" borderId="4" xfId="3" applyNumberFormat="1" applyFont="1" applyFill="1" applyBorder="1" applyAlignment="1" applyProtection="1">
      <alignment horizontal="center"/>
      <protection locked="0"/>
    </xf>
    <xf numFmtId="0" fontId="14" fillId="8" borderId="0" xfId="3" applyFont="1" applyFill="1" applyAlignment="1">
      <alignment horizontal="center"/>
    </xf>
    <xf numFmtId="166" fontId="25" fillId="8" borderId="0" xfId="3" applyNumberFormat="1" applyFont="1" applyFill="1" applyAlignment="1">
      <alignment horizontal="center"/>
    </xf>
    <xf numFmtId="1" fontId="17" fillId="7" borderId="4" xfId="3" applyNumberFormat="1" applyFont="1" applyFill="1" applyBorder="1" applyAlignment="1" applyProtection="1">
      <alignment horizontal="center"/>
      <protection locked="0"/>
    </xf>
    <xf numFmtId="0" fontId="2" fillId="8" borderId="2" xfId="3" applyFill="1" applyBorder="1"/>
    <xf numFmtId="0" fontId="23" fillId="8" borderId="2" xfId="3" applyFont="1" applyFill="1" applyBorder="1" applyAlignment="1">
      <alignment horizontal="center"/>
    </xf>
    <xf numFmtId="0" fontId="9" fillId="8" borderId="2" xfId="3" applyFont="1" applyFill="1" applyBorder="1" applyAlignment="1">
      <alignment horizontal="center"/>
    </xf>
    <xf numFmtId="0" fontId="14" fillId="5" borderId="2" xfId="3" applyFont="1" applyFill="1" applyBorder="1" applyAlignment="1">
      <alignment horizontal="center"/>
    </xf>
    <xf numFmtId="0" fontId="9" fillId="5" borderId="2" xfId="3" applyFont="1" applyFill="1" applyBorder="1" applyAlignment="1">
      <alignment horizontal="center"/>
    </xf>
    <xf numFmtId="0" fontId="23" fillId="5" borderId="2" xfId="3" applyFont="1" applyFill="1" applyBorder="1" applyAlignment="1">
      <alignment horizontal="center"/>
    </xf>
    <xf numFmtId="0" fontId="9" fillId="8" borderId="0" xfId="3" applyFont="1" applyFill="1"/>
    <xf numFmtId="0" fontId="26" fillId="8" borderId="0" xfId="3" applyFont="1" applyFill="1"/>
    <xf numFmtId="3" fontId="27" fillId="8" borderId="0" xfId="3" applyNumberFormat="1" applyFont="1" applyFill="1" applyAlignment="1">
      <alignment horizontal="center"/>
    </xf>
    <xf numFmtId="170" fontId="9" fillId="5" borderId="0" xfId="1" applyNumberFormat="1" applyFont="1" applyFill="1" applyBorder="1" applyAlignment="1" applyProtection="1">
      <alignment horizontal="center"/>
    </xf>
    <xf numFmtId="10" fontId="9" fillId="5" borderId="0" xfId="2" applyNumberFormat="1" applyFont="1" applyFill="1" applyBorder="1" applyAlignment="1" applyProtection="1">
      <alignment horizontal="center"/>
    </xf>
    <xf numFmtId="0" fontId="9" fillId="5" borderId="7" xfId="3" applyFont="1" applyFill="1" applyBorder="1" applyAlignment="1">
      <alignment horizontal="center"/>
    </xf>
    <xf numFmtId="0" fontId="9" fillId="5" borderId="9" xfId="3" applyFont="1" applyFill="1" applyBorder="1" applyAlignment="1">
      <alignment horizontal="center"/>
    </xf>
    <xf numFmtId="0" fontId="9" fillId="5" borderId="0" xfId="3" applyFont="1" applyFill="1" applyAlignment="1">
      <alignment horizontal="center"/>
    </xf>
    <xf numFmtId="0" fontId="23" fillId="5" borderId="0" xfId="3" applyFont="1" applyFill="1" applyAlignment="1">
      <alignment horizontal="left"/>
    </xf>
    <xf numFmtId="0" fontId="9" fillId="5" borderId="6" xfId="3" applyFont="1" applyFill="1" applyBorder="1" applyAlignment="1">
      <alignment horizontal="center"/>
    </xf>
    <xf numFmtId="0" fontId="9" fillId="5" borderId="4" xfId="3" applyFont="1" applyFill="1" applyBorder="1" applyAlignment="1">
      <alignment horizontal="center"/>
    </xf>
    <xf numFmtId="0" fontId="9" fillId="5" borderId="10" xfId="3" applyFont="1" applyFill="1" applyBorder="1" applyAlignment="1">
      <alignment horizontal="center"/>
    </xf>
    <xf numFmtId="0" fontId="9" fillId="5" borderId="11" xfId="3" applyFont="1" applyFill="1" applyBorder="1" applyAlignment="1">
      <alignment horizontal="center"/>
    </xf>
    <xf numFmtId="1" fontId="17" fillId="7" borderId="6" xfId="3" applyNumberFormat="1" applyFont="1" applyFill="1" applyBorder="1" applyAlignment="1" applyProtection="1">
      <alignment horizontal="center"/>
      <protection locked="0"/>
    </xf>
    <xf numFmtId="3" fontId="9" fillId="5" borderId="0" xfId="3" applyNumberFormat="1" applyFont="1" applyFill="1" applyAlignment="1">
      <alignment horizontal="center"/>
    </xf>
    <xf numFmtId="1" fontId="9" fillId="5" borderId="0" xfId="3" applyNumberFormat="1" applyFont="1" applyFill="1" applyAlignment="1">
      <alignment horizontal="center"/>
    </xf>
    <xf numFmtId="170" fontId="23" fillId="5" borderId="3" xfId="1" applyNumberFormat="1" applyFont="1" applyFill="1" applyBorder="1" applyAlignment="1" applyProtection="1">
      <alignment horizontal="center"/>
    </xf>
    <xf numFmtId="0" fontId="17" fillId="7" borderId="6" xfId="3" applyFont="1" applyFill="1" applyBorder="1" applyAlignment="1" applyProtection="1">
      <alignment horizontal="center"/>
      <protection locked="0"/>
    </xf>
    <xf numFmtId="169" fontId="17" fillId="7" borderId="4" xfId="3" applyNumberFormat="1" applyFont="1" applyFill="1" applyBorder="1" applyAlignment="1" applyProtection="1">
      <alignment horizontal="center"/>
      <protection locked="0"/>
    </xf>
    <xf numFmtId="1" fontId="17" fillId="7" borderId="10" xfId="3" applyNumberFormat="1" applyFont="1" applyFill="1" applyBorder="1" applyAlignment="1" applyProtection="1">
      <alignment horizontal="center"/>
      <protection locked="0"/>
    </xf>
    <xf numFmtId="169" fontId="17" fillId="7" borderId="11" xfId="3" applyNumberFormat="1" applyFont="1" applyFill="1" applyBorder="1" applyAlignment="1" applyProtection="1">
      <alignment horizontal="center"/>
      <protection locked="0"/>
    </xf>
    <xf numFmtId="0" fontId="17" fillId="7" borderId="10" xfId="3" applyFont="1" applyFill="1" applyBorder="1" applyAlignment="1" applyProtection="1">
      <alignment horizontal="center"/>
      <protection locked="0"/>
    </xf>
    <xf numFmtId="0" fontId="14" fillId="7" borderId="0" xfId="3" applyFont="1" applyFill="1" applyAlignment="1">
      <alignment horizontal="center"/>
    </xf>
    <xf numFmtId="169" fontId="17" fillId="5" borderId="0" xfId="3" applyNumberFormat="1" applyFont="1" applyFill="1" applyAlignment="1">
      <alignment horizontal="center"/>
    </xf>
    <xf numFmtId="3" fontId="17" fillId="7" borderId="7" xfId="3" applyNumberFormat="1" applyFont="1" applyFill="1" applyBorder="1" applyAlignment="1" applyProtection="1">
      <alignment horizontal="center"/>
      <protection locked="0"/>
    </xf>
    <xf numFmtId="0" fontId="24" fillId="5" borderId="12" xfId="3" applyFont="1" applyFill="1" applyBorder="1" applyAlignment="1">
      <alignment horizontal="center"/>
    </xf>
    <xf numFmtId="0" fontId="17" fillId="5" borderId="4" xfId="3" applyFont="1" applyFill="1" applyBorder="1" applyAlignment="1">
      <alignment horizontal="center"/>
    </xf>
    <xf numFmtId="167" fontId="0" fillId="0" borderId="0" xfId="0" applyNumberFormat="1"/>
    <xf numFmtId="2" fontId="0" fillId="0" borderId="0" xfId="0" applyNumberFormat="1" applyAlignment="1">
      <alignment horizontal="center"/>
    </xf>
    <xf numFmtId="0" fontId="12" fillId="0" borderId="0" xfId="0" applyFont="1" applyAlignment="1">
      <alignment horizontal="center"/>
    </xf>
    <xf numFmtId="2" fontId="28" fillId="0" borderId="0" xfId="0" applyNumberFormat="1" applyFont="1" applyAlignment="1">
      <alignment horizontal="center"/>
    </xf>
    <xf numFmtId="2" fontId="29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30" fillId="0" borderId="0" xfId="0" applyFont="1" applyAlignment="1">
      <alignment horizontal="right"/>
    </xf>
    <xf numFmtId="0" fontId="0" fillId="0" borderId="0" xfId="0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0" fontId="0" fillId="4" borderId="0" xfId="0" applyFill="1"/>
    <xf numFmtId="0" fontId="12" fillId="4" borderId="0" xfId="0" applyFont="1" applyFill="1"/>
    <xf numFmtId="0" fontId="32" fillId="0" borderId="0" xfId="0" applyFont="1" applyAlignment="1">
      <alignment horizontal="center"/>
    </xf>
    <xf numFmtId="164" fontId="28" fillId="0" borderId="0" xfId="0" applyNumberFormat="1" applyFont="1" applyAlignment="1">
      <alignment horizontal="center"/>
    </xf>
    <xf numFmtId="164" fontId="12" fillId="0" borderId="0" xfId="1" applyFont="1" applyAlignment="1">
      <alignment horizontal="center"/>
    </xf>
    <xf numFmtId="2" fontId="3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12" fillId="2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0" borderId="15" xfId="0" applyBorder="1" applyAlignment="1">
      <alignment horizontal="center" vertic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 vertical="center"/>
    </xf>
    <xf numFmtId="4" fontId="0" fillId="0" borderId="19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0" fontId="12" fillId="0" borderId="21" xfId="0" applyFont="1" applyBorder="1"/>
    <xf numFmtId="164" fontId="0" fillId="2" borderId="0" xfId="1" applyFont="1" applyFill="1" applyAlignment="1">
      <alignment horizontal="center"/>
    </xf>
    <xf numFmtId="0" fontId="12" fillId="0" borderId="22" xfId="0" applyFont="1" applyBorder="1"/>
    <xf numFmtId="2" fontId="14" fillId="3" borderId="1" xfId="3" applyNumberFormat="1" applyFon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4" fontId="0" fillId="0" borderId="24" xfId="0" applyNumberFormat="1" applyBorder="1" applyAlignment="1">
      <alignment horizontal="center"/>
    </xf>
    <xf numFmtId="4" fontId="0" fillId="0" borderId="25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164" fontId="0" fillId="0" borderId="0" xfId="1" applyFont="1"/>
    <xf numFmtId="0" fontId="34" fillId="0" borderId="0" xfId="3" applyFont="1" applyAlignment="1">
      <alignment horizontal="center"/>
    </xf>
    <xf numFmtId="0" fontId="0" fillId="2" borderId="0" xfId="0" applyFill="1"/>
    <xf numFmtId="0" fontId="0" fillId="4" borderId="0" xfId="0" applyFill="1" applyAlignment="1">
      <alignment horizontal="center"/>
    </xf>
    <xf numFmtId="172" fontId="0" fillId="0" borderId="0" xfId="0" applyNumberForma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0" fontId="0" fillId="2" borderId="0" xfId="2" applyNumberFormat="1" applyFont="1" applyFill="1"/>
    <xf numFmtId="0" fontId="11" fillId="2" borderId="0" xfId="0" applyFont="1" applyFill="1" applyAlignment="1">
      <alignment horizontal="center"/>
    </xf>
    <xf numFmtId="164" fontId="0" fillId="0" borderId="0" xfId="1" applyFont="1" applyAlignment="1">
      <alignment vertical="center"/>
    </xf>
    <xf numFmtId="0" fontId="30" fillId="0" borderId="0" xfId="0" applyFont="1"/>
    <xf numFmtId="16" fontId="0" fillId="0" borderId="0" xfId="0" applyNumberFormat="1"/>
    <xf numFmtId="0" fontId="12" fillId="0" borderId="0" xfId="0" applyFont="1"/>
    <xf numFmtId="170" fontId="0" fillId="0" borderId="0" xfId="1" applyNumberFormat="1" applyFont="1"/>
    <xf numFmtId="3" fontId="21" fillId="0" borderId="0" xfId="3" applyNumberFormat="1" applyFont="1" applyAlignment="1">
      <alignment horizontal="center"/>
    </xf>
    <xf numFmtId="10" fontId="21" fillId="0" borderId="0" xfId="3" applyNumberFormat="1" applyFont="1" applyAlignment="1">
      <alignment horizontal="center"/>
    </xf>
    <xf numFmtId="0" fontId="9" fillId="2" borderId="0" xfId="3" applyFont="1" applyFill="1" applyAlignment="1">
      <alignment horizontal="center"/>
    </xf>
    <xf numFmtId="0" fontId="24" fillId="2" borderId="0" xfId="3" applyFont="1" applyFill="1" applyAlignment="1">
      <alignment horizontal="center"/>
    </xf>
    <xf numFmtId="0" fontId="3" fillId="2" borderId="0" xfId="3" applyFont="1" applyFill="1" applyAlignment="1">
      <alignment horizontal="center"/>
    </xf>
    <xf numFmtId="3" fontId="2" fillId="0" borderId="0" xfId="3" applyNumberFormat="1" applyAlignment="1">
      <alignment horizontal="center"/>
    </xf>
    <xf numFmtId="9" fontId="9" fillId="2" borderId="0" xfId="3" applyNumberFormat="1" applyFont="1" applyFill="1" applyAlignment="1">
      <alignment horizontal="center"/>
    </xf>
    <xf numFmtId="10" fontId="9" fillId="0" borderId="0" xfId="3" applyNumberFormat="1" applyFont="1" applyAlignment="1">
      <alignment horizontal="center"/>
    </xf>
    <xf numFmtId="9" fontId="24" fillId="2" borderId="0" xfId="3" applyNumberFormat="1" applyFont="1" applyFill="1" applyAlignment="1">
      <alignment horizontal="center"/>
    </xf>
    <xf numFmtId="10" fontId="24" fillId="0" borderId="0" xfId="2" applyNumberFormat="1" applyFont="1" applyBorder="1" applyAlignment="1">
      <alignment horizontal="center"/>
    </xf>
    <xf numFmtId="0" fontId="9" fillId="0" borderId="0" xfId="3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35" fillId="9" borderId="0" xfId="0" applyFont="1" applyFill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30" fillId="9" borderId="28" xfId="0" applyFont="1" applyFill="1" applyBorder="1" applyAlignment="1">
      <alignment horizontal="center"/>
    </xf>
    <xf numFmtId="4" fontId="2" fillId="0" borderId="0" xfId="3" applyNumberFormat="1" applyAlignment="1">
      <alignment horizontal="center"/>
    </xf>
    <xf numFmtId="0" fontId="7" fillId="0" borderId="8" xfId="3" applyFont="1" applyBorder="1" applyAlignment="1">
      <alignment horizontal="center"/>
    </xf>
    <xf numFmtId="0" fontId="7" fillId="0" borderId="9" xfId="3" applyFont="1" applyBorder="1" applyAlignment="1">
      <alignment horizontal="center"/>
    </xf>
    <xf numFmtId="0" fontId="36" fillId="0" borderId="0" xfId="0" applyFont="1" applyAlignment="1">
      <alignment horizontal="center"/>
    </xf>
    <xf numFmtId="3" fontId="37" fillId="0" borderId="0" xfId="3" applyNumberFormat="1" applyFont="1" applyAlignment="1">
      <alignment horizontal="center"/>
    </xf>
    <xf numFmtId="164" fontId="11" fillId="0" borderId="0" xfId="1" applyFont="1" applyAlignment="1">
      <alignment horizontal="center"/>
    </xf>
    <xf numFmtId="164" fontId="31" fillId="10" borderId="0" xfId="0" applyNumberFormat="1" applyFont="1" applyFill="1" applyAlignment="1">
      <alignment horizontal="center"/>
    </xf>
    <xf numFmtId="10" fontId="0" fillId="10" borderId="6" xfId="2" applyNumberFormat="1" applyFont="1" applyFill="1" applyBorder="1" applyAlignment="1">
      <alignment horizontal="center"/>
    </xf>
    <xf numFmtId="10" fontId="0" fillId="10" borderId="28" xfId="2" applyNumberFormat="1" applyFont="1" applyFill="1" applyBorder="1" applyAlignment="1">
      <alignment horizontal="center"/>
    </xf>
    <xf numFmtId="170" fontId="0" fillId="0" borderId="0" xfId="1" applyNumberFormat="1" applyFont="1" applyAlignment="1">
      <alignment horizontal="center"/>
    </xf>
    <xf numFmtId="2" fontId="23" fillId="5" borderId="13" xfId="3" applyNumberFormat="1" applyFont="1" applyFill="1" applyBorder="1" applyAlignment="1">
      <alignment horizontal="center"/>
    </xf>
    <xf numFmtId="175" fontId="23" fillId="5" borderId="13" xfId="3" applyNumberFormat="1" applyFont="1" applyFill="1" applyBorder="1" applyAlignment="1">
      <alignment horizontal="center"/>
    </xf>
    <xf numFmtId="2" fontId="23" fillId="5" borderId="0" xfId="3" applyNumberFormat="1" applyFont="1" applyFill="1" applyAlignment="1">
      <alignment horizontal="center"/>
    </xf>
    <xf numFmtId="4" fontId="11" fillId="0" borderId="0" xfId="0" applyNumberFormat="1" applyFont="1" applyAlignment="1">
      <alignment horizontal="center"/>
    </xf>
    <xf numFmtId="2" fontId="17" fillId="7" borderId="9" xfId="3" applyNumberFormat="1" applyFont="1" applyFill="1" applyBorder="1" applyAlignment="1" applyProtection="1">
      <alignment horizontal="center" wrapText="1"/>
      <protection locked="0"/>
    </xf>
    <xf numFmtId="0" fontId="12" fillId="2" borderId="0" xfId="0" applyFont="1" applyFill="1"/>
    <xf numFmtId="3" fontId="38" fillId="0" borderId="0" xfId="3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7" fontId="17" fillId="7" borderId="9" xfId="3" applyNumberFormat="1" applyFont="1" applyFill="1" applyBorder="1" applyAlignment="1" applyProtection="1">
      <alignment horizontal="center" wrapText="1"/>
      <protection locked="0"/>
    </xf>
    <xf numFmtId="0" fontId="17" fillId="5" borderId="29" xfId="3" applyFont="1" applyFill="1" applyBorder="1" applyAlignment="1">
      <alignment horizontal="center"/>
    </xf>
    <xf numFmtId="2" fontId="17" fillId="7" borderId="4" xfId="3" applyNumberFormat="1" applyFont="1" applyFill="1" applyBorder="1" applyAlignment="1" applyProtection="1">
      <alignment horizontal="center" wrapText="1"/>
      <protection locked="0"/>
    </xf>
    <xf numFmtId="164" fontId="11" fillId="10" borderId="0" xfId="0" applyNumberFormat="1" applyFont="1" applyFill="1" applyAlignment="1">
      <alignment horizontal="center"/>
    </xf>
    <xf numFmtId="175" fontId="0" fillId="0" borderId="0" xfId="0" applyNumberFormat="1"/>
    <xf numFmtId="2" fontId="0" fillId="0" borderId="24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10" fontId="5" fillId="0" borderId="0" xfId="2" applyNumberFormat="1" applyFont="1" applyAlignment="1">
      <alignment horizontal="left"/>
    </xf>
    <xf numFmtId="10" fontId="3" fillId="0" borderId="0" xfId="2" applyNumberFormat="1" applyFont="1" applyBorder="1" applyAlignment="1">
      <alignment horizontal="center"/>
    </xf>
    <xf numFmtId="0" fontId="31" fillId="0" borderId="0" xfId="0" applyFont="1" applyAlignment="1">
      <alignment horizontal="right"/>
    </xf>
    <xf numFmtId="15" fontId="15" fillId="6" borderId="12" xfId="3" applyNumberFormat="1" applyFont="1" applyFill="1" applyBorder="1" applyAlignment="1" applyProtection="1">
      <alignment horizontal="center"/>
      <protection locked="0"/>
    </xf>
    <xf numFmtId="15" fontId="15" fillId="6" borderId="13" xfId="3" applyNumberFormat="1" applyFont="1" applyFill="1" applyBorder="1" applyAlignment="1" applyProtection="1">
      <alignment horizontal="center"/>
      <protection locked="0"/>
    </xf>
    <xf numFmtId="1" fontId="16" fillId="5" borderId="3" xfId="3" applyNumberFormat="1" applyFont="1" applyFill="1" applyBorder="1" applyAlignment="1">
      <alignment horizontal="center"/>
    </xf>
    <xf numFmtId="0" fontId="16" fillId="5" borderId="3" xfId="3" applyFont="1" applyFill="1" applyBorder="1" applyAlignment="1">
      <alignment horizontal="center"/>
    </xf>
  </cellXfs>
  <cellStyles count="10">
    <cellStyle name="Euro" xfId="4"/>
    <cellStyle name="Millares" xfId="1" builtinId="3"/>
    <cellStyle name="Millares 2" xfId="5"/>
    <cellStyle name="Moneda 2" xfId="6"/>
    <cellStyle name="Normal" xfId="0" builtinId="0"/>
    <cellStyle name="Normal 2" xfId="3"/>
    <cellStyle name="Normal 2 2" xfId="7"/>
    <cellStyle name="Porcentaje" xfId="2" builtinId="5"/>
    <cellStyle name="Porcentaje 2" xfId="8"/>
    <cellStyle name="Porcentual 2" xfId="9"/>
  </cellStyles>
  <dxfs count="43"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ESTRATEGIAS!$D$42</c:f>
              <c:strCache>
                <c:ptCount val="1"/>
                <c:pt idx="0">
                  <c:v>Payout</c:v>
                </c:pt>
              </c:strCache>
            </c:strRef>
          </c:tx>
          <c:marker>
            <c:symbol val="none"/>
          </c:marker>
          <c:cat>
            <c:numRef>
              <c:f>ESTRATEGIAS!$C$3043:$C$3943</c:f>
              <c:numCache>
                <c:formatCode>General</c:formatCode>
                <c:ptCount val="901"/>
                <c:pt idx="0">
                  <c:v>3000</c:v>
                </c:pt>
                <c:pt idx="1">
                  <c:v>3001</c:v>
                </c:pt>
                <c:pt idx="2">
                  <c:v>3002</c:v>
                </c:pt>
                <c:pt idx="3">
                  <c:v>3003</c:v>
                </c:pt>
                <c:pt idx="4">
                  <c:v>3004</c:v>
                </c:pt>
                <c:pt idx="5">
                  <c:v>3005</c:v>
                </c:pt>
                <c:pt idx="6">
                  <c:v>3006</c:v>
                </c:pt>
                <c:pt idx="7">
                  <c:v>3007</c:v>
                </c:pt>
                <c:pt idx="8">
                  <c:v>3008</c:v>
                </c:pt>
                <c:pt idx="9">
                  <c:v>3009</c:v>
                </c:pt>
                <c:pt idx="10">
                  <c:v>3010</c:v>
                </c:pt>
                <c:pt idx="11">
                  <c:v>3011</c:v>
                </c:pt>
                <c:pt idx="12">
                  <c:v>3012</c:v>
                </c:pt>
                <c:pt idx="13">
                  <c:v>3013</c:v>
                </c:pt>
                <c:pt idx="14">
                  <c:v>3014</c:v>
                </c:pt>
                <c:pt idx="15">
                  <c:v>3015</c:v>
                </c:pt>
                <c:pt idx="16">
                  <c:v>3016</c:v>
                </c:pt>
                <c:pt idx="17">
                  <c:v>3017</c:v>
                </c:pt>
                <c:pt idx="18">
                  <c:v>3018</c:v>
                </c:pt>
                <c:pt idx="19">
                  <c:v>3019</c:v>
                </c:pt>
                <c:pt idx="20">
                  <c:v>3020</c:v>
                </c:pt>
                <c:pt idx="21">
                  <c:v>3021</c:v>
                </c:pt>
                <c:pt idx="22">
                  <c:v>3022</c:v>
                </c:pt>
                <c:pt idx="23">
                  <c:v>3023</c:v>
                </c:pt>
                <c:pt idx="24">
                  <c:v>3024</c:v>
                </c:pt>
                <c:pt idx="25">
                  <c:v>3025</c:v>
                </c:pt>
                <c:pt idx="26">
                  <c:v>3026</c:v>
                </c:pt>
                <c:pt idx="27">
                  <c:v>3027</c:v>
                </c:pt>
                <c:pt idx="28">
                  <c:v>3028</c:v>
                </c:pt>
                <c:pt idx="29">
                  <c:v>3029</c:v>
                </c:pt>
                <c:pt idx="30">
                  <c:v>3030</c:v>
                </c:pt>
                <c:pt idx="31">
                  <c:v>3031</c:v>
                </c:pt>
                <c:pt idx="32">
                  <c:v>3032</c:v>
                </c:pt>
                <c:pt idx="33">
                  <c:v>3033</c:v>
                </c:pt>
                <c:pt idx="34">
                  <c:v>3034</c:v>
                </c:pt>
                <c:pt idx="35">
                  <c:v>3035</c:v>
                </c:pt>
                <c:pt idx="36">
                  <c:v>3036</c:v>
                </c:pt>
                <c:pt idx="37">
                  <c:v>3037</c:v>
                </c:pt>
                <c:pt idx="38">
                  <c:v>3038</c:v>
                </c:pt>
                <c:pt idx="39">
                  <c:v>3039</c:v>
                </c:pt>
                <c:pt idx="40">
                  <c:v>3040</c:v>
                </c:pt>
                <c:pt idx="41">
                  <c:v>3041</c:v>
                </c:pt>
                <c:pt idx="42">
                  <c:v>3042</c:v>
                </c:pt>
                <c:pt idx="43">
                  <c:v>3043</c:v>
                </c:pt>
                <c:pt idx="44">
                  <c:v>3044</c:v>
                </c:pt>
                <c:pt idx="45">
                  <c:v>3045</c:v>
                </c:pt>
                <c:pt idx="46">
                  <c:v>3046</c:v>
                </c:pt>
                <c:pt idx="47">
                  <c:v>3047</c:v>
                </c:pt>
                <c:pt idx="48">
                  <c:v>3048</c:v>
                </c:pt>
                <c:pt idx="49">
                  <c:v>3049</c:v>
                </c:pt>
                <c:pt idx="50">
                  <c:v>3050</c:v>
                </c:pt>
                <c:pt idx="51">
                  <c:v>3051</c:v>
                </c:pt>
                <c:pt idx="52">
                  <c:v>3052</c:v>
                </c:pt>
                <c:pt idx="53">
                  <c:v>3053</c:v>
                </c:pt>
                <c:pt idx="54">
                  <c:v>3054</c:v>
                </c:pt>
                <c:pt idx="55">
                  <c:v>3055</c:v>
                </c:pt>
                <c:pt idx="56">
                  <c:v>3056</c:v>
                </c:pt>
                <c:pt idx="57">
                  <c:v>3057</c:v>
                </c:pt>
                <c:pt idx="58">
                  <c:v>3058</c:v>
                </c:pt>
                <c:pt idx="59">
                  <c:v>3059</c:v>
                </c:pt>
                <c:pt idx="60">
                  <c:v>3060</c:v>
                </c:pt>
                <c:pt idx="61">
                  <c:v>3061</c:v>
                </c:pt>
                <c:pt idx="62">
                  <c:v>3062</c:v>
                </c:pt>
                <c:pt idx="63">
                  <c:v>3063</c:v>
                </c:pt>
                <c:pt idx="64">
                  <c:v>3064</c:v>
                </c:pt>
                <c:pt idx="65">
                  <c:v>3065</c:v>
                </c:pt>
                <c:pt idx="66">
                  <c:v>3066</c:v>
                </c:pt>
                <c:pt idx="67">
                  <c:v>3067</c:v>
                </c:pt>
                <c:pt idx="68">
                  <c:v>3068</c:v>
                </c:pt>
                <c:pt idx="69">
                  <c:v>3069</c:v>
                </c:pt>
                <c:pt idx="70">
                  <c:v>3070</c:v>
                </c:pt>
                <c:pt idx="71">
                  <c:v>3071</c:v>
                </c:pt>
                <c:pt idx="72">
                  <c:v>3072</c:v>
                </c:pt>
                <c:pt idx="73">
                  <c:v>3073</c:v>
                </c:pt>
                <c:pt idx="74">
                  <c:v>3074</c:v>
                </c:pt>
                <c:pt idx="75">
                  <c:v>3075</c:v>
                </c:pt>
                <c:pt idx="76">
                  <c:v>3076</c:v>
                </c:pt>
                <c:pt idx="77">
                  <c:v>3077</c:v>
                </c:pt>
                <c:pt idx="78">
                  <c:v>3078</c:v>
                </c:pt>
                <c:pt idx="79">
                  <c:v>3079</c:v>
                </c:pt>
                <c:pt idx="80">
                  <c:v>3080</c:v>
                </c:pt>
                <c:pt idx="81">
                  <c:v>3081</c:v>
                </c:pt>
                <c:pt idx="82">
                  <c:v>3082</c:v>
                </c:pt>
                <c:pt idx="83">
                  <c:v>3083</c:v>
                </c:pt>
                <c:pt idx="84">
                  <c:v>3084</c:v>
                </c:pt>
                <c:pt idx="85">
                  <c:v>3085</c:v>
                </c:pt>
                <c:pt idx="86">
                  <c:v>3086</c:v>
                </c:pt>
                <c:pt idx="87">
                  <c:v>3087</c:v>
                </c:pt>
                <c:pt idx="88">
                  <c:v>3088</c:v>
                </c:pt>
                <c:pt idx="89">
                  <c:v>3089</c:v>
                </c:pt>
                <c:pt idx="90">
                  <c:v>3090</c:v>
                </c:pt>
                <c:pt idx="91">
                  <c:v>3091</c:v>
                </c:pt>
                <c:pt idx="92">
                  <c:v>3092</c:v>
                </c:pt>
                <c:pt idx="93">
                  <c:v>3093</c:v>
                </c:pt>
                <c:pt idx="94">
                  <c:v>3094</c:v>
                </c:pt>
                <c:pt idx="95">
                  <c:v>3095</c:v>
                </c:pt>
                <c:pt idx="96">
                  <c:v>3096</c:v>
                </c:pt>
                <c:pt idx="97">
                  <c:v>3097</c:v>
                </c:pt>
                <c:pt idx="98">
                  <c:v>3098</c:v>
                </c:pt>
                <c:pt idx="99">
                  <c:v>3099</c:v>
                </c:pt>
                <c:pt idx="100">
                  <c:v>3100</c:v>
                </c:pt>
                <c:pt idx="101">
                  <c:v>3101</c:v>
                </c:pt>
                <c:pt idx="102">
                  <c:v>3102</c:v>
                </c:pt>
                <c:pt idx="103">
                  <c:v>3103</c:v>
                </c:pt>
                <c:pt idx="104">
                  <c:v>3104</c:v>
                </c:pt>
                <c:pt idx="105">
                  <c:v>3105</c:v>
                </c:pt>
                <c:pt idx="106">
                  <c:v>3106</c:v>
                </c:pt>
                <c:pt idx="107">
                  <c:v>3107</c:v>
                </c:pt>
                <c:pt idx="108">
                  <c:v>3108</c:v>
                </c:pt>
                <c:pt idx="109">
                  <c:v>3109</c:v>
                </c:pt>
                <c:pt idx="110">
                  <c:v>3110</c:v>
                </c:pt>
                <c:pt idx="111">
                  <c:v>3111</c:v>
                </c:pt>
                <c:pt idx="112">
                  <c:v>3112</c:v>
                </c:pt>
                <c:pt idx="113">
                  <c:v>3113</c:v>
                </c:pt>
                <c:pt idx="114">
                  <c:v>3114</c:v>
                </c:pt>
                <c:pt idx="115">
                  <c:v>3115</c:v>
                </c:pt>
                <c:pt idx="116">
                  <c:v>3116</c:v>
                </c:pt>
                <c:pt idx="117">
                  <c:v>3117</c:v>
                </c:pt>
                <c:pt idx="118">
                  <c:v>3118</c:v>
                </c:pt>
                <c:pt idx="119">
                  <c:v>3119</c:v>
                </c:pt>
                <c:pt idx="120">
                  <c:v>3120</c:v>
                </c:pt>
                <c:pt idx="121">
                  <c:v>3121</c:v>
                </c:pt>
                <c:pt idx="122">
                  <c:v>3122</c:v>
                </c:pt>
                <c:pt idx="123">
                  <c:v>3123</c:v>
                </c:pt>
                <c:pt idx="124">
                  <c:v>3124</c:v>
                </c:pt>
                <c:pt idx="125">
                  <c:v>3125</c:v>
                </c:pt>
                <c:pt idx="126">
                  <c:v>3126</c:v>
                </c:pt>
                <c:pt idx="127">
                  <c:v>3127</c:v>
                </c:pt>
                <c:pt idx="128">
                  <c:v>3128</c:v>
                </c:pt>
                <c:pt idx="129">
                  <c:v>3129</c:v>
                </c:pt>
                <c:pt idx="130">
                  <c:v>3130</c:v>
                </c:pt>
                <c:pt idx="131">
                  <c:v>3131</c:v>
                </c:pt>
                <c:pt idx="132">
                  <c:v>3132</c:v>
                </c:pt>
                <c:pt idx="133">
                  <c:v>3133</c:v>
                </c:pt>
                <c:pt idx="134">
                  <c:v>3134</c:v>
                </c:pt>
                <c:pt idx="135">
                  <c:v>3135</c:v>
                </c:pt>
                <c:pt idx="136">
                  <c:v>3136</c:v>
                </c:pt>
                <c:pt idx="137">
                  <c:v>3137</c:v>
                </c:pt>
                <c:pt idx="138">
                  <c:v>3138</c:v>
                </c:pt>
                <c:pt idx="139">
                  <c:v>3139</c:v>
                </c:pt>
                <c:pt idx="140">
                  <c:v>3140</c:v>
                </c:pt>
                <c:pt idx="141">
                  <c:v>3141</c:v>
                </c:pt>
                <c:pt idx="142">
                  <c:v>3142</c:v>
                </c:pt>
                <c:pt idx="143">
                  <c:v>3143</c:v>
                </c:pt>
                <c:pt idx="144">
                  <c:v>3144</c:v>
                </c:pt>
                <c:pt idx="145">
                  <c:v>3145</c:v>
                </c:pt>
                <c:pt idx="146">
                  <c:v>3146</c:v>
                </c:pt>
                <c:pt idx="147">
                  <c:v>3147</c:v>
                </c:pt>
                <c:pt idx="148">
                  <c:v>3148</c:v>
                </c:pt>
                <c:pt idx="149">
                  <c:v>3149</c:v>
                </c:pt>
                <c:pt idx="150">
                  <c:v>3150</c:v>
                </c:pt>
                <c:pt idx="151">
                  <c:v>3151</c:v>
                </c:pt>
                <c:pt idx="152">
                  <c:v>3152</c:v>
                </c:pt>
                <c:pt idx="153">
                  <c:v>3153</c:v>
                </c:pt>
                <c:pt idx="154">
                  <c:v>3154</c:v>
                </c:pt>
                <c:pt idx="155">
                  <c:v>3155</c:v>
                </c:pt>
                <c:pt idx="156">
                  <c:v>3156</c:v>
                </c:pt>
                <c:pt idx="157">
                  <c:v>3157</c:v>
                </c:pt>
                <c:pt idx="158">
                  <c:v>3158</c:v>
                </c:pt>
                <c:pt idx="159">
                  <c:v>3159</c:v>
                </c:pt>
                <c:pt idx="160">
                  <c:v>3160</c:v>
                </c:pt>
                <c:pt idx="161">
                  <c:v>3161</c:v>
                </c:pt>
                <c:pt idx="162">
                  <c:v>3162</c:v>
                </c:pt>
                <c:pt idx="163">
                  <c:v>3163</c:v>
                </c:pt>
                <c:pt idx="164">
                  <c:v>3164</c:v>
                </c:pt>
                <c:pt idx="165">
                  <c:v>3165</c:v>
                </c:pt>
                <c:pt idx="166">
                  <c:v>3166</c:v>
                </c:pt>
                <c:pt idx="167">
                  <c:v>3167</c:v>
                </c:pt>
                <c:pt idx="168">
                  <c:v>3168</c:v>
                </c:pt>
                <c:pt idx="169">
                  <c:v>3169</c:v>
                </c:pt>
                <c:pt idx="170">
                  <c:v>3170</c:v>
                </c:pt>
                <c:pt idx="171">
                  <c:v>3171</c:v>
                </c:pt>
                <c:pt idx="172">
                  <c:v>3172</c:v>
                </c:pt>
                <c:pt idx="173">
                  <c:v>3173</c:v>
                </c:pt>
                <c:pt idx="174">
                  <c:v>3174</c:v>
                </c:pt>
                <c:pt idx="175">
                  <c:v>3175</c:v>
                </c:pt>
                <c:pt idx="176">
                  <c:v>3176</c:v>
                </c:pt>
                <c:pt idx="177">
                  <c:v>3177</c:v>
                </c:pt>
                <c:pt idx="178">
                  <c:v>3178</c:v>
                </c:pt>
                <c:pt idx="179">
                  <c:v>3179</c:v>
                </c:pt>
                <c:pt idx="180">
                  <c:v>3180</c:v>
                </c:pt>
                <c:pt idx="181">
                  <c:v>3181</c:v>
                </c:pt>
                <c:pt idx="182">
                  <c:v>3182</c:v>
                </c:pt>
                <c:pt idx="183">
                  <c:v>3183</c:v>
                </c:pt>
                <c:pt idx="184">
                  <c:v>3184</c:v>
                </c:pt>
                <c:pt idx="185">
                  <c:v>3185</c:v>
                </c:pt>
                <c:pt idx="186">
                  <c:v>3186</c:v>
                </c:pt>
                <c:pt idx="187">
                  <c:v>3187</c:v>
                </c:pt>
                <c:pt idx="188">
                  <c:v>3188</c:v>
                </c:pt>
                <c:pt idx="189">
                  <c:v>3189</c:v>
                </c:pt>
                <c:pt idx="190">
                  <c:v>3190</c:v>
                </c:pt>
                <c:pt idx="191">
                  <c:v>3191</c:v>
                </c:pt>
                <c:pt idx="192">
                  <c:v>3192</c:v>
                </c:pt>
                <c:pt idx="193">
                  <c:v>3193</c:v>
                </c:pt>
                <c:pt idx="194">
                  <c:v>3194</c:v>
                </c:pt>
                <c:pt idx="195">
                  <c:v>3195</c:v>
                </c:pt>
                <c:pt idx="196">
                  <c:v>3196</c:v>
                </c:pt>
                <c:pt idx="197">
                  <c:v>3197</c:v>
                </c:pt>
                <c:pt idx="198">
                  <c:v>3198</c:v>
                </c:pt>
                <c:pt idx="199">
                  <c:v>3199</c:v>
                </c:pt>
                <c:pt idx="200">
                  <c:v>3200</c:v>
                </c:pt>
                <c:pt idx="201">
                  <c:v>3201</c:v>
                </c:pt>
                <c:pt idx="202">
                  <c:v>3202</c:v>
                </c:pt>
                <c:pt idx="203">
                  <c:v>3203</c:v>
                </c:pt>
                <c:pt idx="204">
                  <c:v>3204</c:v>
                </c:pt>
                <c:pt idx="205">
                  <c:v>3205</c:v>
                </c:pt>
                <c:pt idx="206">
                  <c:v>3206</c:v>
                </c:pt>
                <c:pt idx="207">
                  <c:v>3207</c:v>
                </c:pt>
                <c:pt idx="208">
                  <c:v>3208</c:v>
                </c:pt>
                <c:pt idx="209">
                  <c:v>3209</c:v>
                </c:pt>
                <c:pt idx="210">
                  <c:v>3210</c:v>
                </c:pt>
                <c:pt idx="211">
                  <c:v>3211</c:v>
                </c:pt>
                <c:pt idx="212">
                  <c:v>3212</c:v>
                </c:pt>
                <c:pt idx="213">
                  <c:v>3213</c:v>
                </c:pt>
                <c:pt idx="214">
                  <c:v>3214</c:v>
                </c:pt>
                <c:pt idx="215">
                  <c:v>3215</c:v>
                </c:pt>
                <c:pt idx="216">
                  <c:v>3216</c:v>
                </c:pt>
                <c:pt idx="217">
                  <c:v>3217</c:v>
                </c:pt>
                <c:pt idx="218">
                  <c:v>3218</c:v>
                </c:pt>
                <c:pt idx="219">
                  <c:v>3219</c:v>
                </c:pt>
                <c:pt idx="220">
                  <c:v>3220</c:v>
                </c:pt>
                <c:pt idx="221">
                  <c:v>3221</c:v>
                </c:pt>
                <c:pt idx="222">
                  <c:v>3222</c:v>
                </c:pt>
                <c:pt idx="223">
                  <c:v>3223</c:v>
                </c:pt>
                <c:pt idx="224">
                  <c:v>3224</c:v>
                </c:pt>
                <c:pt idx="225">
                  <c:v>3225</c:v>
                </c:pt>
                <c:pt idx="226">
                  <c:v>3226</c:v>
                </c:pt>
                <c:pt idx="227">
                  <c:v>3227</c:v>
                </c:pt>
                <c:pt idx="228">
                  <c:v>3228</c:v>
                </c:pt>
                <c:pt idx="229">
                  <c:v>3229</c:v>
                </c:pt>
                <c:pt idx="230">
                  <c:v>3230</c:v>
                </c:pt>
                <c:pt idx="231">
                  <c:v>3231</c:v>
                </c:pt>
                <c:pt idx="232">
                  <c:v>3232</c:v>
                </c:pt>
                <c:pt idx="233">
                  <c:v>3233</c:v>
                </c:pt>
                <c:pt idx="234">
                  <c:v>3234</c:v>
                </c:pt>
                <c:pt idx="235">
                  <c:v>3235</c:v>
                </c:pt>
                <c:pt idx="236">
                  <c:v>3236</c:v>
                </c:pt>
                <c:pt idx="237">
                  <c:v>3237</c:v>
                </c:pt>
                <c:pt idx="238">
                  <c:v>3238</c:v>
                </c:pt>
                <c:pt idx="239">
                  <c:v>3239</c:v>
                </c:pt>
                <c:pt idx="240">
                  <c:v>3240</c:v>
                </c:pt>
                <c:pt idx="241">
                  <c:v>3241</c:v>
                </c:pt>
                <c:pt idx="242">
                  <c:v>3242</c:v>
                </c:pt>
                <c:pt idx="243">
                  <c:v>3243</c:v>
                </c:pt>
                <c:pt idx="244">
                  <c:v>3244</c:v>
                </c:pt>
                <c:pt idx="245">
                  <c:v>3245</c:v>
                </c:pt>
                <c:pt idx="246">
                  <c:v>3246</c:v>
                </c:pt>
                <c:pt idx="247">
                  <c:v>3247</c:v>
                </c:pt>
                <c:pt idx="248">
                  <c:v>3248</c:v>
                </c:pt>
                <c:pt idx="249">
                  <c:v>3249</c:v>
                </c:pt>
                <c:pt idx="250">
                  <c:v>3250</c:v>
                </c:pt>
                <c:pt idx="251">
                  <c:v>3251</c:v>
                </c:pt>
                <c:pt idx="252">
                  <c:v>3252</c:v>
                </c:pt>
                <c:pt idx="253">
                  <c:v>3253</c:v>
                </c:pt>
                <c:pt idx="254">
                  <c:v>3254</c:v>
                </c:pt>
                <c:pt idx="255">
                  <c:v>3255</c:v>
                </c:pt>
                <c:pt idx="256">
                  <c:v>3256</c:v>
                </c:pt>
                <c:pt idx="257">
                  <c:v>3257</c:v>
                </c:pt>
                <c:pt idx="258">
                  <c:v>3258</c:v>
                </c:pt>
                <c:pt idx="259">
                  <c:v>3259</c:v>
                </c:pt>
                <c:pt idx="260">
                  <c:v>3260</c:v>
                </c:pt>
                <c:pt idx="261">
                  <c:v>3261</c:v>
                </c:pt>
                <c:pt idx="262">
                  <c:v>3262</c:v>
                </c:pt>
                <c:pt idx="263">
                  <c:v>3263</c:v>
                </c:pt>
                <c:pt idx="264">
                  <c:v>3264</c:v>
                </c:pt>
                <c:pt idx="265">
                  <c:v>3265</c:v>
                </c:pt>
                <c:pt idx="266">
                  <c:v>3266</c:v>
                </c:pt>
                <c:pt idx="267">
                  <c:v>3267</c:v>
                </c:pt>
                <c:pt idx="268">
                  <c:v>3268</c:v>
                </c:pt>
                <c:pt idx="269">
                  <c:v>3269</c:v>
                </c:pt>
                <c:pt idx="270">
                  <c:v>3270</c:v>
                </c:pt>
                <c:pt idx="271">
                  <c:v>3271</c:v>
                </c:pt>
                <c:pt idx="272">
                  <c:v>3272</c:v>
                </c:pt>
                <c:pt idx="273">
                  <c:v>3273</c:v>
                </c:pt>
                <c:pt idx="274">
                  <c:v>3274</c:v>
                </c:pt>
                <c:pt idx="275">
                  <c:v>3275</c:v>
                </c:pt>
                <c:pt idx="276">
                  <c:v>3276</c:v>
                </c:pt>
                <c:pt idx="277">
                  <c:v>3277</c:v>
                </c:pt>
                <c:pt idx="278">
                  <c:v>3278</c:v>
                </c:pt>
                <c:pt idx="279">
                  <c:v>3279</c:v>
                </c:pt>
                <c:pt idx="280">
                  <c:v>3280</c:v>
                </c:pt>
                <c:pt idx="281">
                  <c:v>3281</c:v>
                </c:pt>
                <c:pt idx="282">
                  <c:v>3282</c:v>
                </c:pt>
                <c:pt idx="283">
                  <c:v>3283</c:v>
                </c:pt>
                <c:pt idx="284">
                  <c:v>3284</c:v>
                </c:pt>
                <c:pt idx="285">
                  <c:v>3285</c:v>
                </c:pt>
                <c:pt idx="286">
                  <c:v>3286</c:v>
                </c:pt>
                <c:pt idx="287">
                  <c:v>3287</c:v>
                </c:pt>
                <c:pt idx="288">
                  <c:v>3288</c:v>
                </c:pt>
                <c:pt idx="289">
                  <c:v>3289</c:v>
                </c:pt>
                <c:pt idx="290">
                  <c:v>3290</c:v>
                </c:pt>
                <c:pt idx="291">
                  <c:v>3291</c:v>
                </c:pt>
                <c:pt idx="292">
                  <c:v>3292</c:v>
                </c:pt>
                <c:pt idx="293">
                  <c:v>3293</c:v>
                </c:pt>
                <c:pt idx="294">
                  <c:v>3294</c:v>
                </c:pt>
                <c:pt idx="295">
                  <c:v>3295</c:v>
                </c:pt>
                <c:pt idx="296">
                  <c:v>3296</c:v>
                </c:pt>
                <c:pt idx="297">
                  <c:v>3297</c:v>
                </c:pt>
                <c:pt idx="298">
                  <c:v>3298</c:v>
                </c:pt>
                <c:pt idx="299">
                  <c:v>3299</c:v>
                </c:pt>
                <c:pt idx="300">
                  <c:v>3300</c:v>
                </c:pt>
                <c:pt idx="301">
                  <c:v>3301</c:v>
                </c:pt>
                <c:pt idx="302">
                  <c:v>3302</c:v>
                </c:pt>
                <c:pt idx="303">
                  <c:v>3303</c:v>
                </c:pt>
                <c:pt idx="304">
                  <c:v>3304</c:v>
                </c:pt>
                <c:pt idx="305">
                  <c:v>3305</c:v>
                </c:pt>
                <c:pt idx="306">
                  <c:v>3306</c:v>
                </c:pt>
                <c:pt idx="307">
                  <c:v>3307</c:v>
                </c:pt>
                <c:pt idx="308">
                  <c:v>3308</c:v>
                </c:pt>
                <c:pt idx="309">
                  <c:v>3309</c:v>
                </c:pt>
                <c:pt idx="310">
                  <c:v>3310</c:v>
                </c:pt>
                <c:pt idx="311">
                  <c:v>3311</c:v>
                </c:pt>
                <c:pt idx="312">
                  <c:v>3312</c:v>
                </c:pt>
                <c:pt idx="313">
                  <c:v>3313</c:v>
                </c:pt>
                <c:pt idx="314">
                  <c:v>3314</c:v>
                </c:pt>
                <c:pt idx="315">
                  <c:v>3315</c:v>
                </c:pt>
                <c:pt idx="316">
                  <c:v>3316</c:v>
                </c:pt>
                <c:pt idx="317">
                  <c:v>3317</c:v>
                </c:pt>
                <c:pt idx="318">
                  <c:v>3318</c:v>
                </c:pt>
                <c:pt idx="319">
                  <c:v>3319</c:v>
                </c:pt>
                <c:pt idx="320">
                  <c:v>3320</c:v>
                </c:pt>
                <c:pt idx="321">
                  <c:v>3321</c:v>
                </c:pt>
                <c:pt idx="322">
                  <c:v>3322</c:v>
                </c:pt>
                <c:pt idx="323">
                  <c:v>3323</c:v>
                </c:pt>
                <c:pt idx="324">
                  <c:v>3324</c:v>
                </c:pt>
                <c:pt idx="325">
                  <c:v>3325</c:v>
                </c:pt>
                <c:pt idx="326">
                  <c:v>3326</c:v>
                </c:pt>
                <c:pt idx="327">
                  <c:v>3327</c:v>
                </c:pt>
                <c:pt idx="328">
                  <c:v>3328</c:v>
                </c:pt>
                <c:pt idx="329">
                  <c:v>3329</c:v>
                </c:pt>
                <c:pt idx="330">
                  <c:v>3330</c:v>
                </c:pt>
                <c:pt idx="331">
                  <c:v>3331</c:v>
                </c:pt>
                <c:pt idx="332">
                  <c:v>3332</c:v>
                </c:pt>
                <c:pt idx="333">
                  <c:v>3333</c:v>
                </c:pt>
                <c:pt idx="334">
                  <c:v>3334</c:v>
                </c:pt>
                <c:pt idx="335">
                  <c:v>3335</c:v>
                </c:pt>
                <c:pt idx="336">
                  <c:v>3336</c:v>
                </c:pt>
                <c:pt idx="337">
                  <c:v>3337</c:v>
                </c:pt>
                <c:pt idx="338">
                  <c:v>3338</c:v>
                </c:pt>
                <c:pt idx="339">
                  <c:v>3339</c:v>
                </c:pt>
                <c:pt idx="340">
                  <c:v>3340</c:v>
                </c:pt>
                <c:pt idx="341">
                  <c:v>3341</c:v>
                </c:pt>
                <c:pt idx="342">
                  <c:v>3342</c:v>
                </c:pt>
                <c:pt idx="343">
                  <c:v>3343</c:v>
                </c:pt>
                <c:pt idx="344">
                  <c:v>3344</c:v>
                </c:pt>
                <c:pt idx="345">
                  <c:v>3345</c:v>
                </c:pt>
                <c:pt idx="346">
                  <c:v>3346</c:v>
                </c:pt>
                <c:pt idx="347">
                  <c:v>3347</c:v>
                </c:pt>
                <c:pt idx="348">
                  <c:v>3348</c:v>
                </c:pt>
                <c:pt idx="349">
                  <c:v>3349</c:v>
                </c:pt>
                <c:pt idx="350">
                  <c:v>3350</c:v>
                </c:pt>
                <c:pt idx="351">
                  <c:v>3351</c:v>
                </c:pt>
                <c:pt idx="352">
                  <c:v>3352</c:v>
                </c:pt>
                <c:pt idx="353">
                  <c:v>3353</c:v>
                </c:pt>
                <c:pt idx="354">
                  <c:v>3354</c:v>
                </c:pt>
                <c:pt idx="355">
                  <c:v>3355</c:v>
                </c:pt>
                <c:pt idx="356">
                  <c:v>3356</c:v>
                </c:pt>
                <c:pt idx="357">
                  <c:v>3357</c:v>
                </c:pt>
                <c:pt idx="358">
                  <c:v>3358</c:v>
                </c:pt>
                <c:pt idx="359">
                  <c:v>3359</c:v>
                </c:pt>
                <c:pt idx="360">
                  <c:v>3360</c:v>
                </c:pt>
                <c:pt idx="361">
                  <c:v>3361</c:v>
                </c:pt>
                <c:pt idx="362">
                  <c:v>3362</c:v>
                </c:pt>
                <c:pt idx="363">
                  <c:v>3363</c:v>
                </c:pt>
                <c:pt idx="364">
                  <c:v>3364</c:v>
                </c:pt>
                <c:pt idx="365">
                  <c:v>3365</c:v>
                </c:pt>
                <c:pt idx="366">
                  <c:v>3366</c:v>
                </c:pt>
                <c:pt idx="367">
                  <c:v>3367</c:v>
                </c:pt>
                <c:pt idx="368">
                  <c:v>3368</c:v>
                </c:pt>
                <c:pt idx="369">
                  <c:v>3369</c:v>
                </c:pt>
                <c:pt idx="370">
                  <c:v>3370</c:v>
                </c:pt>
                <c:pt idx="371">
                  <c:v>3371</c:v>
                </c:pt>
                <c:pt idx="372">
                  <c:v>3372</c:v>
                </c:pt>
                <c:pt idx="373">
                  <c:v>3373</c:v>
                </c:pt>
                <c:pt idx="374">
                  <c:v>3374</c:v>
                </c:pt>
                <c:pt idx="375">
                  <c:v>3375</c:v>
                </c:pt>
                <c:pt idx="376">
                  <c:v>3376</c:v>
                </c:pt>
                <c:pt idx="377">
                  <c:v>3377</c:v>
                </c:pt>
                <c:pt idx="378">
                  <c:v>3378</c:v>
                </c:pt>
                <c:pt idx="379">
                  <c:v>3379</c:v>
                </c:pt>
                <c:pt idx="380">
                  <c:v>3380</c:v>
                </c:pt>
                <c:pt idx="381">
                  <c:v>3381</c:v>
                </c:pt>
                <c:pt idx="382">
                  <c:v>3382</c:v>
                </c:pt>
                <c:pt idx="383">
                  <c:v>3383</c:v>
                </c:pt>
                <c:pt idx="384">
                  <c:v>3384</c:v>
                </c:pt>
                <c:pt idx="385">
                  <c:v>3385</c:v>
                </c:pt>
                <c:pt idx="386">
                  <c:v>3386</c:v>
                </c:pt>
                <c:pt idx="387">
                  <c:v>3387</c:v>
                </c:pt>
                <c:pt idx="388">
                  <c:v>3388</c:v>
                </c:pt>
                <c:pt idx="389">
                  <c:v>3389</c:v>
                </c:pt>
                <c:pt idx="390">
                  <c:v>3390</c:v>
                </c:pt>
                <c:pt idx="391">
                  <c:v>3391</c:v>
                </c:pt>
                <c:pt idx="392">
                  <c:v>3392</c:v>
                </c:pt>
                <c:pt idx="393">
                  <c:v>3393</c:v>
                </c:pt>
                <c:pt idx="394">
                  <c:v>3394</c:v>
                </c:pt>
                <c:pt idx="395">
                  <c:v>3395</c:v>
                </c:pt>
                <c:pt idx="396">
                  <c:v>3396</c:v>
                </c:pt>
                <c:pt idx="397">
                  <c:v>3397</c:v>
                </c:pt>
                <c:pt idx="398">
                  <c:v>3398</c:v>
                </c:pt>
                <c:pt idx="399">
                  <c:v>3399</c:v>
                </c:pt>
                <c:pt idx="400">
                  <c:v>3400</c:v>
                </c:pt>
                <c:pt idx="401">
                  <c:v>3401</c:v>
                </c:pt>
                <c:pt idx="402">
                  <c:v>3402</c:v>
                </c:pt>
                <c:pt idx="403">
                  <c:v>3403</c:v>
                </c:pt>
                <c:pt idx="404">
                  <c:v>3404</c:v>
                </c:pt>
                <c:pt idx="405">
                  <c:v>3405</c:v>
                </c:pt>
                <c:pt idx="406">
                  <c:v>3406</c:v>
                </c:pt>
                <c:pt idx="407">
                  <c:v>3407</c:v>
                </c:pt>
                <c:pt idx="408">
                  <c:v>3408</c:v>
                </c:pt>
                <c:pt idx="409">
                  <c:v>3409</c:v>
                </c:pt>
                <c:pt idx="410">
                  <c:v>3410</c:v>
                </c:pt>
                <c:pt idx="411">
                  <c:v>3411</c:v>
                </c:pt>
                <c:pt idx="412">
                  <c:v>3412</c:v>
                </c:pt>
                <c:pt idx="413">
                  <c:v>3413</c:v>
                </c:pt>
                <c:pt idx="414">
                  <c:v>3414</c:v>
                </c:pt>
                <c:pt idx="415">
                  <c:v>3415</c:v>
                </c:pt>
                <c:pt idx="416">
                  <c:v>3416</c:v>
                </c:pt>
                <c:pt idx="417">
                  <c:v>3417</c:v>
                </c:pt>
                <c:pt idx="418">
                  <c:v>3418</c:v>
                </c:pt>
                <c:pt idx="419">
                  <c:v>3419</c:v>
                </c:pt>
                <c:pt idx="420">
                  <c:v>3420</c:v>
                </c:pt>
                <c:pt idx="421">
                  <c:v>3421</c:v>
                </c:pt>
                <c:pt idx="422">
                  <c:v>3422</c:v>
                </c:pt>
                <c:pt idx="423">
                  <c:v>3423</c:v>
                </c:pt>
                <c:pt idx="424">
                  <c:v>3424</c:v>
                </c:pt>
                <c:pt idx="425">
                  <c:v>3425</c:v>
                </c:pt>
                <c:pt idx="426">
                  <c:v>3426</c:v>
                </c:pt>
                <c:pt idx="427">
                  <c:v>3427</c:v>
                </c:pt>
                <c:pt idx="428">
                  <c:v>3428</c:v>
                </c:pt>
                <c:pt idx="429">
                  <c:v>3429</c:v>
                </c:pt>
                <c:pt idx="430">
                  <c:v>3430</c:v>
                </c:pt>
                <c:pt idx="431">
                  <c:v>3431</c:v>
                </c:pt>
                <c:pt idx="432">
                  <c:v>3432</c:v>
                </c:pt>
                <c:pt idx="433">
                  <c:v>3433</c:v>
                </c:pt>
                <c:pt idx="434">
                  <c:v>3434</c:v>
                </c:pt>
                <c:pt idx="435">
                  <c:v>3435</c:v>
                </c:pt>
                <c:pt idx="436">
                  <c:v>3436</c:v>
                </c:pt>
                <c:pt idx="437">
                  <c:v>3437</c:v>
                </c:pt>
                <c:pt idx="438">
                  <c:v>3438</c:v>
                </c:pt>
                <c:pt idx="439">
                  <c:v>3439</c:v>
                </c:pt>
                <c:pt idx="440">
                  <c:v>3440</c:v>
                </c:pt>
                <c:pt idx="441">
                  <c:v>3441</c:v>
                </c:pt>
                <c:pt idx="442">
                  <c:v>3442</c:v>
                </c:pt>
                <c:pt idx="443">
                  <c:v>3443</c:v>
                </c:pt>
                <c:pt idx="444">
                  <c:v>3444</c:v>
                </c:pt>
                <c:pt idx="445">
                  <c:v>3445</c:v>
                </c:pt>
                <c:pt idx="446">
                  <c:v>3446</c:v>
                </c:pt>
                <c:pt idx="447">
                  <c:v>3447</c:v>
                </c:pt>
                <c:pt idx="448">
                  <c:v>3448</c:v>
                </c:pt>
                <c:pt idx="449">
                  <c:v>3449</c:v>
                </c:pt>
                <c:pt idx="450">
                  <c:v>3450</c:v>
                </c:pt>
                <c:pt idx="451">
                  <c:v>3451</c:v>
                </c:pt>
                <c:pt idx="452">
                  <c:v>3452</c:v>
                </c:pt>
                <c:pt idx="453">
                  <c:v>3453</c:v>
                </c:pt>
                <c:pt idx="454">
                  <c:v>3454</c:v>
                </c:pt>
                <c:pt idx="455">
                  <c:v>3455</c:v>
                </c:pt>
                <c:pt idx="456">
                  <c:v>3456</c:v>
                </c:pt>
                <c:pt idx="457">
                  <c:v>3457</c:v>
                </c:pt>
                <c:pt idx="458">
                  <c:v>3458</c:v>
                </c:pt>
                <c:pt idx="459">
                  <c:v>3459</c:v>
                </c:pt>
                <c:pt idx="460">
                  <c:v>3460</c:v>
                </c:pt>
                <c:pt idx="461">
                  <c:v>3461</c:v>
                </c:pt>
                <c:pt idx="462">
                  <c:v>3462</c:v>
                </c:pt>
                <c:pt idx="463">
                  <c:v>3463</c:v>
                </c:pt>
                <c:pt idx="464">
                  <c:v>3464</c:v>
                </c:pt>
                <c:pt idx="465">
                  <c:v>3465</c:v>
                </c:pt>
                <c:pt idx="466">
                  <c:v>3466</c:v>
                </c:pt>
                <c:pt idx="467">
                  <c:v>3467</c:v>
                </c:pt>
                <c:pt idx="468">
                  <c:v>3468</c:v>
                </c:pt>
                <c:pt idx="469">
                  <c:v>3469</c:v>
                </c:pt>
                <c:pt idx="470">
                  <c:v>3470</c:v>
                </c:pt>
                <c:pt idx="471">
                  <c:v>3471</c:v>
                </c:pt>
                <c:pt idx="472">
                  <c:v>3472</c:v>
                </c:pt>
                <c:pt idx="473">
                  <c:v>3473</c:v>
                </c:pt>
                <c:pt idx="474">
                  <c:v>3474</c:v>
                </c:pt>
                <c:pt idx="475">
                  <c:v>3475</c:v>
                </c:pt>
                <c:pt idx="476">
                  <c:v>3476</c:v>
                </c:pt>
                <c:pt idx="477">
                  <c:v>3477</c:v>
                </c:pt>
                <c:pt idx="478">
                  <c:v>3478</c:v>
                </c:pt>
                <c:pt idx="479">
                  <c:v>3479</c:v>
                </c:pt>
                <c:pt idx="480">
                  <c:v>3480</c:v>
                </c:pt>
                <c:pt idx="481">
                  <c:v>3481</c:v>
                </c:pt>
                <c:pt idx="482">
                  <c:v>3482</c:v>
                </c:pt>
                <c:pt idx="483">
                  <c:v>3483</c:v>
                </c:pt>
                <c:pt idx="484">
                  <c:v>3484</c:v>
                </c:pt>
                <c:pt idx="485">
                  <c:v>3485</c:v>
                </c:pt>
                <c:pt idx="486">
                  <c:v>3486</c:v>
                </c:pt>
                <c:pt idx="487">
                  <c:v>3487</c:v>
                </c:pt>
                <c:pt idx="488">
                  <c:v>3488</c:v>
                </c:pt>
                <c:pt idx="489">
                  <c:v>3489</c:v>
                </c:pt>
                <c:pt idx="490">
                  <c:v>3490</c:v>
                </c:pt>
                <c:pt idx="491">
                  <c:v>3491</c:v>
                </c:pt>
                <c:pt idx="492">
                  <c:v>3492</c:v>
                </c:pt>
                <c:pt idx="493">
                  <c:v>3493</c:v>
                </c:pt>
                <c:pt idx="494">
                  <c:v>3494</c:v>
                </c:pt>
                <c:pt idx="495">
                  <c:v>3495</c:v>
                </c:pt>
                <c:pt idx="496">
                  <c:v>3496</c:v>
                </c:pt>
                <c:pt idx="497">
                  <c:v>3497</c:v>
                </c:pt>
                <c:pt idx="498">
                  <c:v>3498</c:v>
                </c:pt>
                <c:pt idx="499">
                  <c:v>3499</c:v>
                </c:pt>
                <c:pt idx="500">
                  <c:v>3500</c:v>
                </c:pt>
                <c:pt idx="501">
                  <c:v>3501</c:v>
                </c:pt>
                <c:pt idx="502">
                  <c:v>3502</c:v>
                </c:pt>
                <c:pt idx="503">
                  <c:v>3503</c:v>
                </c:pt>
                <c:pt idx="504">
                  <c:v>3504</c:v>
                </c:pt>
                <c:pt idx="505">
                  <c:v>3505</c:v>
                </c:pt>
                <c:pt idx="506">
                  <c:v>3506</c:v>
                </c:pt>
                <c:pt idx="507">
                  <c:v>3507</c:v>
                </c:pt>
                <c:pt idx="508">
                  <c:v>3508</c:v>
                </c:pt>
                <c:pt idx="509">
                  <c:v>3509</c:v>
                </c:pt>
                <c:pt idx="510">
                  <c:v>3510</c:v>
                </c:pt>
                <c:pt idx="511">
                  <c:v>3511</c:v>
                </c:pt>
                <c:pt idx="512">
                  <c:v>3512</c:v>
                </c:pt>
                <c:pt idx="513">
                  <c:v>3513</c:v>
                </c:pt>
                <c:pt idx="514">
                  <c:v>3514</c:v>
                </c:pt>
                <c:pt idx="515">
                  <c:v>3515</c:v>
                </c:pt>
                <c:pt idx="516">
                  <c:v>3516</c:v>
                </c:pt>
                <c:pt idx="517">
                  <c:v>3517</c:v>
                </c:pt>
                <c:pt idx="518">
                  <c:v>3518</c:v>
                </c:pt>
                <c:pt idx="519">
                  <c:v>3519</c:v>
                </c:pt>
                <c:pt idx="520">
                  <c:v>3520</c:v>
                </c:pt>
                <c:pt idx="521">
                  <c:v>3521</c:v>
                </c:pt>
                <c:pt idx="522">
                  <c:v>3522</c:v>
                </c:pt>
                <c:pt idx="523">
                  <c:v>3523</c:v>
                </c:pt>
                <c:pt idx="524">
                  <c:v>3524</c:v>
                </c:pt>
                <c:pt idx="525">
                  <c:v>3525</c:v>
                </c:pt>
                <c:pt idx="526">
                  <c:v>3526</c:v>
                </c:pt>
                <c:pt idx="527">
                  <c:v>3527</c:v>
                </c:pt>
                <c:pt idx="528">
                  <c:v>3528</c:v>
                </c:pt>
                <c:pt idx="529">
                  <c:v>3529</c:v>
                </c:pt>
                <c:pt idx="530">
                  <c:v>3530</c:v>
                </c:pt>
                <c:pt idx="531">
                  <c:v>3531</c:v>
                </c:pt>
                <c:pt idx="532">
                  <c:v>3532</c:v>
                </c:pt>
                <c:pt idx="533">
                  <c:v>3533</c:v>
                </c:pt>
                <c:pt idx="534">
                  <c:v>3534</c:v>
                </c:pt>
                <c:pt idx="535">
                  <c:v>3535</c:v>
                </c:pt>
                <c:pt idx="536">
                  <c:v>3536</c:v>
                </c:pt>
                <c:pt idx="537">
                  <c:v>3537</c:v>
                </c:pt>
                <c:pt idx="538">
                  <c:v>3538</c:v>
                </c:pt>
                <c:pt idx="539">
                  <c:v>3539</c:v>
                </c:pt>
                <c:pt idx="540">
                  <c:v>3540</c:v>
                </c:pt>
                <c:pt idx="541">
                  <c:v>3541</c:v>
                </c:pt>
                <c:pt idx="542">
                  <c:v>3542</c:v>
                </c:pt>
                <c:pt idx="543">
                  <c:v>3543</c:v>
                </c:pt>
                <c:pt idx="544">
                  <c:v>3544</c:v>
                </c:pt>
                <c:pt idx="545">
                  <c:v>3545</c:v>
                </c:pt>
                <c:pt idx="546">
                  <c:v>3546</c:v>
                </c:pt>
                <c:pt idx="547">
                  <c:v>3547</c:v>
                </c:pt>
                <c:pt idx="548">
                  <c:v>3548</c:v>
                </c:pt>
                <c:pt idx="549">
                  <c:v>3549</c:v>
                </c:pt>
                <c:pt idx="550">
                  <c:v>3550</c:v>
                </c:pt>
                <c:pt idx="551">
                  <c:v>3551</c:v>
                </c:pt>
                <c:pt idx="552">
                  <c:v>3552</c:v>
                </c:pt>
                <c:pt idx="553">
                  <c:v>3553</c:v>
                </c:pt>
                <c:pt idx="554">
                  <c:v>3554</c:v>
                </c:pt>
                <c:pt idx="555">
                  <c:v>3555</c:v>
                </c:pt>
                <c:pt idx="556">
                  <c:v>3556</c:v>
                </c:pt>
                <c:pt idx="557">
                  <c:v>3557</c:v>
                </c:pt>
                <c:pt idx="558">
                  <c:v>3558</c:v>
                </c:pt>
                <c:pt idx="559">
                  <c:v>3559</c:v>
                </c:pt>
                <c:pt idx="560">
                  <c:v>3560</c:v>
                </c:pt>
                <c:pt idx="561">
                  <c:v>3561</c:v>
                </c:pt>
                <c:pt idx="562">
                  <c:v>3562</c:v>
                </c:pt>
                <c:pt idx="563">
                  <c:v>3563</c:v>
                </c:pt>
                <c:pt idx="564">
                  <c:v>3564</c:v>
                </c:pt>
                <c:pt idx="565">
                  <c:v>3565</c:v>
                </c:pt>
                <c:pt idx="566">
                  <c:v>3566</c:v>
                </c:pt>
                <c:pt idx="567">
                  <c:v>3567</c:v>
                </c:pt>
                <c:pt idx="568">
                  <c:v>3568</c:v>
                </c:pt>
                <c:pt idx="569">
                  <c:v>3569</c:v>
                </c:pt>
                <c:pt idx="570">
                  <c:v>3570</c:v>
                </c:pt>
                <c:pt idx="571">
                  <c:v>3571</c:v>
                </c:pt>
                <c:pt idx="572">
                  <c:v>3572</c:v>
                </c:pt>
                <c:pt idx="573">
                  <c:v>3573</c:v>
                </c:pt>
                <c:pt idx="574">
                  <c:v>3574</c:v>
                </c:pt>
                <c:pt idx="575">
                  <c:v>3575</c:v>
                </c:pt>
                <c:pt idx="576">
                  <c:v>3576</c:v>
                </c:pt>
                <c:pt idx="577">
                  <c:v>3577</c:v>
                </c:pt>
                <c:pt idx="578">
                  <c:v>3578</c:v>
                </c:pt>
                <c:pt idx="579">
                  <c:v>3579</c:v>
                </c:pt>
                <c:pt idx="580">
                  <c:v>3580</c:v>
                </c:pt>
                <c:pt idx="581">
                  <c:v>3581</c:v>
                </c:pt>
                <c:pt idx="582">
                  <c:v>3582</c:v>
                </c:pt>
                <c:pt idx="583">
                  <c:v>3583</c:v>
                </c:pt>
                <c:pt idx="584">
                  <c:v>3584</c:v>
                </c:pt>
                <c:pt idx="585">
                  <c:v>3585</c:v>
                </c:pt>
                <c:pt idx="586">
                  <c:v>3586</c:v>
                </c:pt>
                <c:pt idx="587">
                  <c:v>3587</c:v>
                </c:pt>
                <c:pt idx="588">
                  <c:v>3588</c:v>
                </c:pt>
                <c:pt idx="589">
                  <c:v>3589</c:v>
                </c:pt>
                <c:pt idx="590">
                  <c:v>3590</c:v>
                </c:pt>
                <c:pt idx="591">
                  <c:v>3591</c:v>
                </c:pt>
                <c:pt idx="592">
                  <c:v>3592</c:v>
                </c:pt>
                <c:pt idx="593">
                  <c:v>3593</c:v>
                </c:pt>
                <c:pt idx="594">
                  <c:v>3594</c:v>
                </c:pt>
                <c:pt idx="595">
                  <c:v>3595</c:v>
                </c:pt>
                <c:pt idx="596">
                  <c:v>3596</c:v>
                </c:pt>
                <c:pt idx="597">
                  <c:v>3597</c:v>
                </c:pt>
                <c:pt idx="598">
                  <c:v>3598</c:v>
                </c:pt>
                <c:pt idx="599">
                  <c:v>3599</c:v>
                </c:pt>
                <c:pt idx="600">
                  <c:v>3600</c:v>
                </c:pt>
                <c:pt idx="601">
                  <c:v>3601</c:v>
                </c:pt>
                <c:pt idx="602">
                  <c:v>3602</c:v>
                </c:pt>
                <c:pt idx="603">
                  <c:v>3603</c:v>
                </c:pt>
                <c:pt idx="604">
                  <c:v>3604</c:v>
                </c:pt>
                <c:pt idx="605">
                  <c:v>3605</c:v>
                </c:pt>
                <c:pt idx="606">
                  <c:v>3606</c:v>
                </c:pt>
                <c:pt idx="607">
                  <c:v>3607</c:v>
                </c:pt>
                <c:pt idx="608">
                  <c:v>3608</c:v>
                </c:pt>
                <c:pt idx="609">
                  <c:v>3609</c:v>
                </c:pt>
                <c:pt idx="610">
                  <c:v>3610</c:v>
                </c:pt>
                <c:pt idx="611">
                  <c:v>3611</c:v>
                </c:pt>
                <c:pt idx="612">
                  <c:v>3612</c:v>
                </c:pt>
                <c:pt idx="613">
                  <c:v>3613</c:v>
                </c:pt>
                <c:pt idx="614">
                  <c:v>3614</c:v>
                </c:pt>
                <c:pt idx="615">
                  <c:v>3615</c:v>
                </c:pt>
                <c:pt idx="616">
                  <c:v>3616</c:v>
                </c:pt>
                <c:pt idx="617">
                  <c:v>3617</c:v>
                </c:pt>
                <c:pt idx="618">
                  <c:v>3618</c:v>
                </c:pt>
                <c:pt idx="619">
                  <c:v>3619</c:v>
                </c:pt>
                <c:pt idx="620">
                  <c:v>3620</c:v>
                </c:pt>
                <c:pt idx="621">
                  <c:v>3621</c:v>
                </c:pt>
                <c:pt idx="622">
                  <c:v>3622</c:v>
                </c:pt>
                <c:pt idx="623">
                  <c:v>3623</c:v>
                </c:pt>
                <c:pt idx="624">
                  <c:v>3624</c:v>
                </c:pt>
                <c:pt idx="625">
                  <c:v>3625</c:v>
                </c:pt>
                <c:pt idx="626">
                  <c:v>3626</c:v>
                </c:pt>
                <c:pt idx="627">
                  <c:v>3627</c:v>
                </c:pt>
                <c:pt idx="628">
                  <c:v>3628</c:v>
                </c:pt>
                <c:pt idx="629">
                  <c:v>3629</c:v>
                </c:pt>
                <c:pt idx="630">
                  <c:v>3630</c:v>
                </c:pt>
                <c:pt idx="631">
                  <c:v>3631</c:v>
                </c:pt>
                <c:pt idx="632">
                  <c:v>3632</c:v>
                </c:pt>
                <c:pt idx="633">
                  <c:v>3633</c:v>
                </c:pt>
                <c:pt idx="634">
                  <c:v>3634</c:v>
                </c:pt>
                <c:pt idx="635">
                  <c:v>3635</c:v>
                </c:pt>
                <c:pt idx="636">
                  <c:v>3636</c:v>
                </c:pt>
                <c:pt idx="637">
                  <c:v>3637</c:v>
                </c:pt>
                <c:pt idx="638">
                  <c:v>3638</c:v>
                </c:pt>
                <c:pt idx="639">
                  <c:v>3639</c:v>
                </c:pt>
                <c:pt idx="640">
                  <c:v>3640</c:v>
                </c:pt>
                <c:pt idx="641">
                  <c:v>3641</c:v>
                </c:pt>
                <c:pt idx="642">
                  <c:v>3642</c:v>
                </c:pt>
                <c:pt idx="643">
                  <c:v>3643</c:v>
                </c:pt>
                <c:pt idx="644">
                  <c:v>3644</c:v>
                </c:pt>
                <c:pt idx="645">
                  <c:v>3645</c:v>
                </c:pt>
                <c:pt idx="646">
                  <c:v>3646</c:v>
                </c:pt>
                <c:pt idx="647">
                  <c:v>3647</c:v>
                </c:pt>
                <c:pt idx="648">
                  <c:v>3648</c:v>
                </c:pt>
                <c:pt idx="649">
                  <c:v>3649</c:v>
                </c:pt>
                <c:pt idx="650">
                  <c:v>3650</c:v>
                </c:pt>
                <c:pt idx="651">
                  <c:v>3651</c:v>
                </c:pt>
                <c:pt idx="652">
                  <c:v>3652</c:v>
                </c:pt>
                <c:pt idx="653">
                  <c:v>3653</c:v>
                </c:pt>
                <c:pt idx="654">
                  <c:v>3654</c:v>
                </c:pt>
                <c:pt idx="655">
                  <c:v>3655</c:v>
                </c:pt>
                <c:pt idx="656">
                  <c:v>3656</c:v>
                </c:pt>
                <c:pt idx="657">
                  <c:v>3657</c:v>
                </c:pt>
                <c:pt idx="658">
                  <c:v>3658</c:v>
                </c:pt>
                <c:pt idx="659">
                  <c:v>3659</c:v>
                </c:pt>
                <c:pt idx="660">
                  <c:v>3660</c:v>
                </c:pt>
                <c:pt idx="661">
                  <c:v>3661</c:v>
                </c:pt>
                <c:pt idx="662">
                  <c:v>3662</c:v>
                </c:pt>
                <c:pt idx="663">
                  <c:v>3663</c:v>
                </c:pt>
                <c:pt idx="664">
                  <c:v>3664</c:v>
                </c:pt>
                <c:pt idx="665">
                  <c:v>3665</c:v>
                </c:pt>
                <c:pt idx="666">
                  <c:v>3666</c:v>
                </c:pt>
                <c:pt idx="667">
                  <c:v>3667</c:v>
                </c:pt>
                <c:pt idx="668">
                  <c:v>3668</c:v>
                </c:pt>
                <c:pt idx="669">
                  <c:v>3669</c:v>
                </c:pt>
                <c:pt idx="670">
                  <c:v>3670</c:v>
                </c:pt>
                <c:pt idx="671">
                  <c:v>3671</c:v>
                </c:pt>
                <c:pt idx="672">
                  <c:v>3672</c:v>
                </c:pt>
                <c:pt idx="673">
                  <c:v>3673</c:v>
                </c:pt>
                <c:pt idx="674">
                  <c:v>3674</c:v>
                </c:pt>
                <c:pt idx="675">
                  <c:v>3675</c:v>
                </c:pt>
                <c:pt idx="676">
                  <c:v>3676</c:v>
                </c:pt>
                <c:pt idx="677">
                  <c:v>3677</c:v>
                </c:pt>
                <c:pt idx="678">
                  <c:v>3678</c:v>
                </c:pt>
                <c:pt idx="679">
                  <c:v>3679</c:v>
                </c:pt>
                <c:pt idx="680">
                  <c:v>3680</c:v>
                </c:pt>
                <c:pt idx="681">
                  <c:v>3681</c:v>
                </c:pt>
                <c:pt idx="682">
                  <c:v>3682</c:v>
                </c:pt>
                <c:pt idx="683">
                  <c:v>3683</c:v>
                </c:pt>
                <c:pt idx="684">
                  <c:v>3684</c:v>
                </c:pt>
                <c:pt idx="685">
                  <c:v>3685</c:v>
                </c:pt>
                <c:pt idx="686">
                  <c:v>3686</c:v>
                </c:pt>
                <c:pt idx="687">
                  <c:v>3687</c:v>
                </c:pt>
                <c:pt idx="688">
                  <c:v>3688</c:v>
                </c:pt>
                <c:pt idx="689">
                  <c:v>3689</c:v>
                </c:pt>
                <c:pt idx="690">
                  <c:v>3690</c:v>
                </c:pt>
                <c:pt idx="691">
                  <c:v>3691</c:v>
                </c:pt>
                <c:pt idx="692">
                  <c:v>3692</c:v>
                </c:pt>
                <c:pt idx="693">
                  <c:v>3693</c:v>
                </c:pt>
                <c:pt idx="694">
                  <c:v>3694</c:v>
                </c:pt>
                <c:pt idx="695">
                  <c:v>3695</c:v>
                </c:pt>
                <c:pt idx="696">
                  <c:v>3696</c:v>
                </c:pt>
                <c:pt idx="697">
                  <c:v>3697</c:v>
                </c:pt>
                <c:pt idx="698">
                  <c:v>3698</c:v>
                </c:pt>
                <c:pt idx="699">
                  <c:v>3699</c:v>
                </c:pt>
                <c:pt idx="700">
                  <c:v>3700</c:v>
                </c:pt>
                <c:pt idx="701">
                  <c:v>3701</c:v>
                </c:pt>
                <c:pt idx="702">
                  <c:v>3702</c:v>
                </c:pt>
                <c:pt idx="703">
                  <c:v>3703</c:v>
                </c:pt>
                <c:pt idx="704">
                  <c:v>3704</c:v>
                </c:pt>
                <c:pt idx="705">
                  <c:v>3705</c:v>
                </c:pt>
                <c:pt idx="706">
                  <c:v>3706</c:v>
                </c:pt>
                <c:pt idx="707">
                  <c:v>3707</c:v>
                </c:pt>
                <c:pt idx="708">
                  <c:v>3708</c:v>
                </c:pt>
                <c:pt idx="709">
                  <c:v>3709</c:v>
                </c:pt>
                <c:pt idx="710">
                  <c:v>3710</c:v>
                </c:pt>
                <c:pt idx="711">
                  <c:v>3711</c:v>
                </c:pt>
                <c:pt idx="712">
                  <c:v>3712</c:v>
                </c:pt>
                <c:pt idx="713">
                  <c:v>3713</c:v>
                </c:pt>
                <c:pt idx="714">
                  <c:v>3714</c:v>
                </c:pt>
                <c:pt idx="715">
                  <c:v>3715</c:v>
                </c:pt>
                <c:pt idx="716">
                  <c:v>3716</c:v>
                </c:pt>
                <c:pt idx="717">
                  <c:v>3717</c:v>
                </c:pt>
                <c:pt idx="718">
                  <c:v>3718</c:v>
                </c:pt>
                <c:pt idx="719">
                  <c:v>3719</c:v>
                </c:pt>
                <c:pt idx="720">
                  <c:v>3720</c:v>
                </c:pt>
                <c:pt idx="721">
                  <c:v>3721</c:v>
                </c:pt>
                <c:pt idx="722">
                  <c:v>3722</c:v>
                </c:pt>
                <c:pt idx="723">
                  <c:v>3723</c:v>
                </c:pt>
                <c:pt idx="724">
                  <c:v>3724</c:v>
                </c:pt>
                <c:pt idx="725">
                  <c:v>3725</c:v>
                </c:pt>
                <c:pt idx="726">
                  <c:v>3726</c:v>
                </c:pt>
                <c:pt idx="727">
                  <c:v>3727</c:v>
                </c:pt>
                <c:pt idx="728">
                  <c:v>3728</c:v>
                </c:pt>
                <c:pt idx="729">
                  <c:v>3729</c:v>
                </c:pt>
                <c:pt idx="730">
                  <c:v>3730</c:v>
                </c:pt>
                <c:pt idx="731">
                  <c:v>3731</c:v>
                </c:pt>
                <c:pt idx="732">
                  <c:v>3732</c:v>
                </c:pt>
                <c:pt idx="733">
                  <c:v>3733</c:v>
                </c:pt>
                <c:pt idx="734">
                  <c:v>3734</c:v>
                </c:pt>
                <c:pt idx="735">
                  <c:v>3735</c:v>
                </c:pt>
                <c:pt idx="736">
                  <c:v>3736</c:v>
                </c:pt>
                <c:pt idx="737">
                  <c:v>3737</c:v>
                </c:pt>
                <c:pt idx="738">
                  <c:v>3738</c:v>
                </c:pt>
                <c:pt idx="739">
                  <c:v>3739</c:v>
                </c:pt>
                <c:pt idx="740">
                  <c:v>3740</c:v>
                </c:pt>
                <c:pt idx="741">
                  <c:v>3741</c:v>
                </c:pt>
                <c:pt idx="742">
                  <c:v>3742</c:v>
                </c:pt>
                <c:pt idx="743">
                  <c:v>3743</c:v>
                </c:pt>
                <c:pt idx="744">
                  <c:v>3744</c:v>
                </c:pt>
                <c:pt idx="745">
                  <c:v>3745</c:v>
                </c:pt>
                <c:pt idx="746">
                  <c:v>3746</c:v>
                </c:pt>
                <c:pt idx="747">
                  <c:v>3747</c:v>
                </c:pt>
                <c:pt idx="748">
                  <c:v>3748</c:v>
                </c:pt>
                <c:pt idx="749">
                  <c:v>3749</c:v>
                </c:pt>
                <c:pt idx="750">
                  <c:v>3750</c:v>
                </c:pt>
                <c:pt idx="751">
                  <c:v>3751</c:v>
                </c:pt>
                <c:pt idx="752">
                  <c:v>3752</c:v>
                </c:pt>
                <c:pt idx="753">
                  <c:v>3753</c:v>
                </c:pt>
                <c:pt idx="754">
                  <c:v>3754</c:v>
                </c:pt>
                <c:pt idx="755">
                  <c:v>3755</c:v>
                </c:pt>
                <c:pt idx="756">
                  <c:v>3756</c:v>
                </c:pt>
                <c:pt idx="757">
                  <c:v>3757</c:v>
                </c:pt>
                <c:pt idx="758">
                  <c:v>3758</c:v>
                </c:pt>
                <c:pt idx="759">
                  <c:v>3759</c:v>
                </c:pt>
                <c:pt idx="760">
                  <c:v>3760</c:v>
                </c:pt>
                <c:pt idx="761">
                  <c:v>3761</c:v>
                </c:pt>
                <c:pt idx="762">
                  <c:v>3762</c:v>
                </c:pt>
                <c:pt idx="763">
                  <c:v>3763</c:v>
                </c:pt>
                <c:pt idx="764">
                  <c:v>3764</c:v>
                </c:pt>
                <c:pt idx="765">
                  <c:v>3765</c:v>
                </c:pt>
                <c:pt idx="766">
                  <c:v>3766</c:v>
                </c:pt>
                <c:pt idx="767">
                  <c:v>3767</c:v>
                </c:pt>
                <c:pt idx="768">
                  <c:v>3768</c:v>
                </c:pt>
                <c:pt idx="769">
                  <c:v>3769</c:v>
                </c:pt>
                <c:pt idx="770">
                  <c:v>3770</c:v>
                </c:pt>
                <c:pt idx="771">
                  <c:v>3771</c:v>
                </c:pt>
                <c:pt idx="772">
                  <c:v>3772</c:v>
                </c:pt>
                <c:pt idx="773">
                  <c:v>3773</c:v>
                </c:pt>
                <c:pt idx="774">
                  <c:v>3774</c:v>
                </c:pt>
                <c:pt idx="775">
                  <c:v>3775</c:v>
                </c:pt>
                <c:pt idx="776">
                  <c:v>3776</c:v>
                </c:pt>
                <c:pt idx="777">
                  <c:v>3777</c:v>
                </c:pt>
                <c:pt idx="778">
                  <c:v>3778</c:v>
                </c:pt>
                <c:pt idx="779">
                  <c:v>3779</c:v>
                </c:pt>
                <c:pt idx="780">
                  <c:v>3780</c:v>
                </c:pt>
                <c:pt idx="781">
                  <c:v>3781</c:v>
                </c:pt>
                <c:pt idx="782">
                  <c:v>3782</c:v>
                </c:pt>
                <c:pt idx="783">
                  <c:v>3783</c:v>
                </c:pt>
                <c:pt idx="784">
                  <c:v>3784</c:v>
                </c:pt>
                <c:pt idx="785">
                  <c:v>3785</c:v>
                </c:pt>
                <c:pt idx="786">
                  <c:v>3786</c:v>
                </c:pt>
                <c:pt idx="787">
                  <c:v>3787</c:v>
                </c:pt>
                <c:pt idx="788">
                  <c:v>3788</c:v>
                </c:pt>
                <c:pt idx="789">
                  <c:v>3789</c:v>
                </c:pt>
                <c:pt idx="790">
                  <c:v>3790</c:v>
                </c:pt>
                <c:pt idx="791">
                  <c:v>3791</c:v>
                </c:pt>
                <c:pt idx="792">
                  <c:v>3792</c:v>
                </c:pt>
                <c:pt idx="793">
                  <c:v>3793</c:v>
                </c:pt>
                <c:pt idx="794">
                  <c:v>3794</c:v>
                </c:pt>
                <c:pt idx="795">
                  <c:v>3795</c:v>
                </c:pt>
                <c:pt idx="796">
                  <c:v>3796</c:v>
                </c:pt>
                <c:pt idx="797">
                  <c:v>3797</c:v>
                </c:pt>
                <c:pt idx="798">
                  <c:v>3798</c:v>
                </c:pt>
                <c:pt idx="799">
                  <c:v>3799</c:v>
                </c:pt>
                <c:pt idx="800">
                  <c:v>3800</c:v>
                </c:pt>
                <c:pt idx="801">
                  <c:v>3801</c:v>
                </c:pt>
                <c:pt idx="802">
                  <c:v>3802</c:v>
                </c:pt>
                <c:pt idx="803">
                  <c:v>3803</c:v>
                </c:pt>
                <c:pt idx="804">
                  <c:v>3804</c:v>
                </c:pt>
                <c:pt idx="805">
                  <c:v>3805</c:v>
                </c:pt>
                <c:pt idx="806">
                  <c:v>3806</c:v>
                </c:pt>
                <c:pt idx="807">
                  <c:v>3807</c:v>
                </c:pt>
                <c:pt idx="808">
                  <c:v>3808</c:v>
                </c:pt>
                <c:pt idx="809">
                  <c:v>3809</c:v>
                </c:pt>
                <c:pt idx="810">
                  <c:v>3810</c:v>
                </c:pt>
                <c:pt idx="811">
                  <c:v>3811</c:v>
                </c:pt>
                <c:pt idx="812">
                  <c:v>3812</c:v>
                </c:pt>
                <c:pt idx="813">
                  <c:v>3813</c:v>
                </c:pt>
                <c:pt idx="814">
                  <c:v>3814</c:v>
                </c:pt>
                <c:pt idx="815">
                  <c:v>3815</c:v>
                </c:pt>
                <c:pt idx="816">
                  <c:v>3816</c:v>
                </c:pt>
                <c:pt idx="817">
                  <c:v>3817</c:v>
                </c:pt>
                <c:pt idx="818">
                  <c:v>3818</c:v>
                </c:pt>
                <c:pt idx="819">
                  <c:v>3819</c:v>
                </c:pt>
                <c:pt idx="820">
                  <c:v>3820</c:v>
                </c:pt>
                <c:pt idx="821">
                  <c:v>3821</c:v>
                </c:pt>
                <c:pt idx="822">
                  <c:v>3822</c:v>
                </c:pt>
                <c:pt idx="823">
                  <c:v>3823</c:v>
                </c:pt>
                <c:pt idx="824">
                  <c:v>3824</c:v>
                </c:pt>
                <c:pt idx="825">
                  <c:v>3825</c:v>
                </c:pt>
                <c:pt idx="826">
                  <c:v>3826</c:v>
                </c:pt>
                <c:pt idx="827">
                  <c:v>3827</c:v>
                </c:pt>
                <c:pt idx="828">
                  <c:v>3828</c:v>
                </c:pt>
                <c:pt idx="829">
                  <c:v>3829</c:v>
                </c:pt>
                <c:pt idx="830">
                  <c:v>3830</c:v>
                </c:pt>
                <c:pt idx="831">
                  <c:v>3831</c:v>
                </c:pt>
                <c:pt idx="832">
                  <c:v>3832</c:v>
                </c:pt>
                <c:pt idx="833">
                  <c:v>3833</c:v>
                </c:pt>
                <c:pt idx="834">
                  <c:v>3834</c:v>
                </c:pt>
                <c:pt idx="835">
                  <c:v>3835</c:v>
                </c:pt>
                <c:pt idx="836">
                  <c:v>3836</c:v>
                </c:pt>
                <c:pt idx="837">
                  <c:v>3837</c:v>
                </c:pt>
                <c:pt idx="838">
                  <c:v>3838</c:v>
                </c:pt>
                <c:pt idx="839">
                  <c:v>3839</c:v>
                </c:pt>
                <c:pt idx="840">
                  <c:v>3840</c:v>
                </c:pt>
                <c:pt idx="841">
                  <c:v>3841</c:v>
                </c:pt>
                <c:pt idx="842">
                  <c:v>3842</c:v>
                </c:pt>
                <c:pt idx="843">
                  <c:v>3843</c:v>
                </c:pt>
                <c:pt idx="844">
                  <c:v>3844</c:v>
                </c:pt>
                <c:pt idx="845">
                  <c:v>3845</c:v>
                </c:pt>
                <c:pt idx="846">
                  <c:v>3846</c:v>
                </c:pt>
                <c:pt idx="847">
                  <c:v>3847</c:v>
                </c:pt>
                <c:pt idx="848">
                  <c:v>3848</c:v>
                </c:pt>
                <c:pt idx="849">
                  <c:v>3849</c:v>
                </c:pt>
                <c:pt idx="850">
                  <c:v>3850</c:v>
                </c:pt>
                <c:pt idx="851">
                  <c:v>3851</c:v>
                </c:pt>
                <c:pt idx="852">
                  <c:v>3852</c:v>
                </c:pt>
                <c:pt idx="853">
                  <c:v>3853</c:v>
                </c:pt>
                <c:pt idx="854">
                  <c:v>3854</c:v>
                </c:pt>
                <c:pt idx="855">
                  <c:v>3855</c:v>
                </c:pt>
                <c:pt idx="856">
                  <c:v>3856</c:v>
                </c:pt>
                <c:pt idx="857">
                  <c:v>3857</c:v>
                </c:pt>
                <c:pt idx="858">
                  <c:v>3858</c:v>
                </c:pt>
                <c:pt idx="859">
                  <c:v>3859</c:v>
                </c:pt>
                <c:pt idx="860">
                  <c:v>3860</c:v>
                </c:pt>
                <c:pt idx="861">
                  <c:v>3861</c:v>
                </c:pt>
                <c:pt idx="862">
                  <c:v>3862</c:v>
                </c:pt>
                <c:pt idx="863">
                  <c:v>3863</c:v>
                </c:pt>
                <c:pt idx="864">
                  <c:v>3864</c:v>
                </c:pt>
                <c:pt idx="865">
                  <c:v>3865</c:v>
                </c:pt>
                <c:pt idx="866">
                  <c:v>3866</c:v>
                </c:pt>
                <c:pt idx="867">
                  <c:v>3867</c:v>
                </c:pt>
                <c:pt idx="868">
                  <c:v>3868</c:v>
                </c:pt>
                <c:pt idx="869">
                  <c:v>3869</c:v>
                </c:pt>
                <c:pt idx="870">
                  <c:v>3870</c:v>
                </c:pt>
                <c:pt idx="871">
                  <c:v>3871</c:v>
                </c:pt>
                <c:pt idx="872">
                  <c:v>3872</c:v>
                </c:pt>
                <c:pt idx="873">
                  <c:v>3873</c:v>
                </c:pt>
                <c:pt idx="874">
                  <c:v>3874</c:v>
                </c:pt>
                <c:pt idx="875">
                  <c:v>3875</c:v>
                </c:pt>
                <c:pt idx="876">
                  <c:v>3876</c:v>
                </c:pt>
                <c:pt idx="877">
                  <c:v>3877</c:v>
                </c:pt>
                <c:pt idx="878">
                  <c:v>3878</c:v>
                </c:pt>
                <c:pt idx="879">
                  <c:v>3879</c:v>
                </c:pt>
                <c:pt idx="880">
                  <c:v>3880</c:v>
                </c:pt>
                <c:pt idx="881">
                  <c:v>3881</c:v>
                </c:pt>
                <c:pt idx="882">
                  <c:v>3882</c:v>
                </c:pt>
                <c:pt idx="883">
                  <c:v>3883</c:v>
                </c:pt>
                <c:pt idx="884">
                  <c:v>3884</c:v>
                </c:pt>
                <c:pt idx="885">
                  <c:v>3885</c:v>
                </c:pt>
                <c:pt idx="886">
                  <c:v>3886</c:v>
                </c:pt>
                <c:pt idx="887">
                  <c:v>3887</c:v>
                </c:pt>
                <c:pt idx="888">
                  <c:v>3888</c:v>
                </c:pt>
                <c:pt idx="889">
                  <c:v>3889</c:v>
                </c:pt>
                <c:pt idx="890">
                  <c:v>3890</c:v>
                </c:pt>
                <c:pt idx="891">
                  <c:v>3891</c:v>
                </c:pt>
                <c:pt idx="892">
                  <c:v>3892</c:v>
                </c:pt>
                <c:pt idx="893">
                  <c:v>3893</c:v>
                </c:pt>
                <c:pt idx="894">
                  <c:v>3894</c:v>
                </c:pt>
                <c:pt idx="895">
                  <c:v>3895</c:v>
                </c:pt>
                <c:pt idx="896">
                  <c:v>3896</c:v>
                </c:pt>
                <c:pt idx="897">
                  <c:v>3897</c:v>
                </c:pt>
                <c:pt idx="898">
                  <c:v>3898</c:v>
                </c:pt>
                <c:pt idx="899">
                  <c:v>3899</c:v>
                </c:pt>
                <c:pt idx="900">
                  <c:v>3900</c:v>
                </c:pt>
              </c:numCache>
            </c:numRef>
          </c:cat>
          <c:val>
            <c:numRef>
              <c:f>ESTRATEGIAS!$D$3043:$D$3943</c:f>
              <c:numCache>
                <c:formatCode>General</c:formatCode>
                <c:ptCount val="9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86-4047-ADB0-0160B8FDC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4437584"/>
        <c:axId val="404430920"/>
      </c:lineChart>
      <c:catAx>
        <c:axId val="40443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4430920"/>
        <c:crosses val="autoZero"/>
        <c:auto val="1"/>
        <c:lblAlgn val="ctr"/>
        <c:lblOffset val="100"/>
        <c:tickLblSkip val="50"/>
        <c:tickMarkSkip val="100"/>
        <c:noMultiLvlLbl val="0"/>
      </c:catAx>
      <c:valAx>
        <c:axId val="404430920"/>
        <c:scaling>
          <c:orientation val="minMax"/>
          <c:max val="100000"/>
          <c:min val="-10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4437584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38100</xdr:rowOff>
        </xdr:from>
        <xdr:to>
          <xdr:col>3</xdr:col>
          <xdr:colOff>295275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Copia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723898</xdr:colOff>
      <xdr:row>4</xdr:row>
      <xdr:rowOff>9525</xdr:rowOff>
    </xdr:from>
    <xdr:to>
      <xdr:col>25</xdr:col>
      <xdr:colOff>247649</xdr:colOff>
      <xdr:row>35</xdr:row>
      <xdr:rowOff>9525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formes-RD%20golf/TREA_backoffic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Definiciones"/>
    </sheetNames>
    <definedNames>
      <definedName name="d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name="Query SuperExcel" backgroundRefresh="0" fillFormulas="1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D_INSTRUMENTO"/>
      <queryTableField id="2" name="VALOR"/>
      <queryTableField id="3" name="TIPO_FONDO"/>
      <queryTableField id="4" name="COD_FONDO"/>
      <queryTableField id="5" name="FONDO"/>
      <queryTableField id="6" name="TITULOS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C2:W53"/>
  <sheetViews>
    <sheetView showGridLines="0" workbookViewId="0">
      <selection activeCell="F20" sqref="F20"/>
    </sheetView>
  </sheetViews>
  <sheetFormatPr baseColWidth="10" defaultRowHeight="15" x14ac:dyDescent="0.25"/>
  <cols>
    <col min="1" max="1" width="1.7109375" customWidth="1"/>
    <col min="2" max="2" width="1.85546875" customWidth="1"/>
    <col min="3" max="3" width="6" customWidth="1"/>
    <col min="4" max="4" width="30" customWidth="1"/>
    <col min="5" max="5" width="29" customWidth="1"/>
    <col min="6" max="6" width="15.28515625" customWidth="1"/>
    <col min="7" max="7" width="7.28515625" bestFit="1" customWidth="1"/>
    <col min="8" max="8" width="12.28515625" bestFit="1" customWidth="1"/>
    <col min="9" max="9" width="7.42578125" bestFit="1" customWidth="1"/>
    <col min="10" max="11" width="12.85546875" bestFit="1" customWidth="1"/>
    <col min="12" max="12" width="15" customWidth="1"/>
    <col min="13" max="13" width="12.28515625" bestFit="1" customWidth="1"/>
    <col min="14" max="14" width="9.5703125" bestFit="1" customWidth="1"/>
    <col min="15" max="15" width="10.42578125" bestFit="1" customWidth="1"/>
    <col min="16" max="16" width="10.42578125" customWidth="1"/>
    <col min="17" max="17" width="9.7109375" customWidth="1"/>
    <col min="23" max="23" width="11.85546875" bestFit="1" customWidth="1"/>
  </cols>
  <sheetData>
    <row r="2" spans="3:21" x14ac:dyDescent="0.25">
      <c r="E2" s="2">
        <v>44951</v>
      </c>
      <c r="F2" s="3">
        <f ca="1">TODAY()</f>
        <v>45196</v>
      </c>
    </row>
    <row r="3" spans="3:21" x14ac:dyDescent="0.25">
      <c r="F3" s="3">
        <f ca="1">WORKDAY(F2,-2)</f>
        <v>45194</v>
      </c>
      <c r="J3" s="176"/>
    </row>
    <row r="4" spans="3:21" ht="15.75" thickBot="1" x14ac:dyDescent="0.3">
      <c r="J4" s="179" t="s">
        <v>107</v>
      </c>
    </row>
    <row r="5" spans="3:21" x14ac:dyDescent="0.25">
      <c r="C5" s="4" t="s">
        <v>0</v>
      </c>
      <c r="E5" s="6" t="s">
        <v>1</v>
      </c>
      <c r="F5" s="183" t="s">
        <v>2</v>
      </c>
      <c r="H5" s="22" t="s">
        <v>6</v>
      </c>
      <c r="I5" s="22" t="s">
        <v>20</v>
      </c>
      <c r="J5" s="22" t="s">
        <v>21</v>
      </c>
      <c r="K5" s="23" t="s">
        <v>3</v>
      </c>
      <c r="P5" s="1"/>
    </row>
    <row r="6" spans="3:21" x14ac:dyDescent="0.25">
      <c r="C6" s="5"/>
      <c r="D6" s="160"/>
      <c r="E6" s="7"/>
      <c r="F6" s="185" t="s">
        <v>105</v>
      </c>
      <c r="G6" s="38"/>
      <c r="H6" s="28"/>
      <c r="I6" s="28"/>
      <c r="J6" s="186"/>
      <c r="K6" s="175"/>
      <c r="L6" s="29"/>
      <c r="M6" s="30"/>
      <c r="N6" s="181" t="s">
        <v>4</v>
      </c>
      <c r="O6" s="182" t="s">
        <v>5</v>
      </c>
      <c r="P6" s="189"/>
    </row>
    <row r="7" spans="3:21" x14ac:dyDescent="0.25">
      <c r="C7" s="5">
        <v>480</v>
      </c>
      <c r="D7" s="160" t="s">
        <v>108</v>
      </c>
      <c r="E7" s="7">
        <v>1402435.2849999999</v>
      </c>
      <c r="F7" s="7">
        <v>759563.77</v>
      </c>
      <c r="G7" s="38">
        <f>$F7/$E7</f>
        <v>0.54160343662488497</v>
      </c>
      <c r="H7" s="28">
        <f>1-$I7</f>
        <v>0.75643914664334244</v>
      </c>
      <c r="I7" s="28">
        <f>$J7/$F7</f>
        <v>0.24356085335665759</v>
      </c>
      <c r="J7" s="186">
        <v>185000</v>
      </c>
      <c r="K7" s="175" t="e">
        <f ca="1">$J7/$O$8</f>
        <v>#NAME?</v>
      </c>
      <c r="L7" s="31" t="s">
        <v>6</v>
      </c>
      <c r="M7" s="32"/>
      <c r="N7" s="32">
        <v>1</v>
      </c>
      <c r="O7" s="33">
        <v>1</v>
      </c>
    </row>
    <row r="8" spans="3:21" x14ac:dyDescent="0.25">
      <c r="C8" s="5">
        <v>447</v>
      </c>
      <c r="D8" s="160" t="s">
        <v>110</v>
      </c>
      <c r="E8" s="7">
        <v>37950546.770000003</v>
      </c>
      <c r="F8" s="7">
        <v>9940606.5999999996</v>
      </c>
      <c r="G8" s="38">
        <f>$F8/$E8</f>
        <v>0.26193579397538674</v>
      </c>
      <c r="H8" s="28">
        <f>1-$I8</f>
        <v>0.46683334194112458</v>
      </c>
      <c r="I8" s="28">
        <f>$J8/$F8</f>
        <v>0.53316665805887542</v>
      </c>
      <c r="J8" s="186">
        <v>5300000</v>
      </c>
      <c r="K8" s="175" t="e">
        <f ca="1">$J8/$O$8</f>
        <v>#NAME?</v>
      </c>
      <c r="L8" s="31" t="s">
        <v>7</v>
      </c>
      <c r="M8" s="32" t="s">
        <v>8</v>
      </c>
      <c r="N8" s="32" t="e">
        <f ca="1">_xll.BDP(M8,"last_price")</f>
        <v>#NAME?</v>
      </c>
      <c r="O8" s="33" t="e">
        <f ca="1">_xll.BDP(M8,"Px Close 1d")</f>
        <v>#NAME?</v>
      </c>
      <c r="P8" s="8"/>
      <c r="Q8" s="1"/>
    </row>
    <row r="9" spans="3:21" x14ac:dyDescent="0.25">
      <c r="C9" s="5">
        <v>437</v>
      </c>
      <c r="D9" s="160" t="s">
        <v>111</v>
      </c>
      <c r="E9" s="7">
        <v>16702289.16</v>
      </c>
      <c r="F9" s="7">
        <v>13070735.390000001</v>
      </c>
      <c r="G9" s="38">
        <f>$F9/$E9</f>
        <v>0.78257149452919661</v>
      </c>
      <c r="H9" s="28">
        <f>1-$I9</f>
        <v>0.49582025774603344</v>
      </c>
      <c r="I9" s="28">
        <f>$J9/$F9</f>
        <v>0.50417974225396656</v>
      </c>
      <c r="J9" s="186">
        <v>6590000</v>
      </c>
      <c r="K9" s="175" t="e">
        <f ca="1">$J9/$O$8</f>
        <v>#NAME?</v>
      </c>
      <c r="L9" s="31" t="s">
        <v>9</v>
      </c>
      <c r="M9" s="32" t="s">
        <v>10</v>
      </c>
      <c r="N9" s="32" t="e">
        <f ca="1">_xll.BDP(M9,"last_price")</f>
        <v>#NAME?</v>
      </c>
      <c r="O9" s="33" t="e">
        <f ca="1">_xll.BDP(M9,"Px Close 1d")</f>
        <v>#NAME?</v>
      </c>
      <c r="P9" s="8"/>
      <c r="Q9" s="1"/>
    </row>
    <row r="10" spans="3:21" x14ac:dyDescent="0.25">
      <c r="C10" s="5">
        <v>485</v>
      </c>
      <c r="D10" s="160" t="s">
        <v>109</v>
      </c>
      <c r="E10" s="7">
        <v>7280257.9900000002</v>
      </c>
      <c r="F10" s="7">
        <v>6097720.4199999999</v>
      </c>
      <c r="G10" s="38">
        <f>$F10/$E10</f>
        <v>0.83756927685470661</v>
      </c>
      <c r="H10" s="28">
        <f>1-$I10</f>
        <v>0.48341350815818473</v>
      </c>
      <c r="I10" s="28">
        <f>$J10/$F10</f>
        <v>0.51658649184181527</v>
      </c>
      <c r="J10" s="186">
        <v>3150000</v>
      </c>
      <c r="K10" s="175" t="e">
        <f ca="1">$J10/$O$8</f>
        <v>#NAME?</v>
      </c>
      <c r="L10" s="31" t="s">
        <v>11</v>
      </c>
      <c r="M10" s="32" t="s">
        <v>12</v>
      </c>
      <c r="N10" s="32" t="e">
        <f ca="1">_xll.BDP(M10,"last_price")</f>
        <v>#NAME?</v>
      </c>
      <c r="O10" s="33" t="e">
        <f ca="1">_xll.BDP(M10,"Px Close 1d")</f>
        <v>#NAME?</v>
      </c>
      <c r="P10" s="8"/>
      <c r="Q10" s="1"/>
    </row>
    <row r="11" spans="3:21" ht="15.75" thickBot="1" x14ac:dyDescent="0.3">
      <c r="C11" s="5"/>
      <c r="D11" s="160"/>
      <c r="E11" s="7"/>
      <c r="F11" s="7"/>
      <c r="G11" s="38"/>
      <c r="H11" s="28"/>
      <c r="I11" s="28"/>
      <c r="J11" s="175"/>
      <c r="K11" s="175"/>
      <c r="L11" s="34" t="s">
        <v>13</v>
      </c>
      <c r="M11" s="35" t="s">
        <v>14</v>
      </c>
      <c r="N11" s="35" t="e">
        <f ca="1">_xll.BDP(M11,"last_price")</f>
        <v>#NAME?</v>
      </c>
      <c r="O11" s="36" t="e">
        <f ca="1">_xll.BDP(M11,"Px Close 1d")</f>
        <v>#NAME?</v>
      </c>
      <c r="P11" s="8"/>
    </row>
    <row r="12" spans="3:21" ht="15.75" thickBot="1" x14ac:dyDescent="0.3">
      <c r="G12" s="205"/>
      <c r="I12" s="208"/>
      <c r="J12" s="203" t="e">
        <f ca="1">_xll.BDP($F$13,$K$12)</f>
        <v>#NAME?</v>
      </c>
      <c r="K12" s="206" t="s">
        <v>115</v>
      </c>
      <c r="M12" s="32"/>
      <c r="P12" t="s">
        <v>120</v>
      </c>
    </row>
    <row r="13" spans="3:21" ht="14.25" customHeight="1" thickTop="1" thickBot="1" x14ac:dyDescent="0.3">
      <c r="D13" s="195"/>
      <c r="E13" s="117" t="s">
        <v>102</v>
      </c>
      <c r="F13" s="10" t="s">
        <v>121</v>
      </c>
      <c r="G13" s="207"/>
      <c r="H13" s="14" t="e">
        <f ca="1">_xll.BDP(F13,"last_price")</f>
        <v>#NAME?</v>
      </c>
      <c r="I13" s="208"/>
      <c r="J13" s="204" t="e">
        <f ca="1">_xll.BDP(F13,$K$13)</f>
        <v>#NAME?</v>
      </c>
      <c r="K13" s="206" t="s">
        <v>116</v>
      </c>
      <c r="L13" s="32"/>
      <c r="N13" s="9"/>
    </row>
    <row r="14" spans="3:21" ht="15.75" thickTop="1" x14ac:dyDescent="0.25">
      <c r="D14" s="195"/>
      <c r="E14" s="180" t="e">
        <f ca="1">H13-H14</f>
        <v>#NAME?</v>
      </c>
      <c r="F14" s="20" t="s">
        <v>19</v>
      </c>
      <c r="H14" s="18">
        <v>4375</v>
      </c>
      <c r="I14">
        <v>10</v>
      </c>
      <c r="J14" s="116"/>
      <c r="K14" s="15"/>
    </row>
    <row r="15" spans="3:21" ht="15" customHeight="1" x14ac:dyDescent="0.25">
      <c r="F15" s="20" t="s">
        <v>15</v>
      </c>
      <c r="G15" s="11"/>
      <c r="H15" s="19" t="e">
        <f ca="1">_xll.BDP(F13,"PX_YEST_CLOSE")</f>
        <v>#NAME?</v>
      </c>
    </row>
    <row r="16" spans="3:21" x14ac:dyDescent="0.25">
      <c r="F16" s="20" t="s">
        <v>16</v>
      </c>
      <c r="G16" s="11"/>
      <c r="H16" s="21" t="e">
        <f ca="1">10*H13</f>
        <v>#NAME?</v>
      </c>
      <c r="U16" s="10" t="s">
        <v>97</v>
      </c>
    </row>
    <row r="17" spans="3:23" x14ac:dyDescent="0.25">
      <c r="F17" s="20" t="s">
        <v>17</v>
      </c>
      <c r="G17" s="11"/>
      <c r="H17" s="21" t="e">
        <f ca="1">_xll.BDP(F13,"FUT_INIT_SPEC_ML")</f>
        <v>#NAME?</v>
      </c>
      <c r="J17" s="176" t="s">
        <v>100</v>
      </c>
      <c r="L17" s="168" t="s">
        <v>84</v>
      </c>
      <c r="N17" s="168" t="s">
        <v>101</v>
      </c>
      <c r="O17" s="193"/>
      <c r="P17" s="193"/>
      <c r="U17" s="10" t="s">
        <v>98</v>
      </c>
    </row>
    <row r="18" spans="3:23" ht="15.75" thickBot="1" x14ac:dyDescent="0.3">
      <c r="F18" s="6" t="s">
        <v>3</v>
      </c>
      <c r="G18" s="16"/>
      <c r="H18" s="16"/>
      <c r="I18" s="25">
        <v>1</v>
      </c>
      <c r="J18" s="179" t="s">
        <v>30</v>
      </c>
      <c r="L18" s="168" t="s">
        <v>85</v>
      </c>
      <c r="M18" s="184" t="s">
        <v>104</v>
      </c>
      <c r="N18" s="168" t="s">
        <v>87</v>
      </c>
      <c r="O18" s="166" t="s">
        <v>86</v>
      </c>
      <c r="P18" s="170" t="s">
        <v>88</v>
      </c>
      <c r="Q18" s="170" t="s">
        <v>89</v>
      </c>
      <c r="R18" s="170" t="s">
        <v>17</v>
      </c>
      <c r="S18" s="172" t="s">
        <v>90</v>
      </c>
      <c r="T18" s="167" t="s">
        <v>91</v>
      </c>
      <c r="U18" s="167" t="s">
        <v>92</v>
      </c>
      <c r="V18" s="1">
        <v>1</v>
      </c>
      <c r="W18" s="1"/>
    </row>
    <row r="19" spans="3:23" x14ac:dyDescent="0.25">
      <c r="C19">
        <f>$C7</f>
        <v>480</v>
      </c>
      <c r="D19" s="160" t="s">
        <v>108</v>
      </c>
      <c r="E19" s="121" t="s">
        <v>108</v>
      </c>
      <c r="F19" s="8" t="e">
        <f ca="1">F7-K7</f>
        <v>#NAME?</v>
      </c>
      <c r="G19" s="1">
        <v>11</v>
      </c>
      <c r="H19" s="15" t="e">
        <f ca="1">($I19*($I$14*$H$13)/$F19)</f>
        <v>#NAME?</v>
      </c>
      <c r="I19" s="26">
        <v>14</v>
      </c>
      <c r="J19" s="177">
        <v>-4</v>
      </c>
      <c r="K19" s="187" t="e">
        <f ca="1">($J19*($I$14*$H$14)/$F19)</f>
        <v>#NAME?</v>
      </c>
      <c r="L19" s="164" t="e">
        <f ca="1">$F19</f>
        <v>#NAME?</v>
      </c>
      <c r="M19" s="164">
        <v>1396422.71</v>
      </c>
      <c r="N19" s="165" t="e">
        <f ca="1">($J19*($I$14*$H$42)/$L19)</f>
        <v>#NAME?</v>
      </c>
      <c r="O19" s="169" t="e">
        <f ca="1">$J19*($H$13-$H$14)*$I$14</f>
        <v>#NAME?</v>
      </c>
      <c r="P19" s="169" t="e">
        <f ca="1">$J19*($H$13-$H$15)*$I$14</f>
        <v>#NAME?</v>
      </c>
      <c r="Q19" s="171" t="e">
        <f ca="1">$O19/$M19</f>
        <v>#NAME?</v>
      </c>
      <c r="R19" s="196" t="e">
        <f ca="1">J19*$H$17</f>
        <v>#NAME?</v>
      </c>
      <c r="S19" s="173" t="e">
        <f ca="1">$P19/$M19</f>
        <v>#NAME?</v>
      </c>
      <c r="T19" s="173" t="e">
        <f ca="1">Q19+S19</f>
        <v>#NAME?</v>
      </c>
      <c r="U19" s="174" t="s">
        <v>93</v>
      </c>
      <c r="V19" s="1">
        <f>J19/$V$18</f>
        <v>-4</v>
      </c>
      <c r="W19" s="1">
        <v>-2</v>
      </c>
    </row>
    <row r="20" spans="3:23" x14ac:dyDescent="0.25">
      <c r="C20">
        <f>$C8</f>
        <v>447</v>
      </c>
      <c r="D20" s="160" t="s">
        <v>110</v>
      </c>
      <c r="E20" s="121" t="s">
        <v>110</v>
      </c>
      <c r="F20" s="8" t="e">
        <f ca="1">F8-K8</f>
        <v>#NAME?</v>
      </c>
      <c r="G20" s="1">
        <v>25</v>
      </c>
      <c r="H20" s="15" t="e">
        <f ca="1">($I20*($I$14*$H$13)/$F20)</f>
        <v>#NAME?</v>
      </c>
      <c r="I20" s="26">
        <v>122</v>
      </c>
      <c r="J20" s="177">
        <v>-20</v>
      </c>
      <c r="K20" s="187" t="e">
        <f ca="1">($J20*($I$14*$H$14)/$F20)</f>
        <v>#NAME?</v>
      </c>
      <c r="L20" s="164" t="e">
        <f ca="1">$F20</f>
        <v>#NAME?</v>
      </c>
      <c r="M20" s="164">
        <v>37950546.770000003</v>
      </c>
      <c r="N20" s="165" t="e">
        <f ca="1">($J20*($I$14*$H$42)/$L20)</f>
        <v>#NAME?</v>
      </c>
      <c r="O20" s="169" t="e">
        <f ca="1">$J20*($H$13-$H$14)*$I$14</f>
        <v>#NAME?</v>
      </c>
      <c r="P20" s="169" t="e">
        <f ca="1">$J20*($H$13-$H$15)*$I$14</f>
        <v>#NAME?</v>
      </c>
      <c r="Q20" s="171" t="e">
        <f ca="1">$O20/$M20</f>
        <v>#NAME?</v>
      </c>
      <c r="R20" s="196" t="e">
        <f ca="1">J20*$H$17</f>
        <v>#NAME?</v>
      </c>
      <c r="S20" s="173" t="e">
        <f ca="1">$P20/$M20</f>
        <v>#NAME?</v>
      </c>
      <c r="T20" s="173" t="e">
        <f ca="1">Q20+S20</f>
        <v>#NAME?</v>
      </c>
      <c r="U20" s="174" t="s">
        <v>94</v>
      </c>
      <c r="V20" s="1">
        <f>J20/$V$18</f>
        <v>-20</v>
      </c>
      <c r="W20" s="1">
        <v>-16</v>
      </c>
    </row>
    <row r="21" spans="3:23" x14ac:dyDescent="0.25">
      <c r="C21">
        <f>$C9</f>
        <v>437</v>
      </c>
      <c r="D21" s="160" t="s">
        <v>111</v>
      </c>
      <c r="E21" s="121" t="s">
        <v>111</v>
      </c>
      <c r="F21" s="8" t="e">
        <f ca="1">F9-K9</f>
        <v>#NAME?</v>
      </c>
      <c r="G21" s="1">
        <v>180</v>
      </c>
      <c r="H21" s="15" t="e">
        <f ca="1">($I21*($I$14*$H$13)/$F21)</f>
        <v>#NAME?</v>
      </c>
      <c r="I21" s="26">
        <v>168</v>
      </c>
      <c r="J21" s="177">
        <v>-46</v>
      </c>
      <c r="K21" s="187" t="e">
        <f ca="1">($J21*($I$14*$H$14)/$F21)</f>
        <v>#NAME?</v>
      </c>
      <c r="L21" s="164" t="e">
        <f ca="1">$F21</f>
        <v>#NAME?</v>
      </c>
      <c r="M21" s="164">
        <v>16702289.16</v>
      </c>
      <c r="N21" s="165" t="e">
        <f ca="1">($J21*($I$14*$H$42)/$L21)</f>
        <v>#NAME?</v>
      </c>
      <c r="O21" s="169" t="e">
        <f ca="1">$J21*($H$13-$H$14)*$I$14</f>
        <v>#NAME?</v>
      </c>
      <c r="P21" s="169" t="e">
        <f ca="1">$J21*($H$13-$H$15)*$I$14</f>
        <v>#NAME?</v>
      </c>
      <c r="Q21" s="171" t="e">
        <f ca="1">$O21/$M21</f>
        <v>#NAME?</v>
      </c>
      <c r="R21" s="196" t="e">
        <f ca="1">J21*$H$17</f>
        <v>#NAME?</v>
      </c>
      <c r="S21" s="173" t="e">
        <f ca="1">$P21/$M21</f>
        <v>#NAME?</v>
      </c>
      <c r="T21" s="173" t="e">
        <f ca="1">Q21+S21</f>
        <v>#NAME?</v>
      </c>
      <c r="U21" s="174" t="s">
        <v>95</v>
      </c>
      <c r="V21" s="1">
        <f>J21/$V$18</f>
        <v>-46</v>
      </c>
      <c r="W21" s="1">
        <v>-23</v>
      </c>
    </row>
    <row r="22" spans="3:23" x14ac:dyDescent="0.25">
      <c r="C22">
        <f>$C10</f>
        <v>485</v>
      </c>
      <c r="D22" s="160" t="s">
        <v>109</v>
      </c>
      <c r="E22" s="121" t="s">
        <v>109</v>
      </c>
      <c r="F22" s="8" t="e">
        <f ca="1">F10-K10</f>
        <v>#NAME?</v>
      </c>
      <c r="G22" s="1">
        <v>116</v>
      </c>
      <c r="H22" s="15" t="e">
        <f ca="1">($I22*($I$14*$H$13)/$F22)</f>
        <v>#NAME?</v>
      </c>
      <c r="I22" s="26">
        <v>76</v>
      </c>
      <c r="J22" s="177">
        <v>0</v>
      </c>
      <c r="K22" s="187" t="e">
        <f ca="1">($J22*($I$14*$H$14)/$F22)</f>
        <v>#NAME?</v>
      </c>
      <c r="L22" s="164" t="e">
        <f ca="1">$F22</f>
        <v>#NAME?</v>
      </c>
      <c r="M22" s="164">
        <v>7246337.7599999998</v>
      </c>
      <c r="N22" s="165" t="e">
        <f ca="1">($J22*($I$14*$H$42)/$L22)</f>
        <v>#NAME?</v>
      </c>
      <c r="O22" s="169" t="e">
        <f ca="1">$J22*($H$13-$H$14)*$I$14</f>
        <v>#NAME?</v>
      </c>
      <c r="P22" s="169" t="e">
        <f ca="1">$J22*($H$13-$H$15)*$I$14</f>
        <v>#NAME?</v>
      </c>
      <c r="Q22" s="171" t="e">
        <f ca="1">$O22/$M22</f>
        <v>#NAME?</v>
      </c>
      <c r="R22" s="196" t="e">
        <f ca="1">J22*$H$17</f>
        <v>#NAME?</v>
      </c>
      <c r="S22" s="173" t="e">
        <f ca="1">$P22/$M22</f>
        <v>#NAME?</v>
      </c>
      <c r="T22" s="173" t="e">
        <f ca="1">Q22+S22</f>
        <v>#NAME?</v>
      </c>
      <c r="U22" s="174" t="s">
        <v>96</v>
      </c>
      <c r="V22" s="1">
        <f>J22/$V$18</f>
        <v>0</v>
      </c>
      <c r="W22" s="1">
        <v>-13</v>
      </c>
    </row>
    <row r="23" spans="3:23" ht="15.75" thickBot="1" x14ac:dyDescent="0.3">
      <c r="E23" s="121"/>
      <c r="F23" s="8"/>
      <c r="G23" s="17"/>
      <c r="H23" s="24"/>
      <c r="I23" s="25"/>
      <c r="J23" s="178"/>
      <c r="K23" s="188"/>
      <c r="L23" s="164"/>
      <c r="M23" s="164"/>
      <c r="N23" s="165"/>
      <c r="O23" s="169"/>
      <c r="P23" s="169"/>
      <c r="Q23" s="171"/>
      <c r="R23" s="169"/>
      <c r="S23" s="173"/>
      <c r="T23" s="173"/>
      <c r="U23" s="174"/>
      <c r="V23" s="1">
        <f>SUM(V19:V22)</f>
        <v>-70</v>
      </c>
      <c r="W23" s="1">
        <f>SUM(W19:W22)</f>
        <v>-54</v>
      </c>
    </row>
    <row r="24" spans="3:23" x14ac:dyDescent="0.25">
      <c r="F24" s="8"/>
      <c r="G24" s="1">
        <f>SUM(G19:G23)</f>
        <v>332</v>
      </c>
      <c r="H24" s="15"/>
      <c r="I24" s="26">
        <f>SUM(I19:I23)</f>
        <v>380</v>
      </c>
      <c r="J24" s="1">
        <f>SUM(J19:J23)</f>
        <v>-70</v>
      </c>
      <c r="N24" s="12"/>
      <c r="W24" s="1"/>
    </row>
    <row r="25" spans="3:23" ht="15.75" thickBot="1" x14ac:dyDescent="0.3">
      <c r="J25" s="202"/>
      <c r="W25" s="1"/>
    </row>
    <row r="26" spans="3:23" ht="15.75" thickBot="1" x14ac:dyDescent="0.3">
      <c r="G26" s="205"/>
      <c r="I26" s="208"/>
      <c r="J26" s="203" t="e">
        <f ca="1">_xll.BDP($F$27,K26)</f>
        <v>#NAME?</v>
      </c>
      <c r="K26" s="206" t="s">
        <v>115</v>
      </c>
      <c r="W26" s="1"/>
    </row>
    <row r="27" spans="3:23" ht="16.5" thickTop="1" thickBot="1" x14ac:dyDescent="0.3">
      <c r="D27" s="195"/>
      <c r="E27" s="117" t="s">
        <v>106</v>
      </c>
      <c r="F27" s="10" t="s">
        <v>122</v>
      </c>
      <c r="G27" s="207"/>
      <c r="H27" s="14" t="e">
        <f ca="1">_xll.BDP(F27,"last_price")</f>
        <v>#NAME?</v>
      </c>
      <c r="I27" s="208"/>
      <c r="J27" s="204" t="e">
        <f ca="1">_xll.BDP($F$27,K27)</f>
        <v>#NAME?</v>
      </c>
      <c r="K27" s="206" t="s">
        <v>116</v>
      </c>
      <c r="W27" s="1"/>
    </row>
    <row r="28" spans="3:23" ht="15.75" thickTop="1" x14ac:dyDescent="0.25">
      <c r="D28" s="195"/>
      <c r="E28" s="180" t="e">
        <f ca="1">H27-H28</f>
        <v>#NAME?</v>
      </c>
      <c r="F28" s="20" t="s">
        <v>19</v>
      </c>
      <c r="H28" s="18">
        <v>15194.75</v>
      </c>
      <c r="I28">
        <v>20</v>
      </c>
      <c r="J28" s="7"/>
      <c r="K28" s="15"/>
      <c r="W28" s="1"/>
    </row>
    <row r="29" spans="3:23" x14ac:dyDescent="0.25">
      <c r="F29" s="20" t="s">
        <v>15</v>
      </c>
      <c r="G29" s="11"/>
      <c r="H29" s="19" t="e">
        <f ca="1">_xll.BDP(F27,"PX_YEST_CLOSE")</f>
        <v>#NAME?</v>
      </c>
      <c r="J29" s="7"/>
      <c r="K29" s="15"/>
      <c r="W29" s="1"/>
    </row>
    <row r="30" spans="3:23" x14ac:dyDescent="0.25">
      <c r="F30" s="20" t="s">
        <v>16</v>
      </c>
      <c r="G30" s="11"/>
      <c r="H30" s="21" t="e">
        <f ca="1">50*H27</f>
        <v>#NAME?</v>
      </c>
      <c r="J30" s="7"/>
      <c r="K30" s="15"/>
      <c r="U30" s="10" t="s">
        <v>97</v>
      </c>
      <c r="W30" s="1"/>
    </row>
    <row r="31" spans="3:23" x14ac:dyDescent="0.25">
      <c r="E31" s="13" t="s">
        <v>18</v>
      </c>
      <c r="F31" s="20" t="s">
        <v>17</v>
      </c>
      <c r="G31" s="11"/>
      <c r="H31" s="21" t="e">
        <f ca="1">_xll.BDP(F27,"FUT_INIT_SPEC_ML")</f>
        <v>#NAME?</v>
      </c>
      <c r="J31" s="176" t="s">
        <v>100</v>
      </c>
      <c r="L31" s="168" t="s">
        <v>84</v>
      </c>
      <c r="N31" s="168" t="s">
        <v>101</v>
      </c>
      <c r="O31" s="193"/>
      <c r="P31" s="193"/>
      <c r="U31" s="10" t="s">
        <v>98</v>
      </c>
      <c r="W31" s="1"/>
    </row>
    <row r="32" spans="3:23" ht="15.75" thickBot="1" x14ac:dyDescent="0.3">
      <c r="F32" s="6" t="s">
        <v>99</v>
      </c>
      <c r="G32" s="16"/>
      <c r="H32" s="16"/>
      <c r="I32" s="25">
        <v>1</v>
      </c>
      <c r="J32" s="179" t="s">
        <v>30</v>
      </c>
      <c r="L32" s="168" t="s">
        <v>85</v>
      </c>
      <c r="N32" s="168" t="s">
        <v>87</v>
      </c>
      <c r="O32" s="166" t="s">
        <v>86</v>
      </c>
      <c r="P32" s="170" t="s">
        <v>88</v>
      </c>
      <c r="Q32" s="170" t="s">
        <v>89</v>
      </c>
      <c r="R32" s="170" t="s">
        <v>17</v>
      </c>
      <c r="S32" s="172" t="s">
        <v>90</v>
      </c>
      <c r="T32" s="167" t="s">
        <v>91</v>
      </c>
      <c r="U32" s="167" t="s">
        <v>92</v>
      </c>
      <c r="V32" s="1">
        <v>1</v>
      </c>
      <c r="W32" s="1"/>
    </row>
    <row r="33" spans="3:23" x14ac:dyDescent="0.25">
      <c r="C33">
        <f>$C7</f>
        <v>480</v>
      </c>
      <c r="D33" s="160" t="s">
        <v>108</v>
      </c>
      <c r="E33" s="121" t="s">
        <v>108</v>
      </c>
      <c r="F33" s="8">
        <f>J7</f>
        <v>185000</v>
      </c>
      <c r="G33" s="1">
        <v>1</v>
      </c>
      <c r="H33" s="15" t="e">
        <f ca="1">($I33*($I$28*$H$27)/$F33)</f>
        <v>#NAME?</v>
      </c>
      <c r="I33" s="26">
        <v>1</v>
      </c>
      <c r="J33" s="177">
        <v>0</v>
      </c>
      <c r="K33" s="187">
        <f>($J33*($I$28*$H$28)/$F33)</f>
        <v>0</v>
      </c>
      <c r="L33" s="164">
        <f>$F33</f>
        <v>185000</v>
      </c>
      <c r="M33" s="164">
        <v>1396422.71</v>
      </c>
      <c r="N33" s="165">
        <f>($J33*($I$28*$H$42)/$L33)</f>
        <v>0</v>
      </c>
      <c r="O33" s="169" t="e">
        <f ca="1">$J33*($H$27-$H$28)*$I$28</f>
        <v>#NAME?</v>
      </c>
      <c r="P33" s="169" t="e">
        <f ca="1">$J33*($H$27-$H$29)*$I$28</f>
        <v>#NAME?</v>
      </c>
      <c r="Q33" s="171" t="e">
        <f ca="1">$O33/$M33</f>
        <v>#NAME?</v>
      </c>
      <c r="R33" s="196" t="e">
        <f ca="1">J33*$H$31</f>
        <v>#NAME?</v>
      </c>
      <c r="S33" s="173" t="e">
        <f ca="1">$P33/$M33</f>
        <v>#NAME?</v>
      </c>
      <c r="T33" s="173" t="e">
        <f ca="1">Q33+S33</f>
        <v>#NAME?</v>
      </c>
      <c r="U33" s="174" t="s">
        <v>93</v>
      </c>
      <c r="V33" s="1">
        <f>J33/$V$32</f>
        <v>0</v>
      </c>
      <c r="W33" s="1"/>
    </row>
    <row r="34" spans="3:23" x14ac:dyDescent="0.25">
      <c r="C34">
        <f>$C8</f>
        <v>447</v>
      </c>
      <c r="D34" s="160" t="s">
        <v>110</v>
      </c>
      <c r="E34" s="121" t="s">
        <v>110</v>
      </c>
      <c r="F34" s="8">
        <f>J8</f>
        <v>5300000</v>
      </c>
      <c r="G34" s="1">
        <v>28</v>
      </c>
      <c r="H34" s="15" t="e">
        <f ca="1">($I34*($I$28*$H$27)/$F34)</f>
        <v>#NAME?</v>
      </c>
      <c r="I34" s="26">
        <v>22</v>
      </c>
      <c r="J34" s="177">
        <v>-4</v>
      </c>
      <c r="K34" s="187">
        <f>($J34*($I$28*$H$28)/$F34)</f>
        <v>-0.22935471698113208</v>
      </c>
      <c r="L34" s="164">
        <f>$F34</f>
        <v>5300000</v>
      </c>
      <c r="M34" s="164">
        <v>37950546.770000003</v>
      </c>
      <c r="N34" s="165">
        <f>($J34*($I$28*$H$42)/$L34)</f>
        <v>-6.6680754716981136E-2</v>
      </c>
      <c r="O34" s="169" t="e">
        <f ca="1">$J34*($H$27-$H$28)*$I$28</f>
        <v>#NAME?</v>
      </c>
      <c r="P34" s="169" t="e">
        <f ca="1">$J34*($H$27-$H$29)*$I$28</f>
        <v>#NAME?</v>
      </c>
      <c r="Q34" s="171" t="e">
        <f ca="1">$O34/$M34</f>
        <v>#NAME?</v>
      </c>
      <c r="R34" s="196" t="e">
        <f ca="1">J34*$H$31</f>
        <v>#NAME?</v>
      </c>
      <c r="S34" s="173" t="e">
        <f ca="1">$P34/$M34</f>
        <v>#NAME?</v>
      </c>
      <c r="T34" s="173" t="e">
        <f ca="1">Q34+S34</f>
        <v>#NAME?</v>
      </c>
      <c r="U34" s="174" t="s">
        <v>94</v>
      </c>
      <c r="V34" s="1">
        <f>J34/$V$32</f>
        <v>-4</v>
      </c>
      <c r="W34" s="1">
        <v>-4</v>
      </c>
    </row>
    <row r="35" spans="3:23" x14ac:dyDescent="0.25">
      <c r="C35">
        <f>$C9</f>
        <v>437</v>
      </c>
      <c r="D35" s="160" t="s">
        <v>111</v>
      </c>
      <c r="E35" s="121" t="s">
        <v>111</v>
      </c>
      <c r="F35" s="8">
        <f>J9</f>
        <v>6590000</v>
      </c>
      <c r="G35" s="1">
        <v>36</v>
      </c>
      <c r="H35" s="15" t="e">
        <f ca="1">($I35*($I$28*$H$27)/$F35)</f>
        <v>#NAME?</v>
      </c>
      <c r="I35" s="26">
        <v>28</v>
      </c>
      <c r="J35" s="177">
        <v>-10</v>
      </c>
      <c r="K35" s="187">
        <f>($J35*($I$28*$H$28)/$F35)</f>
        <v>-0.46114567526555389</v>
      </c>
      <c r="L35" s="164">
        <f>$F35</f>
        <v>6590000</v>
      </c>
      <c r="M35" s="164">
        <v>16702289.16</v>
      </c>
      <c r="N35" s="165">
        <f>($J35*($I$28*$H$42)/$L35)</f>
        <v>-0.13406980273141123</v>
      </c>
      <c r="O35" s="169" t="e">
        <f ca="1">$J35*($H$27-$H$28)*$I$28</f>
        <v>#NAME?</v>
      </c>
      <c r="P35" s="169" t="e">
        <f ca="1">$J35*($H$27-$H$29)*$I$28</f>
        <v>#NAME?</v>
      </c>
      <c r="Q35" s="171" t="e">
        <f ca="1">$O35/$M35</f>
        <v>#NAME?</v>
      </c>
      <c r="R35" s="196" t="e">
        <f ca="1">J35*$H$31</f>
        <v>#NAME?</v>
      </c>
      <c r="S35" s="173" t="e">
        <f ca="1">$P35/$M35</f>
        <v>#NAME?</v>
      </c>
      <c r="T35" s="173" t="e">
        <f ca="1">Q35+S35</f>
        <v>#NAME?</v>
      </c>
      <c r="U35" s="174" t="s">
        <v>95</v>
      </c>
      <c r="V35" s="1">
        <f>J35/$V$32</f>
        <v>-10</v>
      </c>
      <c r="W35" s="1">
        <v>-5</v>
      </c>
    </row>
    <row r="36" spans="3:23" x14ac:dyDescent="0.25">
      <c r="C36">
        <f>$C10</f>
        <v>485</v>
      </c>
      <c r="D36" s="160" t="s">
        <v>109</v>
      </c>
      <c r="E36" s="121" t="s">
        <v>109</v>
      </c>
      <c r="F36" s="8">
        <f>J10</f>
        <v>3150000</v>
      </c>
      <c r="G36" s="1">
        <v>16</v>
      </c>
      <c r="H36" s="15" t="e">
        <f ca="1">($I36*($I$28*$H$27)/$F36)</f>
        <v>#NAME?</v>
      </c>
      <c r="I36" s="26">
        <v>14</v>
      </c>
      <c r="J36" s="177">
        <v>0</v>
      </c>
      <c r="K36" s="187">
        <f>($J36*($I$28*$H$28)/$F36)</f>
        <v>0</v>
      </c>
      <c r="L36" s="164">
        <f>$F36</f>
        <v>3150000</v>
      </c>
      <c r="M36" s="164">
        <v>7246337.7599999998</v>
      </c>
      <c r="N36" s="165">
        <f>($J36*($I$28*$H$42)/$L36)</f>
        <v>0</v>
      </c>
      <c r="O36" s="169" t="e">
        <f ca="1">$J36*($H$27-$H$28)*$I$28</f>
        <v>#NAME?</v>
      </c>
      <c r="P36" s="169" t="e">
        <f ca="1">$J36*($H$27-$H$29)*$I$28</f>
        <v>#NAME?</v>
      </c>
      <c r="Q36" s="171" t="e">
        <f ca="1">$O36/$M36</f>
        <v>#NAME?</v>
      </c>
      <c r="R36" s="196" t="e">
        <f ca="1">J36*$H$31</f>
        <v>#NAME?</v>
      </c>
      <c r="S36" s="173" t="e">
        <f ca="1">$P36/$M36</f>
        <v>#NAME?</v>
      </c>
      <c r="T36" s="173" t="e">
        <f ca="1">Q36+S36</f>
        <v>#NAME?</v>
      </c>
      <c r="U36" s="174" t="s">
        <v>96</v>
      </c>
      <c r="V36" s="1">
        <f>J36/$V$32</f>
        <v>0</v>
      </c>
      <c r="W36" s="1">
        <v>-2</v>
      </c>
    </row>
    <row r="37" spans="3:23" ht="15.75" thickBot="1" x14ac:dyDescent="0.3">
      <c r="E37" s="121"/>
      <c r="F37" s="8"/>
      <c r="G37" s="17"/>
      <c r="H37" s="24"/>
      <c r="I37" s="25"/>
      <c r="J37" s="178"/>
      <c r="K37" s="188"/>
      <c r="L37" s="164"/>
      <c r="M37" s="164"/>
      <c r="N37" s="165"/>
      <c r="O37" s="169"/>
      <c r="P37" s="169"/>
      <c r="Q37" s="171"/>
      <c r="R37" s="169"/>
      <c r="S37" s="173"/>
      <c r="T37" s="173"/>
      <c r="U37" s="174"/>
      <c r="W37" s="1">
        <f>SUM(W33:W36)</f>
        <v>-11</v>
      </c>
    </row>
    <row r="38" spans="3:23" x14ac:dyDescent="0.25">
      <c r="G38">
        <f>SUM(G33:G37)</f>
        <v>81</v>
      </c>
      <c r="I38" s="26">
        <f>SUM(I33:I37)</f>
        <v>65</v>
      </c>
      <c r="J38" s="1">
        <f>SUM(J33:J37)</f>
        <v>-14</v>
      </c>
      <c r="W38" s="1"/>
    </row>
    <row r="39" spans="3:23" ht="15.75" thickBot="1" x14ac:dyDescent="0.3">
      <c r="J39" s="1"/>
      <c r="W39" s="1"/>
    </row>
    <row r="40" spans="3:23" ht="15.75" thickBot="1" x14ac:dyDescent="0.3">
      <c r="G40" s="205"/>
      <c r="I40" s="208"/>
      <c r="J40" s="203" t="e">
        <f ca="1">_xll.BDP($F$41,K40)</f>
        <v>#NAME?</v>
      </c>
      <c r="K40" s="206" t="s">
        <v>115</v>
      </c>
      <c r="W40" s="1"/>
    </row>
    <row r="41" spans="3:23" ht="16.5" thickTop="1" thickBot="1" x14ac:dyDescent="0.3">
      <c r="D41" s="195"/>
      <c r="E41" s="117" t="s">
        <v>103</v>
      </c>
      <c r="F41" s="10" t="s">
        <v>123</v>
      </c>
      <c r="G41" s="207"/>
      <c r="H41" s="14" t="e">
        <f ca="1">_xll.BDP(F41,"last_price")</f>
        <v>#NAME?</v>
      </c>
      <c r="I41" s="208"/>
      <c r="J41" s="204" t="e">
        <f ca="1">_xll.BDP($F$41,K41)</f>
        <v>#NAME?</v>
      </c>
      <c r="K41" s="206" t="s">
        <v>116</v>
      </c>
      <c r="W41" s="1"/>
    </row>
    <row r="42" spans="3:23" ht="15.75" thickTop="1" x14ac:dyDescent="0.25">
      <c r="D42" s="195"/>
      <c r="E42" s="180" t="e">
        <f ca="1">H41-H42</f>
        <v>#NAME?</v>
      </c>
      <c r="F42" s="20" t="s">
        <v>19</v>
      </c>
      <c r="H42" s="18">
        <v>4417.6000000000004</v>
      </c>
      <c r="I42">
        <v>50</v>
      </c>
      <c r="J42" s="116"/>
      <c r="K42" s="15"/>
      <c r="W42" s="1"/>
    </row>
    <row r="43" spans="3:23" x14ac:dyDescent="0.25">
      <c r="F43" s="20" t="s">
        <v>15</v>
      </c>
      <c r="G43" s="11"/>
      <c r="H43" s="19" t="e">
        <f ca="1">_xll.BDP(F41,"PX_YEST_CLOSE")</f>
        <v>#NAME?</v>
      </c>
      <c r="W43" s="1"/>
    </row>
    <row r="44" spans="3:23" x14ac:dyDescent="0.25">
      <c r="F44" s="20" t="s">
        <v>16</v>
      </c>
      <c r="G44" s="11"/>
      <c r="H44" s="21" t="e">
        <f ca="1">50*H41</f>
        <v>#NAME?</v>
      </c>
      <c r="U44" s="10" t="s">
        <v>97</v>
      </c>
    </row>
    <row r="45" spans="3:23" x14ac:dyDescent="0.25">
      <c r="E45" s="13" t="s">
        <v>18</v>
      </c>
      <c r="F45" s="20" t="s">
        <v>17</v>
      </c>
      <c r="G45" s="11"/>
      <c r="H45" s="21" t="e">
        <f ca="1">_xll.BDP(F41,"FUT_INIT_SPEC_ML")</f>
        <v>#NAME?</v>
      </c>
      <c r="J45" s="176" t="s">
        <v>100</v>
      </c>
      <c r="L45" s="168" t="s">
        <v>84</v>
      </c>
      <c r="N45" s="168" t="s">
        <v>101</v>
      </c>
      <c r="O45" s="193"/>
      <c r="P45" s="193"/>
      <c r="U45" s="10" t="s">
        <v>98</v>
      </c>
      <c r="W45" s="1"/>
    </row>
    <row r="46" spans="3:23" ht="15.75" thickBot="1" x14ac:dyDescent="0.3">
      <c r="F46" s="6" t="s">
        <v>99</v>
      </c>
      <c r="G46" s="16"/>
      <c r="H46" s="16"/>
      <c r="I46" s="25">
        <v>1</v>
      </c>
      <c r="J46" s="179" t="s">
        <v>30</v>
      </c>
      <c r="L46" s="168" t="s">
        <v>85</v>
      </c>
      <c r="N46" s="168" t="s">
        <v>87</v>
      </c>
      <c r="O46" s="166" t="s">
        <v>86</v>
      </c>
      <c r="P46" s="170" t="s">
        <v>88</v>
      </c>
      <c r="Q46" s="170" t="s">
        <v>89</v>
      </c>
      <c r="R46" s="170" t="s">
        <v>17</v>
      </c>
      <c r="S46" s="172" t="s">
        <v>90</v>
      </c>
      <c r="T46" s="167" t="s">
        <v>91</v>
      </c>
      <c r="U46" s="167" t="s">
        <v>92</v>
      </c>
      <c r="V46" s="1">
        <v>1</v>
      </c>
      <c r="W46" s="1"/>
    </row>
    <row r="47" spans="3:23" x14ac:dyDescent="0.25">
      <c r="C47">
        <f>C7</f>
        <v>480</v>
      </c>
      <c r="D47" s="160" t="s">
        <v>108</v>
      </c>
      <c r="E47" s="121" t="s">
        <v>108</v>
      </c>
      <c r="F47" s="7">
        <f>J7</f>
        <v>185000</v>
      </c>
      <c r="G47" s="1">
        <v>2</v>
      </c>
      <c r="H47" s="15" t="e">
        <f ca="1">($I47*($I$42*$H$41)/$F47)</f>
        <v>#NAME?</v>
      </c>
      <c r="I47" s="26">
        <v>1</v>
      </c>
      <c r="J47" s="177">
        <v>0</v>
      </c>
      <c r="K47" s="187">
        <f>($J47*($I$42*$H$42)/$F47)</f>
        <v>0</v>
      </c>
      <c r="L47" s="164">
        <f>$F47</f>
        <v>185000</v>
      </c>
      <c r="M47" s="164">
        <v>1396422.71</v>
      </c>
      <c r="N47" s="165">
        <f>($J47*($I$42*$H$42)/$L47)</f>
        <v>0</v>
      </c>
      <c r="O47" s="169" t="e">
        <f ca="1">$J47*($H$41-$H$42)*$I$42</f>
        <v>#NAME?</v>
      </c>
      <c r="P47" s="169" t="e">
        <f ca="1">$J47*($H$41-$H$43)*$I$42</f>
        <v>#NAME?</v>
      </c>
      <c r="Q47" s="171" t="e">
        <f ca="1">$O47/$M47</f>
        <v>#NAME?</v>
      </c>
      <c r="R47" s="196" t="e">
        <f ca="1">J47*$H$45</f>
        <v>#NAME?</v>
      </c>
      <c r="S47" s="173" t="e">
        <f ca="1">$P47/$M47</f>
        <v>#NAME?</v>
      </c>
      <c r="T47" s="173" t="e">
        <f ca="1">Q47+S47</f>
        <v>#NAME?</v>
      </c>
      <c r="U47" s="174" t="s">
        <v>93</v>
      </c>
      <c r="V47" s="1">
        <f>G47/$V$46</f>
        <v>2</v>
      </c>
      <c r="W47" s="1"/>
    </row>
    <row r="48" spans="3:23" x14ac:dyDescent="0.25">
      <c r="C48">
        <f>C8</f>
        <v>447</v>
      </c>
      <c r="D48" s="160" t="s">
        <v>110</v>
      </c>
      <c r="E48" s="121" t="s">
        <v>110</v>
      </c>
      <c r="F48" s="7">
        <f>J8</f>
        <v>5300000</v>
      </c>
      <c r="G48" s="1">
        <v>27</v>
      </c>
      <c r="H48" s="15" t="e">
        <f ca="1">($I48*($I$42*$H$41)/$F48)</f>
        <v>#NAME?</v>
      </c>
      <c r="I48" s="26">
        <v>26</v>
      </c>
      <c r="J48" s="177">
        <v>-4</v>
      </c>
      <c r="K48" s="187">
        <f>($J48*($I$42*$H$42)/$F48)</f>
        <v>-0.16670188679245285</v>
      </c>
      <c r="L48" s="164">
        <f>$F48</f>
        <v>5300000</v>
      </c>
      <c r="M48" s="164">
        <v>37950546.770000003</v>
      </c>
      <c r="N48" s="165">
        <f>($J48*($I$42*$H$42)/$L48)</f>
        <v>-0.16670188679245285</v>
      </c>
      <c r="O48" s="169" t="e">
        <f ca="1">$J48*($H$41-$H$42)*$I$42</f>
        <v>#NAME?</v>
      </c>
      <c r="P48" s="169" t="e">
        <f ca="1">$J48*($H$41-$H$43)*$I$42</f>
        <v>#NAME?</v>
      </c>
      <c r="Q48" s="171" t="e">
        <f ca="1">$O48/$M48</f>
        <v>#NAME?</v>
      </c>
      <c r="R48" s="196" t="e">
        <f ca="1">J48*$H$45</f>
        <v>#NAME?</v>
      </c>
      <c r="S48" s="173" t="e">
        <f ca="1">$P48/$M48</f>
        <v>#NAME?</v>
      </c>
      <c r="T48" s="173" t="e">
        <f ca="1">Q48+S48</f>
        <v>#NAME?</v>
      </c>
      <c r="U48" s="174" t="s">
        <v>94</v>
      </c>
      <c r="V48" s="1">
        <f>J48/$V$46</f>
        <v>-4</v>
      </c>
      <c r="W48" s="1">
        <v>-4</v>
      </c>
    </row>
    <row r="49" spans="3:23" x14ac:dyDescent="0.25">
      <c r="C49">
        <f>C9</f>
        <v>437</v>
      </c>
      <c r="D49" s="160" t="s">
        <v>111</v>
      </c>
      <c r="E49" s="121" t="s">
        <v>111</v>
      </c>
      <c r="F49" s="7">
        <f>J9</f>
        <v>6590000</v>
      </c>
      <c r="G49" s="1">
        <v>54</v>
      </c>
      <c r="H49" s="15" t="e">
        <f ca="1">($I49*($I$42*$H$41)/$F49)</f>
        <v>#NAME?</v>
      </c>
      <c r="I49" s="26">
        <v>34</v>
      </c>
      <c r="J49" s="177">
        <v>-10</v>
      </c>
      <c r="K49" s="187">
        <f>($J49*($I$42*$H$42)/$F49)</f>
        <v>-0.33517450682852812</v>
      </c>
      <c r="L49" s="164">
        <f>$F49</f>
        <v>6590000</v>
      </c>
      <c r="M49" s="164">
        <v>16702289.16</v>
      </c>
      <c r="N49" s="165">
        <f>($J49*($I$42*$H$42)/$L49)</f>
        <v>-0.33517450682852812</v>
      </c>
      <c r="O49" s="169" t="e">
        <f ca="1">$J49*($H$41-$H$42)*$I$42</f>
        <v>#NAME?</v>
      </c>
      <c r="P49" s="169" t="e">
        <f ca="1">$J49*($H$41-$H$43)*$I$42</f>
        <v>#NAME?</v>
      </c>
      <c r="Q49" s="171" t="e">
        <f ca="1">$O49/$M49</f>
        <v>#NAME?</v>
      </c>
      <c r="R49" s="196" t="e">
        <f ca="1">J49*$H$45</f>
        <v>#NAME?</v>
      </c>
      <c r="S49" s="173" t="e">
        <f ca="1">$P49/$M49</f>
        <v>#NAME?</v>
      </c>
      <c r="T49" s="173" t="e">
        <f ca="1">Q49+S49</f>
        <v>#NAME?</v>
      </c>
      <c r="U49" s="174" t="s">
        <v>95</v>
      </c>
      <c r="V49" s="1">
        <f>J49/$V$46</f>
        <v>-10</v>
      </c>
      <c r="W49" s="1">
        <v>-5</v>
      </c>
    </row>
    <row r="50" spans="3:23" x14ac:dyDescent="0.25">
      <c r="C50">
        <f>C10</f>
        <v>485</v>
      </c>
      <c r="D50" s="160" t="s">
        <v>109</v>
      </c>
      <c r="E50" s="121" t="s">
        <v>109</v>
      </c>
      <c r="F50" s="7">
        <f>J10</f>
        <v>3150000</v>
      </c>
      <c r="G50" s="1">
        <v>41</v>
      </c>
      <c r="H50" s="15" t="e">
        <f ca="1">($I50*($I$42*$H$41)/$F50)</f>
        <v>#NAME?</v>
      </c>
      <c r="I50" s="26">
        <v>16</v>
      </c>
      <c r="J50" s="177">
        <v>0</v>
      </c>
      <c r="K50" s="187">
        <f>($J50*($I$42*$H$42)/$F50)</f>
        <v>0</v>
      </c>
      <c r="L50" s="164">
        <f>$F50</f>
        <v>3150000</v>
      </c>
      <c r="M50" s="164">
        <v>7246337.7599999998</v>
      </c>
      <c r="N50" s="165">
        <f>($J50*($I$42*$H$42)/$L50)</f>
        <v>0</v>
      </c>
      <c r="O50" s="169" t="e">
        <f ca="1">$J50*($H$41-$H$42)*$I$42</f>
        <v>#NAME?</v>
      </c>
      <c r="P50" s="169" t="e">
        <f ca="1">$J50*($H$41-$H$43)*$I$42</f>
        <v>#NAME?</v>
      </c>
      <c r="Q50" s="171" t="e">
        <f ca="1">$O50/$M50</f>
        <v>#NAME?</v>
      </c>
      <c r="R50" s="196" t="e">
        <f ca="1">J50*$H$45</f>
        <v>#NAME?</v>
      </c>
      <c r="S50" s="173" t="e">
        <f ca="1">$P50/$M50</f>
        <v>#NAME?</v>
      </c>
      <c r="T50" s="173" t="e">
        <f ca="1">Q50+S50</f>
        <v>#NAME?</v>
      </c>
      <c r="U50" s="174" t="s">
        <v>96</v>
      </c>
      <c r="V50" s="1">
        <f>J50/$V$46</f>
        <v>0</v>
      </c>
      <c r="W50" s="1">
        <v>-2</v>
      </c>
    </row>
    <row r="51" spans="3:23" ht="15.75" thickBot="1" x14ac:dyDescent="0.3">
      <c r="E51" s="121"/>
      <c r="F51" s="7"/>
      <c r="G51" s="17"/>
      <c r="H51" s="24"/>
      <c r="I51" s="25"/>
      <c r="J51" s="178"/>
      <c r="K51" s="188"/>
      <c r="L51" s="164"/>
      <c r="M51" s="164"/>
      <c r="N51" s="165"/>
      <c r="O51" s="169"/>
      <c r="P51" s="169"/>
      <c r="Q51" s="171"/>
      <c r="R51" s="169"/>
      <c r="S51" s="173"/>
      <c r="T51" s="173"/>
      <c r="U51" s="174"/>
      <c r="V51" s="1">
        <f>SUM(V48:V50)</f>
        <v>-14</v>
      </c>
      <c r="W51" s="1">
        <f>SUM(W47:W50)</f>
        <v>-11</v>
      </c>
    </row>
    <row r="52" spans="3:23" x14ac:dyDescent="0.25">
      <c r="G52">
        <f>SUM(G47:G51)</f>
        <v>124</v>
      </c>
      <c r="I52" s="26">
        <f>SUM(I47:I51)</f>
        <v>77</v>
      </c>
      <c r="J52" s="1">
        <f>SUM(J47:J51)</f>
        <v>-14</v>
      </c>
    </row>
    <row r="53" spans="3:23" x14ac:dyDescent="0.25">
      <c r="J53" s="1"/>
      <c r="M53" s="164"/>
    </row>
  </sheetData>
  <conditionalFormatting sqref="H13">
    <cfRule type="cellIs" dxfId="42" priority="23" stopIfTrue="1" operator="greaterThan">
      <formula>$N$9</formula>
    </cfRule>
    <cfRule type="cellIs" dxfId="41" priority="24" stopIfTrue="1" operator="lessThan">
      <formula>$N$9</formula>
    </cfRule>
    <cfRule type="cellIs" dxfId="40" priority="25" stopIfTrue="1" operator="equal">
      <formula>$N$9</formula>
    </cfRule>
  </conditionalFormatting>
  <conditionalFormatting sqref="H41">
    <cfRule type="cellIs" dxfId="39" priority="20" stopIfTrue="1" operator="greaterThan">
      <formula>$N$9</formula>
    </cfRule>
    <cfRule type="cellIs" dxfId="38" priority="21" stopIfTrue="1" operator="lessThan">
      <formula>$N$9</formula>
    </cfRule>
    <cfRule type="cellIs" dxfId="37" priority="22" stopIfTrue="1" operator="equal">
      <formula>$N$9</formula>
    </cfRule>
  </conditionalFormatting>
  <conditionalFormatting sqref="H27">
    <cfRule type="cellIs" dxfId="36" priority="17" stopIfTrue="1" operator="greaterThan">
      <formula>$N$9</formula>
    </cfRule>
    <cfRule type="cellIs" dxfId="35" priority="18" stopIfTrue="1" operator="lessThan">
      <formula>$N$9</formula>
    </cfRule>
    <cfRule type="cellIs" dxfId="34" priority="19" stopIfTrue="1" operator="equal">
      <formula>$N$9</formula>
    </cfRule>
  </conditionalFormatting>
  <conditionalFormatting sqref="O47:P51 S47:T51 O33:P37 S33:T37 O19:P23 S19:T23">
    <cfRule type="cellIs" dxfId="33" priority="15" stopIfTrue="1" operator="greaterThan">
      <formula>0</formula>
    </cfRule>
    <cfRule type="cellIs" dxfId="32" priority="16" stopIfTrue="1" operator="lessThan">
      <formula>0</formula>
    </cfRule>
  </conditionalFormatting>
  <conditionalFormatting sqref="E42">
    <cfRule type="cellIs" dxfId="31" priority="13" stopIfTrue="1" operator="greaterThan">
      <formula>0</formula>
    </cfRule>
    <cfRule type="cellIs" dxfId="30" priority="14" stopIfTrue="1" operator="lessThan">
      <formula>0</formula>
    </cfRule>
  </conditionalFormatting>
  <conditionalFormatting sqref="E28">
    <cfRule type="cellIs" dxfId="29" priority="11" stopIfTrue="1" operator="greaterThan">
      <formula>0</formula>
    </cfRule>
    <cfRule type="cellIs" dxfId="28" priority="12" stopIfTrue="1" operator="lessThan">
      <formula>0</formula>
    </cfRule>
  </conditionalFormatting>
  <conditionalFormatting sqref="E14">
    <cfRule type="cellIs" dxfId="27" priority="9" stopIfTrue="1" operator="greaterThan">
      <formula>0</formula>
    </cfRule>
    <cfRule type="cellIs" dxfId="26" priority="10" stopIfTrue="1" operator="lessThan">
      <formula>0</formula>
    </cfRule>
  </conditionalFormatting>
  <conditionalFormatting sqref="G13">
    <cfRule type="cellIs" dxfId="25" priority="7" stopIfTrue="1" operator="greaterThan">
      <formula>0</formula>
    </cfRule>
    <cfRule type="cellIs" dxfId="24" priority="8" stopIfTrue="1" operator="lessThan">
      <formula>0</formula>
    </cfRule>
  </conditionalFormatting>
  <conditionalFormatting sqref="G27">
    <cfRule type="cellIs" dxfId="23" priority="5" stopIfTrue="1" operator="greaterThan">
      <formula>0</formula>
    </cfRule>
    <cfRule type="cellIs" dxfId="22" priority="6" stopIfTrue="1" operator="lessThan">
      <formula>0</formula>
    </cfRule>
  </conditionalFormatting>
  <conditionalFormatting sqref="G41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" right="0.7" top="0.75" bottom="0.75" header="0.3" footer="0.3"/>
  <pageSetup paperSize="9" scale="4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C2:U52"/>
  <sheetViews>
    <sheetView showGridLines="0" tabSelected="1" workbookViewId="0">
      <selection activeCell="H17" sqref="H17"/>
    </sheetView>
  </sheetViews>
  <sheetFormatPr baseColWidth="10" defaultRowHeight="15" x14ac:dyDescent="0.25"/>
  <cols>
    <col min="1" max="1" width="1.7109375" customWidth="1"/>
    <col min="2" max="2" width="1.85546875" customWidth="1"/>
    <col min="3" max="3" width="6" customWidth="1"/>
    <col min="4" max="4" width="26.5703125" customWidth="1"/>
    <col min="5" max="5" width="24.5703125" bestFit="1" customWidth="1"/>
    <col min="6" max="6" width="15.28515625" customWidth="1"/>
    <col min="7" max="7" width="6.140625" bestFit="1" customWidth="1"/>
    <col min="8" max="8" width="12.28515625" bestFit="1" customWidth="1"/>
    <col min="9" max="9" width="7.42578125" bestFit="1" customWidth="1"/>
    <col min="10" max="10" width="12.85546875" bestFit="1" customWidth="1"/>
    <col min="11" max="11" width="12.28515625" customWidth="1"/>
    <col min="12" max="12" width="15" customWidth="1"/>
    <col min="13" max="13" width="12.28515625" bestFit="1" customWidth="1"/>
    <col min="14" max="14" width="9.140625" customWidth="1"/>
    <col min="15" max="15" width="10.42578125" bestFit="1" customWidth="1"/>
  </cols>
  <sheetData>
    <row r="2" spans="3:21" x14ac:dyDescent="0.25">
      <c r="E2" s="2">
        <v>44951</v>
      </c>
      <c r="F2" s="3">
        <f ca="1">TODAY()</f>
        <v>45196</v>
      </c>
    </row>
    <row r="3" spans="3:21" x14ac:dyDescent="0.25">
      <c r="F3" s="3">
        <f ca="1">WORKDAY(F2,-2)</f>
        <v>45194</v>
      </c>
    </row>
    <row r="4" spans="3:21" x14ac:dyDescent="0.25">
      <c r="J4" t="s">
        <v>107</v>
      </c>
    </row>
    <row r="5" spans="3:21" x14ac:dyDescent="0.25">
      <c r="C5" s="4" t="s">
        <v>0</v>
      </c>
      <c r="E5" s="6" t="s">
        <v>1</v>
      </c>
      <c r="F5" s="183" t="s">
        <v>2</v>
      </c>
      <c r="H5" s="22" t="s">
        <v>6</v>
      </c>
      <c r="I5" s="22" t="s">
        <v>20</v>
      </c>
      <c r="J5" s="22" t="s">
        <v>21</v>
      </c>
      <c r="K5" s="23" t="s">
        <v>3</v>
      </c>
    </row>
    <row r="6" spans="3:21" x14ac:dyDescent="0.25">
      <c r="C6" s="5"/>
      <c r="D6" s="160"/>
      <c r="E6" s="7"/>
      <c r="F6" s="185" t="s">
        <v>105</v>
      </c>
      <c r="G6" s="38"/>
      <c r="H6" s="28"/>
      <c r="I6" s="28"/>
      <c r="J6" s="175"/>
      <c r="K6" s="175"/>
      <c r="L6" s="29"/>
      <c r="M6" s="30"/>
      <c r="N6" s="181" t="s">
        <v>4</v>
      </c>
      <c r="O6" s="182" t="s">
        <v>5</v>
      </c>
    </row>
    <row r="7" spans="3:21" x14ac:dyDescent="0.25">
      <c r="C7" s="5">
        <v>480</v>
      </c>
      <c r="D7" s="160" t="str">
        <f>[1]!d("ent_ape",C7)</f>
        <v>TREA RV MIXTA, FP</v>
      </c>
      <c r="E7" s="7">
        <f ca="1">[1]!d("FON_PAT_MED",$C7,$E$2,$F$2)</f>
        <v>1346369.6448571428</v>
      </c>
      <c r="F7" s="7">
        <f ca="1">[1]!d("fon_rv_med",C7,$E$2,$F$3)</f>
        <v>735039.51782786893</v>
      </c>
      <c r="G7" s="38">
        <f ca="1">$F7/$E7</f>
        <v>0.54594183747054148</v>
      </c>
      <c r="H7" s="28">
        <f ca="1">1-$I7</f>
        <v>0.55104454659092328</v>
      </c>
      <c r="I7" s="28">
        <f ca="1">$J7/$F7</f>
        <v>0.44895545340907667</v>
      </c>
      <c r="J7" s="201">
        <v>330000</v>
      </c>
      <c r="K7" s="175" t="e">
        <f ca="1">$J7/$O$8</f>
        <v>#NAME?</v>
      </c>
      <c r="L7" s="31" t="s">
        <v>6</v>
      </c>
      <c r="M7" s="32"/>
      <c r="N7" s="32">
        <v>1</v>
      </c>
      <c r="O7" s="33">
        <v>1</v>
      </c>
    </row>
    <row r="8" spans="3:21" x14ac:dyDescent="0.25">
      <c r="C8" s="5">
        <v>447</v>
      </c>
      <c r="D8" s="160" t="str">
        <f>[1]!d("ent_ape",C8)</f>
        <v>TREA RENTA FIJA MIXTA FI</v>
      </c>
      <c r="E8" s="7">
        <f ca="1">[1]!d("FON_PAT_MED",$C8,$E$2,$F$2)</f>
        <v>36596457.236311473</v>
      </c>
      <c r="F8" s="7">
        <f ca="1">[1]!d("fon_rv_med",C8,$E$2,$F$3)</f>
        <v>8495931.7909426223</v>
      </c>
      <c r="G8" s="38">
        <f ca="1">$F8/$E8</f>
        <v>0.23215175545770725</v>
      </c>
      <c r="H8" s="28">
        <f ca="1">1-$I8</f>
        <v>-0.14760808348229904</v>
      </c>
      <c r="I8" s="28">
        <f ca="1">$J8/$F8</f>
        <v>1.147608083482299</v>
      </c>
      <c r="J8" s="201">
        <v>9750000</v>
      </c>
      <c r="K8" s="175" t="e">
        <f ca="1">$J8/$O$8</f>
        <v>#NAME?</v>
      </c>
      <c r="L8" s="31" t="s">
        <v>7</v>
      </c>
      <c r="M8" s="32" t="s">
        <v>8</v>
      </c>
      <c r="N8" s="32" t="e">
        <f ca="1">_xll.BDP(M8,"last_price")</f>
        <v>#NAME?</v>
      </c>
      <c r="O8" s="33" t="e">
        <f ca="1">_xll.BDP(M8,"Px Close 1d")</f>
        <v>#NAME?</v>
      </c>
    </row>
    <row r="9" spans="3:21" x14ac:dyDescent="0.25">
      <c r="C9" s="5">
        <v>437</v>
      </c>
      <c r="D9" s="160" t="str">
        <f>[1]!d("ent_ape",C9)</f>
        <v>TREA GLOBAL FLEXIBLE, FI</v>
      </c>
      <c r="E9" s="7">
        <f ca="1">[1]!d("FON_PAT_MED",$C9,$E$2,$F$2)</f>
        <v>20971147.195860654</v>
      </c>
      <c r="F9" s="7">
        <f ca="1">[1]!d("fon_rv_med",C9,$E$2,$F$3)</f>
        <v>17094036.211762294</v>
      </c>
      <c r="G9" s="38">
        <f ca="1">$F9/$E9</f>
        <v>0.81512165510603851</v>
      </c>
      <c r="H9" s="28">
        <f ca="1">1-$I9</f>
        <v>-7.6398796168401839E-2</v>
      </c>
      <c r="I9" s="28">
        <f ca="1">$J9/$F9</f>
        <v>1.0763987961684018</v>
      </c>
      <c r="J9" s="201">
        <v>18400000</v>
      </c>
      <c r="K9" s="175" t="e">
        <f ca="1">$J9/$O$8</f>
        <v>#NAME?</v>
      </c>
      <c r="L9" s="31" t="s">
        <v>9</v>
      </c>
      <c r="M9" s="32" t="s">
        <v>10</v>
      </c>
      <c r="N9" s="32" t="e">
        <f ca="1">_xll.BDP(M9,"last_price")</f>
        <v>#NAME?</v>
      </c>
      <c r="O9" s="33" t="e">
        <f ca="1">_xll.BDP(M9,"Px Close 1d")</f>
        <v>#NAME?</v>
      </c>
    </row>
    <row r="10" spans="3:21" x14ac:dyDescent="0.25">
      <c r="C10" s="5">
        <v>485</v>
      </c>
      <c r="D10" s="160" t="str">
        <f>[1]!d("ent_ape",C10)</f>
        <v>TREA RV, FP</v>
      </c>
      <c r="E10" s="7">
        <f ca="1">[1]!d("FON_PAT_MED",$C10,$E$2,$F$2)</f>
        <v>6596147.4837142853</v>
      </c>
      <c r="F10" s="7">
        <f ca="1">[1]!d("fon_rv_med",C10,$E$2,$F$3)</f>
        <v>6002387.5464344267</v>
      </c>
      <c r="G10" s="38">
        <f ca="1">$F10/$E10</f>
        <v>0.90998382938740585</v>
      </c>
      <c r="H10" s="28">
        <f ca="1">1-$I10</f>
        <v>-0.33280297850014806</v>
      </c>
      <c r="I10" s="28">
        <f ca="1">$J10/$F10</f>
        <v>1.3328029785001481</v>
      </c>
      <c r="J10" s="201">
        <v>8000000</v>
      </c>
      <c r="K10" s="175" t="e">
        <f ca="1">$J10/$O$8</f>
        <v>#NAME?</v>
      </c>
      <c r="L10" s="31" t="s">
        <v>11</v>
      </c>
      <c r="M10" s="32" t="s">
        <v>12</v>
      </c>
      <c r="N10" s="32" t="e">
        <f ca="1">_xll.BDP(M10,"last_price")</f>
        <v>#NAME?</v>
      </c>
      <c r="O10" s="33" t="e">
        <f ca="1">_xll.BDP(M10,"Px Close 1d")</f>
        <v>#NAME?</v>
      </c>
    </row>
    <row r="11" spans="3:21" x14ac:dyDescent="0.25">
      <c r="C11" s="5"/>
      <c r="D11" s="160"/>
      <c r="E11" s="7"/>
      <c r="F11" s="7"/>
      <c r="G11" s="38"/>
      <c r="H11" s="28"/>
      <c r="I11" s="28"/>
      <c r="J11" s="175"/>
      <c r="K11" s="175"/>
      <c r="L11" s="34" t="s">
        <v>13</v>
      </c>
      <c r="M11" s="35" t="s">
        <v>14</v>
      </c>
      <c r="N11" s="35" t="e">
        <f ca="1">_xll.BDP(M11,"last_price")</f>
        <v>#NAME?</v>
      </c>
      <c r="O11" s="36" t="e">
        <f ca="1">_xll.BDP(M11,"Px Close 1d")</f>
        <v>#NAME?</v>
      </c>
    </row>
    <row r="12" spans="3:21" ht="15.75" thickBot="1" x14ac:dyDescent="0.3"/>
    <row r="13" spans="3:21" ht="14.25" customHeight="1" thickTop="1" thickBot="1" x14ac:dyDescent="0.3">
      <c r="E13" s="117" t="s">
        <v>102</v>
      </c>
      <c r="F13" s="10" t="s">
        <v>112</v>
      </c>
      <c r="H13" s="14" t="e">
        <f ca="1">_xll.BDP(F13,"last_price")</f>
        <v>#NAME?</v>
      </c>
      <c r="N13" s="9"/>
    </row>
    <row r="14" spans="3:21" ht="15.75" thickTop="1" x14ac:dyDescent="0.25">
      <c r="E14" s="180" t="e">
        <f ca="1">H13-H14</f>
        <v>#NAME?</v>
      </c>
      <c r="F14" s="20" t="s">
        <v>19</v>
      </c>
      <c r="H14" s="18"/>
      <c r="I14">
        <v>10</v>
      </c>
    </row>
    <row r="15" spans="3:21" ht="15" customHeight="1" x14ac:dyDescent="0.25">
      <c r="F15" s="20" t="s">
        <v>15</v>
      </c>
      <c r="G15" s="11"/>
      <c r="H15" s="19" t="e">
        <f ca="1">_xll.BDP(F13,"PX_YEST_CLOSE")</f>
        <v>#NAME?</v>
      </c>
    </row>
    <row r="16" spans="3:21" x14ac:dyDescent="0.25">
      <c r="F16" s="20" t="s">
        <v>16</v>
      </c>
      <c r="G16" s="11"/>
      <c r="H16" s="21" t="e">
        <f ca="1">10*H13</f>
        <v>#NAME?</v>
      </c>
      <c r="U16" s="10" t="s">
        <v>97</v>
      </c>
    </row>
    <row r="17" spans="3:21" x14ac:dyDescent="0.25">
      <c r="F17" s="20" t="s">
        <v>17</v>
      </c>
      <c r="G17" s="11"/>
      <c r="H17" s="21" t="e">
        <f ca="1">_xll.BDP(F13,"FUT_INIT_SPEC_ML")</f>
        <v>#NAME?</v>
      </c>
      <c r="J17" s="176" t="s">
        <v>100</v>
      </c>
      <c r="L17" s="168" t="s">
        <v>84</v>
      </c>
      <c r="N17" s="168" t="s">
        <v>101</v>
      </c>
      <c r="U17" s="10" t="s">
        <v>98</v>
      </c>
    </row>
    <row r="18" spans="3:21" ht="15.75" thickBot="1" x14ac:dyDescent="0.3">
      <c r="F18" s="6" t="s">
        <v>3</v>
      </c>
      <c r="G18" s="16"/>
      <c r="H18" s="16"/>
      <c r="I18" s="25">
        <v>1</v>
      </c>
      <c r="J18" s="179" t="s">
        <v>30</v>
      </c>
      <c r="L18" s="168" t="s">
        <v>85</v>
      </c>
      <c r="M18" s="184" t="s">
        <v>104</v>
      </c>
      <c r="N18" s="168" t="s">
        <v>87</v>
      </c>
      <c r="O18" s="166" t="s">
        <v>86</v>
      </c>
      <c r="P18" s="170" t="s">
        <v>88</v>
      </c>
      <c r="Q18" s="170" t="s">
        <v>89</v>
      </c>
      <c r="R18" s="170" t="s">
        <v>17</v>
      </c>
      <c r="S18" s="172" t="s">
        <v>90</v>
      </c>
      <c r="T18" s="167" t="s">
        <v>91</v>
      </c>
      <c r="U18" s="167" t="s">
        <v>92</v>
      </c>
    </row>
    <row r="19" spans="3:21" x14ac:dyDescent="0.25">
      <c r="C19">
        <f>$C7</f>
        <v>480</v>
      </c>
      <c r="D19" s="160" t="str">
        <f>[1]!d("ent_ape",C19)</f>
        <v>TREA RV MIXTA, FP</v>
      </c>
      <c r="E19" s="121" t="str">
        <f>[1]!d("ent_ape",C19)</f>
        <v>TREA RV MIXTA, FP</v>
      </c>
      <c r="F19" s="8" t="e">
        <f ca="1">F7-K7</f>
        <v>#NAME?</v>
      </c>
      <c r="G19" s="1">
        <v>14</v>
      </c>
      <c r="H19" s="15" t="e">
        <f ca="1">($I19*($I$14*$H$13)/$F19)</f>
        <v>#NAME?</v>
      </c>
      <c r="I19" s="26">
        <f>ROUND(G19/I$18,0)</f>
        <v>14</v>
      </c>
      <c r="J19" s="177"/>
      <c r="K19" s="15" t="e">
        <f ca="1">($J19*($I$14*$H$14)/$F19)</f>
        <v>#NAME?</v>
      </c>
      <c r="L19" s="164" t="e">
        <f ca="1">$F19</f>
        <v>#NAME?</v>
      </c>
      <c r="M19" s="164">
        <f ca="1">[1]!d("FON_PAT",$C19,$F$3)</f>
        <v>1330397.3999999999</v>
      </c>
      <c r="N19" s="165" t="e">
        <f ca="1">($J19*($I$14*$H$42)/$L19)</f>
        <v>#NAME?</v>
      </c>
      <c r="O19" s="169" t="e">
        <f ca="1">$J19*($H$13-$H$14)*$I$14</f>
        <v>#NAME?</v>
      </c>
      <c r="P19" s="169" t="e">
        <f ca="1">$J19*($H$13-$H$15)*$I$14</f>
        <v>#NAME?</v>
      </c>
      <c r="Q19" s="171" t="e">
        <f ca="1">$O19/$M19</f>
        <v>#NAME?</v>
      </c>
      <c r="R19" s="169" t="e">
        <f ca="1">J19*$H$17</f>
        <v>#NAME?</v>
      </c>
      <c r="S19" s="173" t="e">
        <f ca="1">$P19/$M19</f>
        <v>#NAME?</v>
      </c>
      <c r="T19" s="173" t="e">
        <f ca="1">Q19+S19</f>
        <v>#NAME?</v>
      </c>
      <c r="U19" s="174" t="s">
        <v>93</v>
      </c>
    </row>
    <row r="20" spans="3:21" x14ac:dyDescent="0.25">
      <c r="C20">
        <f>$C8</f>
        <v>447</v>
      </c>
      <c r="D20" s="160" t="str">
        <f>[1]!d("ent_ape",C20)</f>
        <v>TREA RENTA FIJA MIXTA FI</v>
      </c>
      <c r="E20" s="121" t="str">
        <f>[1]!d("ent_ape",C20)</f>
        <v>TREA RENTA FIJA MIXTA FI</v>
      </c>
      <c r="F20" s="8" t="e">
        <f ca="1">F8-K8</f>
        <v>#NAME?</v>
      </c>
      <c r="G20" s="1">
        <v>134</v>
      </c>
      <c r="H20" s="15" t="e">
        <f ca="1">($I20*($I$14*$H$13)/$F20)</f>
        <v>#NAME?</v>
      </c>
      <c r="I20" s="26">
        <f>ROUND(G20/I$18,0)</f>
        <v>134</v>
      </c>
      <c r="J20" s="177"/>
      <c r="K20" s="15" t="e">
        <f ca="1">($J20*($I$14*$H$14)/$F20)</f>
        <v>#NAME?</v>
      </c>
      <c r="L20" s="164" t="e">
        <f ca="1">$F20</f>
        <v>#NAME?</v>
      </c>
      <c r="M20" s="164">
        <f ca="1">[1]!d("FON_PAT",$C20,$F$3)</f>
        <v>36995492.93</v>
      </c>
      <c r="N20" s="165" t="e">
        <f ca="1">($J20*($I$14*$H$42)/$L20)</f>
        <v>#NAME?</v>
      </c>
      <c r="O20" s="169" t="e">
        <f ca="1">$J20*($H$13-$H$14)*$I$14</f>
        <v>#NAME?</v>
      </c>
      <c r="P20" s="169" t="e">
        <f ca="1">$J20*($H$13-$H$15)*$I$14</f>
        <v>#NAME?</v>
      </c>
      <c r="Q20" s="171" t="e">
        <f ca="1">$O20/$M20</f>
        <v>#NAME?</v>
      </c>
      <c r="R20" s="169" t="e">
        <f ca="1">J20*$H$17</f>
        <v>#NAME?</v>
      </c>
      <c r="S20" s="173" t="e">
        <f ca="1">$P20/$M20</f>
        <v>#NAME?</v>
      </c>
      <c r="T20" s="173" t="e">
        <f ca="1">Q20+S20</f>
        <v>#NAME?</v>
      </c>
      <c r="U20" s="174" t="s">
        <v>94</v>
      </c>
    </row>
    <row r="21" spans="3:21" x14ac:dyDescent="0.25">
      <c r="C21">
        <f>$C9</f>
        <v>437</v>
      </c>
      <c r="D21" s="160" t="str">
        <f>[1]!d("ent_ape",C21)</f>
        <v>TREA GLOBAL FLEXIBLE, FI</v>
      </c>
      <c r="E21" s="121" t="str">
        <f>[1]!d("ent_ape",C21)</f>
        <v>TREA GLOBAL FLEXIBLE, FI</v>
      </c>
      <c r="F21" s="8" t="e">
        <f ca="1">F9-K9</f>
        <v>#NAME?</v>
      </c>
      <c r="G21" s="1">
        <v>182</v>
      </c>
      <c r="H21" s="15" t="e">
        <f ca="1">($I21*($I$14*$H$13)/$F21)</f>
        <v>#NAME?</v>
      </c>
      <c r="I21" s="26">
        <f>ROUND(G21/I$18,0)</f>
        <v>182</v>
      </c>
      <c r="J21" s="177"/>
      <c r="K21" s="15" t="e">
        <f ca="1">($J21*($I$14*$H$14)/$F21)</f>
        <v>#NAME?</v>
      </c>
      <c r="L21" s="164" t="e">
        <f ca="1">$F21</f>
        <v>#NAME?</v>
      </c>
      <c r="M21" s="164">
        <f ca="1">[1]!d("FON_PAT",$C21,$F$3)</f>
        <v>27757494.289999999</v>
      </c>
      <c r="N21" s="165" t="e">
        <f ca="1">($J21*($I$14*$H$42)/$L21)</f>
        <v>#NAME?</v>
      </c>
      <c r="O21" s="169" t="e">
        <f ca="1">$J21*($H$13-$H$14)*$I$14</f>
        <v>#NAME?</v>
      </c>
      <c r="P21" s="169" t="e">
        <f ca="1">$J21*($H$13-$H$15)*$I$14</f>
        <v>#NAME?</v>
      </c>
      <c r="Q21" s="171" t="e">
        <f ca="1">$O21/$M21</f>
        <v>#NAME?</v>
      </c>
      <c r="R21" s="169" t="e">
        <f ca="1">J21*$H$17</f>
        <v>#NAME?</v>
      </c>
      <c r="S21" s="173" t="e">
        <f ca="1">$P21/$M21</f>
        <v>#NAME?</v>
      </c>
      <c r="T21" s="173" t="e">
        <f ca="1">Q21+S21</f>
        <v>#NAME?</v>
      </c>
      <c r="U21" s="174" t="s">
        <v>95</v>
      </c>
    </row>
    <row r="22" spans="3:21" x14ac:dyDescent="0.25">
      <c r="C22">
        <f>$C10</f>
        <v>485</v>
      </c>
      <c r="D22" s="160" t="str">
        <f>[1]!d("ent_ape",C22)</f>
        <v>TREA RV, FP</v>
      </c>
      <c r="E22" s="121" t="str">
        <f>[1]!d("ent_ape",C22)</f>
        <v>TREA RV, FP</v>
      </c>
      <c r="F22" s="8" t="e">
        <f ca="1">F10-K10</f>
        <v>#NAME?</v>
      </c>
      <c r="G22" s="1">
        <v>116</v>
      </c>
      <c r="H22" s="15" t="e">
        <f ca="1">($I22*($I$14*$H$13)/$F22)</f>
        <v>#NAME?</v>
      </c>
      <c r="I22" s="26">
        <f>ROUND(G22/I$18,0)</f>
        <v>116</v>
      </c>
      <c r="J22" s="177"/>
      <c r="K22" s="15" t="e">
        <f ca="1">($J22*($I$14*$H$14)/$F22)</f>
        <v>#NAME?</v>
      </c>
      <c r="L22" s="164" t="e">
        <f ca="1">$F22</f>
        <v>#NAME?</v>
      </c>
      <c r="M22" s="164">
        <f ca="1">[1]!d("FON_PAT",$C22,$F$3)</f>
        <v>5942300.5899999999</v>
      </c>
      <c r="N22" s="165" t="e">
        <f ca="1">($J22*($I$14*$H$42)/$L22)</f>
        <v>#NAME?</v>
      </c>
      <c r="O22" s="169" t="e">
        <f ca="1">$J22*($H$13-$H$14)*$I$14</f>
        <v>#NAME?</v>
      </c>
      <c r="P22" s="169" t="e">
        <f ca="1">$J22*($H$13-$H$15)*$I$14</f>
        <v>#NAME?</v>
      </c>
      <c r="Q22" s="171" t="e">
        <f ca="1">$O22/$M22</f>
        <v>#NAME?</v>
      </c>
      <c r="R22" s="169" t="e">
        <f ca="1">J22*$H$17</f>
        <v>#NAME?</v>
      </c>
      <c r="S22" s="173" t="e">
        <f ca="1">$P22/$M22</f>
        <v>#NAME?</v>
      </c>
      <c r="T22" s="173" t="e">
        <f ca="1">Q22+S22</f>
        <v>#NAME?</v>
      </c>
      <c r="U22" s="174" t="s">
        <v>96</v>
      </c>
    </row>
    <row r="23" spans="3:21" ht="15.75" thickBot="1" x14ac:dyDescent="0.3">
      <c r="E23" s="121"/>
      <c r="F23" s="8"/>
      <c r="G23" s="17"/>
      <c r="H23" s="24"/>
      <c r="I23" s="25"/>
      <c r="J23" s="178"/>
      <c r="K23" s="15"/>
      <c r="L23" s="164"/>
      <c r="M23" s="164"/>
      <c r="N23" s="165"/>
      <c r="O23" s="169"/>
      <c r="P23" s="169"/>
      <c r="Q23" s="171"/>
      <c r="R23" s="169"/>
      <c r="S23" s="173"/>
      <c r="T23" s="173"/>
      <c r="U23" s="174"/>
    </row>
    <row r="24" spans="3:21" x14ac:dyDescent="0.25">
      <c r="F24" s="8"/>
      <c r="G24" s="1">
        <f>SUM(G19:G23)</f>
        <v>446</v>
      </c>
      <c r="H24" s="15"/>
      <c r="I24" s="26">
        <f>SUM(I19:I23)</f>
        <v>446</v>
      </c>
      <c r="J24" s="1">
        <f>SUM(J19:J23)</f>
        <v>0</v>
      </c>
      <c r="N24" s="12"/>
    </row>
    <row r="26" spans="3:21" ht="15.75" thickBot="1" x14ac:dyDescent="0.3"/>
    <row r="27" spans="3:21" ht="16.5" thickTop="1" thickBot="1" x14ac:dyDescent="0.3">
      <c r="E27" s="117" t="s">
        <v>106</v>
      </c>
      <c r="F27" s="10" t="s">
        <v>113</v>
      </c>
      <c r="H27" s="14" t="e">
        <f ca="1">_xll.BDP(F27,"last_price")</f>
        <v>#NAME?</v>
      </c>
    </row>
    <row r="28" spans="3:21" ht="15.75" thickTop="1" x14ac:dyDescent="0.25">
      <c r="E28" s="180" t="e">
        <f ca="1">H27-H28</f>
        <v>#NAME?</v>
      </c>
      <c r="F28" s="20" t="s">
        <v>19</v>
      </c>
      <c r="H28" s="18"/>
      <c r="I28">
        <v>20</v>
      </c>
    </row>
    <row r="29" spans="3:21" x14ac:dyDescent="0.25">
      <c r="F29" s="20" t="s">
        <v>15</v>
      </c>
      <c r="G29" s="11"/>
      <c r="H29" s="19" t="e">
        <f ca="1">_xll.BDP(F27,"PX_YEST_CLOSE")</f>
        <v>#NAME?</v>
      </c>
    </row>
    <row r="30" spans="3:21" x14ac:dyDescent="0.25">
      <c r="F30" s="20" t="s">
        <v>16</v>
      </c>
      <c r="G30" s="11"/>
      <c r="H30" s="21" t="e">
        <f ca="1">50*H27</f>
        <v>#NAME?</v>
      </c>
      <c r="U30" s="10" t="s">
        <v>97</v>
      </c>
    </row>
    <row r="31" spans="3:21" x14ac:dyDescent="0.25">
      <c r="E31" s="13" t="s">
        <v>18</v>
      </c>
      <c r="F31" s="20" t="s">
        <v>17</v>
      </c>
      <c r="G31" s="11"/>
      <c r="H31" s="21" t="e">
        <f ca="1">_xll.BDP(F27,"FUT_INIT_SPEC_ML")</f>
        <v>#NAME?</v>
      </c>
      <c r="J31" s="176" t="s">
        <v>100</v>
      </c>
      <c r="L31" s="168" t="s">
        <v>84</v>
      </c>
      <c r="N31" s="168" t="s">
        <v>101</v>
      </c>
      <c r="U31" s="10" t="s">
        <v>98</v>
      </c>
    </row>
    <row r="32" spans="3:21" ht="15.75" thickBot="1" x14ac:dyDescent="0.3">
      <c r="F32" s="6" t="s">
        <v>99</v>
      </c>
      <c r="G32" s="16"/>
      <c r="H32" s="16"/>
      <c r="I32" s="25">
        <v>1</v>
      </c>
      <c r="J32" s="179" t="s">
        <v>30</v>
      </c>
      <c r="L32" s="168" t="s">
        <v>85</v>
      </c>
      <c r="N32" s="168" t="s">
        <v>87</v>
      </c>
      <c r="O32" s="166" t="s">
        <v>86</v>
      </c>
      <c r="P32" s="170" t="s">
        <v>88</v>
      </c>
      <c r="Q32" s="170" t="s">
        <v>89</v>
      </c>
      <c r="R32" s="170" t="s">
        <v>17</v>
      </c>
      <c r="S32" s="172" t="s">
        <v>90</v>
      </c>
      <c r="T32" s="167" t="s">
        <v>91</v>
      </c>
      <c r="U32" s="167" t="s">
        <v>92</v>
      </c>
    </row>
    <row r="33" spans="3:21" x14ac:dyDescent="0.25">
      <c r="C33">
        <f>$C7</f>
        <v>480</v>
      </c>
      <c r="D33" s="160" t="str">
        <f>[1]!d("ent_ape",C33)</f>
        <v>TREA RV MIXTA, FP</v>
      </c>
      <c r="E33" s="121" t="str">
        <f>[1]!d("ent_ape",C33)</f>
        <v>TREA RV MIXTA, FP</v>
      </c>
      <c r="F33" s="8">
        <f>J7</f>
        <v>330000</v>
      </c>
      <c r="G33" s="1">
        <v>14</v>
      </c>
      <c r="H33" s="15" t="e">
        <f ca="1">($I33*($I$28*$H$41)/$F33)</f>
        <v>#NAME?</v>
      </c>
      <c r="I33" s="26">
        <f>ROUND(G33/$I$32,0)</f>
        <v>14</v>
      </c>
      <c r="J33" s="177"/>
      <c r="K33" s="15">
        <f>($J33*($I$28*$H$42)/$F33)</f>
        <v>0</v>
      </c>
      <c r="L33" s="164">
        <f>$F33</f>
        <v>330000</v>
      </c>
      <c r="M33" s="164">
        <f ca="1">[1]!d("FON_PAT",$C33,$F$3)</f>
        <v>1330397.3999999999</v>
      </c>
      <c r="N33" s="165">
        <f>($J33*($I$28*$H$42)/$L33)</f>
        <v>0</v>
      </c>
      <c r="O33" s="169" t="e">
        <f ca="1">$J33*($H$27-$H$28)*$I$28</f>
        <v>#NAME?</v>
      </c>
      <c r="P33" s="169" t="e">
        <f ca="1">$J33*($H$27-$H$29)*$I$28</f>
        <v>#NAME?</v>
      </c>
      <c r="Q33" s="171" t="e">
        <f ca="1">$O33/$M33</f>
        <v>#NAME?</v>
      </c>
      <c r="R33" s="169" t="e">
        <f ca="1">J33*$H$31</f>
        <v>#NAME?</v>
      </c>
      <c r="S33" s="173" t="e">
        <f ca="1">$P33/$M33</f>
        <v>#NAME?</v>
      </c>
      <c r="T33" s="173" t="e">
        <f ca="1">Q33+S33</f>
        <v>#NAME?</v>
      </c>
      <c r="U33" s="174" t="s">
        <v>93</v>
      </c>
    </row>
    <row r="34" spans="3:21" x14ac:dyDescent="0.25">
      <c r="C34">
        <f>$C8</f>
        <v>447</v>
      </c>
      <c r="D34" s="160" t="str">
        <f>[1]!d("ent_ape",C34)</f>
        <v>TREA RENTA FIJA MIXTA FI</v>
      </c>
      <c r="E34" s="121" t="str">
        <f>[1]!d("ent_ape",C34)</f>
        <v>TREA RENTA FIJA MIXTA FI</v>
      </c>
      <c r="F34" s="8">
        <f>J8</f>
        <v>9750000</v>
      </c>
      <c r="G34" s="1">
        <v>130</v>
      </c>
      <c r="H34" s="15" t="e">
        <f ca="1">($I34*($I$28*$H$41)/$F34)</f>
        <v>#NAME?</v>
      </c>
      <c r="I34" s="26">
        <f>ROUND(G34/$I$32,0)</f>
        <v>130</v>
      </c>
      <c r="J34" s="177"/>
      <c r="K34" s="15">
        <f>($J34*($I$28*$H$42)/$F34)</f>
        <v>0</v>
      </c>
      <c r="L34" s="164">
        <f>$F34</f>
        <v>9750000</v>
      </c>
      <c r="M34" s="164">
        <f ca="1">[1]!d("FON_PAT",$C34,$F$3)</f>
        <v>36995492.93</v>
      </c>
      <c r="N34" s="165">
        <f>($J34*($I$28*$H$42)/$L34)</f>
        <v>0</v>
      </c>
      <c r="O34" s="169" t="e">
        <f ca="1">$J34*($H$27-$H$28)*$I$28</f>
        <v>#NAME?</v>
      </c>
      <c r="P34" s="169" t="e">
        <f ca="1">$J34*($H$27-$H$29)*$I$28</f>
        <v>#NAME?</v>
      </c>
      <c r="Q34" s="171" t="e">
        <f ca="1">$O34/$M34</f>
        <v>#NAME?</v>
      </c>
      <c r="R34" s="169" t="e">
        <f ca="1">J34*$H$31</f>
        <v>#NAME?</v>
      </c>
      <c r="S34" s="173" t="e">
        <f ca="1">$P34/$M34</f>
        <v>#NAME?</v>
      </c>
      <c r="T34" s="173" t="e">
        <f ca="1">Q34+S34</f>
        <v>#NAME?</v>
      </c>
      <c r="U34" s="174" t="s">
        <v>94</v>
      </c>
    </row>
    <row r="35" spans="3:21" x14ac:dyDescent="0.25">
      <c r="C35">
        <f>$C9</f>
        <v>437</v>
      </c>
      <c r="D35" s="160" t="str">
        <f>[1]!d("ent_ape",C35)</f>
        <v>TREA GLOBAL FLEXIBLE, FI</v>
      </c>
      <c r="E35" s="121" t="str">
        <f>[1]!d("ent_ape",C35)</f>
        <v>TREA GLOBAL FLEXIBLE, FI</v>
      </c>
      <c r="F35" s="8">
        <f>J9</f>
        <v>18400000</v>
      </c>
      <c r="G35" s="1">
        <v>176</v>
      </c>
      <c r="H35" s="15" t="e">
        <f ca="1">($I35*($I$28*$H$41)/$F35)</f>
        <v>#NAME?</v>
      </c>
      <c r="I35" s="26">
        <f>ROUND(G35/$I$32,0)</f>
        <v>176</v>
      </c>
      <c r="J35" s="177"/>
      <c r="K35" s="15">
        <f>($J35*($I$28*$H$42)/$F35)</f>
        <v>0</v>
      </c>
      <c r="L35" s="164">
        <f>$F35</f>
        <v>18400000</v>
      </c>
      <c r="M35" s="164">
        <f ca="1">[1]!d("FON_PAT",$C35,$F$3)</f>
        <v>27757494.289999999</v>
      </c>
      <c r="N35" s="165">
        <f>($J35*($I$28*$H$42)/$L35)</f>
        <v>0</v>
      </c>
      <c r="O35" s="169" t="e">
        <f ca="1">$J35*($H$27-$H$28)*$I$28</f>
        <v>#NAME?</v>
      </c>
      <c r="P35" s="169" t="e">
        <f ca="1">$J35*($H$27-$H$29)*$I$28</f>
        <v>#NAME?</v>
      </c>
      <c r="Q35" s="171" t="e">
        <f ca="1">$O35/$M35</f>
        <v>#NAME?</v>
      </c>
      <c r="R35" s="169" t="e">
        <f ca="1">J35*$H$31</f>
        <v>#NAME?</v>
      </c>
      <c r="S35" s="173" t="e">
        <f ca="1">$P35/$M35</f>
        <v>#NAME?</v>
      </c>
      <c r="T35" s="173" t="e">
        <f ca="1">Q35+S35</f>
        <v>#NAME?</v>
      </c>
      <c r="U35" s="174" t="s">
        <v>95</v>
      </c>
    </row>
    <row r="36" spans="3:21" x14ac:dyDescent="0.25">
      <c r="C36">
        <f>$C10</f>
        <v>485</v>
      </c>
      <c r="D36" s="160" t="str">
        <f>[1]!d("ent_ape",C36)</f>
        <v>TREA RV, FP</v>
      </c>
      <c r="E36" s="121" t="str">
        <f>[1]!d("ent_ape",C36)</f>
        <v>TREA RV, FP</v>
      </c>
      <c r="F36" s="8">
        <f>J10</f>
        <v>8000000</v>
      </c>
      <c r="G36" s="1">
        <v>112</v>
      </c>
      <c r="H36" s="15" t="e">
        <f ca="1">($I36*($I$28*$H$41)/$F36)</f>
        <v>#NAME?</v>
      </c>
      <c r="I36" s="26">
        <f>ROUND(G36/$I$32,0)</f>
        <v>112</v>
      </c>
      <c r="J36" s="177"/>
      <c r="K36" s="15">
        <f>($J36*($I$28*$H$42)/$F36)</f>
        <v>0</v>
      </c>
      <c r="L36" s="164">
        <f>$F36</f>
        <v>8000000</v>
      </c>
      <c r="M36" s="164">
        <f ca="1">[1]!d("FON_PAT",$C36,$F$3)</f>
        <v>5942300.5899999999</v>
      </c>
      <c r="N36" s="165">
        <f>($J36*($I$28*$H$42)/$L36)</f>
        <v>0</v>
      </c>
      <c r="O36" s="169" t="e">
        <f ca="1">$J36*($H$27-$H$28)*$I$28</f>
        <v>#NAME?</v>
      </c>
      <c r="P36" s="169" t="e">
        <f ca="1">$J36*($H$27-$H$29)*$I$28</f>
        <v>#NAME?</v>
      </c>
      <c r="Q36" s="171" t="e">
        <f ca="1">$O36/$M36</f>
        <v>#NAME?</v>
      </c>
      <c r="R36" s="169" t="e">
        <f ca="1">J36*$H$31</f>
        <v>#NAME?</v>
      </c>
      <c r="S36" s="173" t="e">
        <f ca="1">$P36/$M36</f>
        <v>#NAME?</v>
      </c>
      <c r="T36" s="173" t="e">
        <f ca="1">Q36+S36</f>
        <v>#NAME?</v>
      </c>
      <c r="U36" s="174" t="s">
        <v>96</v>
      </c>
    </row>
    <row r="37" spans="3:21" ht="15.75" thickBot="1" x14ac:dyDescent="0.3">
      <c r="E37" s="121"/>
      <c r="F37" s="8"/>
      <c r="G37" s="17"/>
      <c r="H37" s="24"/>
      <c r="I37" s="25"/>
      <c r="J37" s="178"/>
      <c r="K37" s="15"/>
      <c r="L37" s="164"/>
      <c r="M37" s="164"/>
      <c r="N37" s="165"/>
      <c r="O37" s="169"/>
      <c r="P37" s="169"/>
      <c r="Q37" s="171"/>
      <c r="R37" s="169"/>
      <c r="S37" s="173"/>
      <c r="T37" s="173"/>
      <c r="U37" s="174"/>
    </row>
    <row r="38" spans="3:21" x14ac:dyDescent="0.25">
      <c r="G38">
        <f>SUM(G33:G37)</f>
        <v>432</v>
      </c>
      <c r="I38" s="26">
        <f>SUM(I33:I37)</f>
        <v>432</v>
      </c>
      <c r="J38" s="1">
        <f>SUM(J33:J37)</f>
        <v>0</v>
      </c>
    </row>
    <row r="40" spans="3:21" ht="15.75" thickBot="1" x14ac:dyDescent="0.3"/>
    <row r="41" spans="3:21" ht="16.5" thickTop="1" thickBot="1" x14ac:dyDescent="0.3">
      <c r="E41" s="117" t="s">
        <v>103</v>
      </c>
      <c r="F41" s="10" t="s">
        <v>114</v>
      </c>
      <c r="H41" s="14" t="e">
        <f ca="1">_xll.BDP(F41,"last_price")</f>
        <v>#NAME?</v>
      </c>
    </row>
    <row r="42" spans="3:21" ht="15.75" thickTop="1" x14ac:dyDescent="0.25">
      <c r="E42" s="180" t="e">
        <f ca="1">H41-H42</f>
        <v>#NAME?</v>
      </c>
      <c r="F42" s="20" t="s">
        <v>19</v>
      </c>
      <c r="H42" s="18"/>
      <c r="I42">
        <v>50</v>
      </c>
    </row>
    <row r="43" spans="3:21" x14ac:dyDescent="0.25">
      <c r="F43" s="20" t="s">
        <v>15</v>
      </c>
      <c r="G43" s="11"/>
      <c r="H43" s="19" t="e">
        <f ca="1">_xll.BDP(F41,"PX_YEST_CLOSE")</f>
        <v>#NAME?</v>
      </c>
    </row>
    <row r="44" spans="3:21" x14ac:dyDescent="0.25">
      <c r="F44" s="20" t="s">
        <v>16</v>
      </c>
      <c r="G44" s="11"/>
      <c r="H44" s="21" t="e">
        <f ca="1">50*H41</f>
        <v>#NAME?</v>
      </c>
      <c r="U44" s="10" t="s">
        <v>97</v>
      </c>
    </row>
    <row r="45" spans="3:21" x14ac:dyDescent="0.25">
      <c r="E45" s="13" t="s">
        <v>18</v>
      </c>
      <c r="F45" s="20" t="s">
        <v>17</v>
      </c>
      <c r="G45" s="11"/>
      <c r="H45" s="21" t="e">
        <f ca="1">_xll.BDP(F41,"FUT_INIT_SPEC_ML")</f>
        <v>#NAME?</v>
      </c>
      <c r="J45" s="176" t="s">
        <v>100</v>
      </c>
      <c r="L45" s="168" t="s">
        <v>84</v>
      </c>
      <c r="N45" s="168" t="s">
        <v>101</v>
      </c>
      <c r="U45" s="10" t="s">
        <v>98</v>
      </c>
    </row>
    <row r="46" spans="3:21" ht="15.75" thickBot="1" x14ac:dyDescent="0.3">
      <c r="F46" s="6" t="s">
        <v>99</v>
      </c>
      <c r="G46" s="16"/>
      <c r="H46" s="16"/>
      <c r="I46" s="25">
        <v>1</v>
      </c>
      <c r="J46" s="179" t="s">
        <v>30</v>
      </c>
      <c r="L46" s="168" t="s">
        <v>85</v>
      </c>
      <c r="N46" s="168" t="s">
        <v>87</v>
      </c>
      <c r="O46" s="166" t="s">
        <v>86</v>
      </c>
      <c r="P46" s="170" t="s">
        <v>88</v>
      </c>
      <c r="Q46" s="170" t="s">
        <v>89</v>
      </c>
      <c r="R46" s="170" t="s">
        <v>17</v>
      </c>
      <c r="S46" s="172" t="s">
        <v>90</v>
      </c>
      <c r="T46" s="167" t="s">
        <v>91</v>
      </c>
      <c r="U46" s="167" t="s">
        <v>92</v>
      </c>
    </row>
    <row r="47" spans="3:21" x14ac:dyDescent="0.25">
      <c r="C47">
        <f>C7</f>
        <v>480</v>
      </c>
      <c r="D47" s="160" t="str">
        <f>[1]!d("ent_ape",C47)</f>
        <v>TREA RV MIXTA, FP</v>
      </c>
      <c r="E47" s="121" t="str">
        <f>[1]!d("ent_ape",C47)</f>
        <v>TREA RV MIXTA, FP</v>
      </c>
      <c r="F47" s="7">
        <f>J7</f>
        <v>330000</v>
      </c>
      <c r="G47" s="1">
        <v>2</v>
      </c>
      <c r="H47" s="15" t="e">
        <f ca="1">($I47*($I$42*$H$41)/$F47)</f>
        <v>#NAME?</v>
      </c>
      <c r="I47" s="26">
        <f>ROUND(G47/$I$46,0)</f>
        <v>2</v>
      </c>
      <c r="J47" s="177"/>
      <c r="K47" s="15">
        <f>($J47*($I$42*$H$42)/$F47)</f>
        <v>0</v>
      </c>
      <c r="L47" s="164">
        <f>$F47</f>
        <v>330000</v>
      </c>
      <c r="M47" s="164">
        <f ca="1">[1]!d("FON_PAT",$C47,$F$3)</f>
        <v>1330397.3999999999</v>
      </c>
      <c r="N47" s="165">
        <f>($J47*($I$42*$H$42)/$L47)</f>
        <v>0</v>
      </c>
      <c r="O47" s="169" t="e">
        <f ca="1">$J47*($H$41-$H$42)*$I$42</f>
        <v>#NAME?</v>
      </c>
      <c r="P47" s="169" t="e">
        <f ca="1">$J47*($H$41-$H$43)*$I$42</f>
        <v>#NAME?</v>
      </c>
      <c r="Q47" s="171" t="e">
        <f ca="1">$O47/$M47</f>
        <v>#NAME?</v>
      </c>
      <c r="R47" s="169" t="e">
        <f ca="1">J47*$H$45</f>
        <v>#NAME?</v>
      </c>
      <c r="S47" s="173" t="e">
        <f ca="1">$P47/$M47</f>
        <v>#NAME?</v>
      </c>
      <c r="T47" s="173" t="e">
        <f ca="1">Q47+S47</f>
        <v>#NAME?</v>
      </c>
      <c r="U47" s="174" t="s">
        <v>93</v>
      </c>
    </row>
    <row r="48" spans="3:21" x14ac:dyDescent="0.25">
      <c r="C48">
        <f>C8</f>
        <v>447</v>
      </c>
      <c r="D48" s="160" t="str">
        <f>[1]!d("ent_ape",C48)</f>
        <v>TREA RENTA FIJA MIXTA FI</v>
      </c>
      <c r="E48" s="121" t="str">
        <f>[1]!d("ent_ape",C48)</f>
        <v>TREA RENTA FIJA MIXTA FI</v>
      </c>
      <c r="F48" s="7">
        <f>J8</f>
        <v>9750000</v>
      </c>
      <c r="G48" s="1">
        <v>27</v>
      </c>
      <c r="H48" s="15" t="e">
        <f ca="1">($I48*($I$42*$H$41)/$F48)</f>
        <v>#NAME?</v>
      </c>
      <c r="I48" s="26">
        <f>ROUND(G48/$I$46,0)</f>
        <v>27</v>
      </c>
      <c r="J48" s="177"/>
      <c r="K48" s="15">
        <f>($J48*($I$42*$H$42)/$F48)</f>
        <v>0</v>
      </c>
      <c r="L48" s="164">
        <f>$F48</f>
        <v>9750000</v>
      </c>
      <c r="M48" s="164">
        <f ca="1">[1]!d("FON_PAT",$C48,$F$3)</f>
        <v>36995492.93</v>
      </c>
      <c r="N48" s="165">
        <f>($J48*($I$42*$H$42)/$L48)</f>
        <v>0</v>
      </c>
      <c r="O48" s="169" t="e">
        <f ca="1">$J48*($H$41-$H$42)*$I$42</f>
        <v>#NAME?</v>
      </c>
      <c r="P48" s="169" t="e">
        <f ca="1">$J48*($H$41-$H$43)*$I$42</f>
        <v>#NAME?</v>
      </c>
      <c r="Q48" s="171" t="e">
        <f ca="1">$O48/$M48</f>
        <v>#NAME?</v>
      </c>
      <c r="R48" s="169" t="e">
        <f ca="1">J48*$H$45</f>
        <v>#NAME?</v>
      </c>
      <c r="S48" s="173" t="e">
        <f ca="1">$P48/$M48</f>
        <v>#NAME?</v>
      </c>
      <c r="T48" s="173" t="e">
        <f ca="1">Q48+S48</f>
        <v>#NAME?</v>
      </c>
      <c r="U48" s="174" t="s">
        <v>94</v>
      </c>
    </row>
    <row r="49" spans="3:21" x14ac:dyDescent="0.25">
      <c r="C49">
        <f>C9</f>
        <v>437</v>
      </c>
      <c r="D49" s="160" t="str">
        <f>[1]!d("ent_ape",C49)</f>
        <v>TREA GLOBAL FLEXIBLE, FI</v>
      </c>
      <c r="E49" s="121" t="str">
        <f>[1]!d("ent_ape",C49)</f>
        <v>TREA GLOBAL FLEXIBLE, FI</v>
      </c>
      <c r="F49" s="7">
        <f>J9</f>
        <v>18400000</v>
      </c>
      <c r="G49" s="1">
        <v>54</v>
      </c>
      <c r="H49" s="15" t="e">
        <f ca="1">($I49*($I$42*$H$41)/$F49)</f>
        <v>#NAME?</v>
      </c>
      <c r="I49" s="26">
        <f>ROUND(G49/$I$46,0)</f>
        <v>54</v>
      </c>
      <c r="J49" s="177"/>
      <c r="K49" s="15">
        <f>($J49*($I$42*$H$42)/$F49)</f>
        <v>0</v>
      </c>
      <c r="L49" s="164">
        <f>$F49</f>
        <v>18400000</v>
      </c>
      <c r="M49" s="164">
        <f ca="1">[1]!d("FON_PAT",$C49,$F$3)</f>
        <v>27757494.289999999</v>
      </c>
      <c r="N49" s="165">
        <f>($J49*($I$42*$H$42)/$L49)</f>
        <v>0</v>
      </c>
      <c r="O49" s="169" t="e">
        <f ca="1">$J49*($H$41-$H$42)*$I$42</f>
        <v>#NAME?</v>
      </c>
      <c r="P49" s="169" t="e">
        <f ca="1">$J49*($H$41-$H$43)*$I$42</f>
        <v>#NAME?</v>
      </c>
      <c r="Q49" s="171" t="e">
        <f ca="1">$O49/$M49</f>
        <v>#NAME?</v>
      </c>
      <c r="R49" s="169" t="e">
        <f ca="1">J49*$H$45</f>
        <v>#NAME?</v>
      </c>
      <c r="S49" s="173" t="e">
        <f ca="1">$P49/$M49</f>
        <v>#NAME?</v>
      </c>
      <c r="T49" s="173" t="e">
        <f ca="1">Q49+S49</f>
        <v>#NAME?</v>
      </c>
      <c r="U49" s="174" t="s">
        <v>95</v>
      </c>
    </row>
    <row r="50" spans="3:21" x14ac:dyDescent="0.25">
      <c r="C50">
        <f>C10</f>
        <v>485</v>
      </c>
      <c r="D50" s="160" t="str">
        <f>[1]!d("ent_ape",C50)</f>
        <v>TREA RV, FP</v>
      </c>
      <c r="E50" s="121" t="str">
        <f>[1]!d("ent_ape",C50)</f>
        <v>TREA RV, FP</v>
      </c>
      <c r="F50" s="7">
        <f>J10</f>
        <v>8000000</v>
      </c>
      <c r="G50" s="1">
        <v>41</v>
      </c>
      <c r="H50" s="15" t="e">
        <f ca="1">($I50*($I$42*$H$41)/$F50)</f>
        <v>#NAME?</v>
      </c>
      <c r="I50" s="26">
        <f>ROUND(G50/$I$46,0)</f>
        <v>41</v>
      </c>
      <c r="J50" s="177"/>
      <c r="K50" s="15">
        <f>($J50*($I$42*$H$42)/$F50)</f>
        <v>0</v>
      </c>
      <c r="L50" s="164">
        <f>$F50</f>
        <v>8000000</v>
      </c>
      <c r="M50" s="164">
        <f ca="1">[1]!d("FON_PAT",$C50,$F$3)</f>
        <v>5942300.5899999999</v>
      </c>
      <c r="N50" s="165">
        <f>($J50*($I$42*$H$42)/$L50)</f>
        <v>0</v>
      </c>
      <c r="O50" s="169" t="e">
        <f ca="1">$J50*($H$41-$H$42)*$I$42</f>
        <v>#NAME?</v>
      </c>
      <c r="P50" s="169" t="e">
        <f ca="1">$J50*($H$41-$H$43)*$I$42</f>
        <v>#NAME?</v>
      </c>
      <c r="Q50" s="171" t="e">
        <f ca="1">$O50/$M50</f>
        <v>#NAME?</v>
      </c>
      <c r="R50" s="169" t="e">
        <f ca="1">J50*$H$45</f>
        <v>#NAME?</v>
      </c>
      <c r="S50" s="173" t="e">
        <f ca="1">$P50/$M50</f>
        <v>#NAME?</v>
      </c>
      <c r="T50" s="173" t="e">
        <f ca="1">Q50+S50</f>
        <v>#NAME?</v>
      </c>
      <c r="U50" s="174" t="s">
        <v>96</v>
      </c>
    </row>
    <row r="51" spans="3:21" ht="15.75" thickBot="1" x14ac:dyDescent="0.3">
      <c r="E51" s="121"/>
      <c r="F51" s="7"/>
      <c r="G51" s="17"/>
      <c r="H51" s="24"/>
      <c r="I51" s="25"/>
      <c r="J51" s="178"/>
      <c r="K51" s="15"/>
      <c r="L51" s="164"/>
      <c r="M51" s="164"/>
      <c r="N51" s="165"/>
      <c r="O51" s="169"/>
      <c r="P51" s="169"/>
      <c r="Q51" s="171"/>
      <c r="R51" s="169"/>
      <c r="S51" s="173"/>
      <c r="T51" s="173"/>
      <c r="U51" s="174"/>
    </row>
    <row r="52" spans="3:21" x14ac:dyDescent="0.25">
      <c r="G52">
        <f>SUM(G47:G51)</f>
        <v>124</v>
      </c>
      <c r="I52" s="26">
        <f>SUM(I47:I51)</f>
        <v>124</v>
      </c>
      <c r="J52" s="1">
        <f>SUM(J47:J51)</f>
        <v>0</v>
      </c>
    </row>
  </sheetData>
  <conditionalFormatting sqref="H13">
    <cfRule type="cellIs" dxfId="19" priority="37" stopIfTrue="1" operator="greaterThan">
      <formula>$N$9</formula>
    </cfRule>
    <cfRule type="cellIs" dxfId="18" priority="38" stopIfTrue="1" operator="lessThan">
      <formula>$N$9</formula>
    </cfRule>
    <cfRule type="cellIs" dxfId="17" priority="39" stopIfTrue="1" operator="equal">
      <formula>$N$9</formula>
    </cfRule>
  </conditionalFormatting>
  <conditionalFormatting sqref="H41">
    <cfRule type="cellIs" dxfId="16" priority="34" stopIfTrue="1" operator="greaterThan">
      <formula>$N$9</formula>
    </cfRule>
    <cfRule type="cellIs" dxfId="15" priority="35" stopIfTrue="1" operator="lessThan">
      <formula>$N$9</formula>
    </cfRule>
    <cfRule type="cellIs" dxfId="14" priority="36" stopIfTrue="1" operator="equal">
      <formula>$N$9</formula>
    </cfRule>
  </conditionalFormatting>
  <conditionalFormatting sqref="H27">
    <cfRule type="cellIs" dxfId="13" priority="31" stopIfTrue="1" operator="greaterThan">
      <formula>$N$9</formula>
    </cfRule>
    <cfRule type="cellIs" dxfId="12" priority="32" stopIfTrue="1" operator="lessThan">
      <formula>$N$9</formula>
    </cfRule>
    <cfRule type="cellIs" dxfId="11" priority="33" stopIfTrue="1" operator="equal">
      <formula>$N$9</formula>
    </cfRule>
  </conditionalFormatting>
  <conditionalFormatting sqref="O47:P51 S47:T51 O33:P37 S33:T37 O19:P23 S19:T23">
    <cfRule type="cellIs" dxfId="10" priority="29" stopIfTrue="1" operator="greaterThan">
      <formula>0</formula>
    </cfRule>
    <cfRule type="cellIs" dxfId="9" priority="30" stopIfTrue="1" operator="lessThan">
      <formula>0</formula>
    </cfRule>
  </conditionalFormatting>
  <conditionalFormatting sqref="E42">
    <cfRule type="cellIs" dxfId="8" priority="5" stopIfTrue="1" operator="greaterThan">
      <formula>0</formula>
    </cfRule>
    <cfRule type="cellIs" dxfId="7" priority="6" stopIfTrue="1" operator="lessThan">
      <formula>0</formula>
    </cfRule>
  </conditionalFormatting>
  <conditionalFormatting sqref="E28">
    <cfRule type="cellIs" dxfId="6" priority="3" stopIfTrue="1" operator="greaterThan">
      <formula>0</formula>
    </cfRule>
    <cfRule type="cellIs" dxfId="5" priority="4" stopIfTrue="1" operator="lessThan">
      <formula>0</formula>
    </cfRule>
  </conditionalFormatting>
  <conditionalFormatting sqref="E14">
    <cfRule type="cellIs" dxfId="4" priority="1" stopIfTrue="1" operator="greaterThan">
      <formula>0</formula>
    </cfRule>
    <cfRule type="cellIs" dxfId="3" priority="2" stopIfTrue="1" operator="lessThan">
      <formula>0</formula>
    </cfRule>
  </conditionalFormatting>
  <pageMargins left="0.7" right="0.7" top="0.75" bottom="0.75" header="0.3" footer="0.3"/>
  <pageSetup paperSize="9" scale="3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iaDatos">
                <anchor moveWithCells="1" sizeWithCells="1">
                  <from>
                    <xdr:col>0</xdr:col>
                    <xdr:colOff>66675</xdr:colOff>
                    <xdr:row>0</xdr:row>
                    <xdr:rowOff>38100</xdr:rowOff>
                  </from>
                  <to>
                    <xdr:col>3</xdr:col>
                    <xdr:colOff>295275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T51"/>
  <sheetViews>
    <sheetView showGridLines="0" workbookViewId="0">
      <selection activeCell="K24" sqref="K24"/>
    </sheetView>
  </sheetViews>
  <sheetFormatPr baseColWidth="10" defaultRowHeight="15.75" x14ac:dyDescent="0.25"/>
  <cols>
    <col min="1" max="1" width="1.7109375" style="40" customWidth="1"/>
    <col min="2" max="2" width="6.140625" style="41" customWidth="1"/>
    <col min="3" max="3" width="11.85546875" style="40" bestFit="1" customWidth="1"/>
    <col min="4" max="4" width="1.85546875" style="40" customWidth="1"/>
    <col min="5" max="5" width="7" style="40" customWidth="1"/>
    <col min="6" max="6" width="10.42578125" style="40" customWidth="1"/>
    <col min="7" max="7" width="3.5703125" style="40" customWidth="1"/>
    <col min="8" max="8" width="11.28515625" style="40" customWidth="1"/>
    <col min="9" max="9" width="12.42578125" style="40" customWidth="1"/>
    <col min="10" max="10" width="13.5703125" style="40" customWidth="1"/>
    <col min="11" max="11" width="31" style="40" customWidth="1"/>
    <col min="12" max="12" width="14" style="40" customWidth="1"/>
    <col min="13" max="13" width="5.28515625" style="40" customWidth="1"/>
    <col min="14" max="14" width="13.42578125" style="40" customWidth="1"/>
    <col min="15" max="15" width="9.5703125" style="40" customWidth="1"/>
    <col min="16" max="16" width="4" style="40" customWidth="1"/>
    <col min="17" max="17" width="4.42578125" style="40" customWidth="1"/>
    <col min="18" max="18" width="8.42578125" style="40" customWidth="1"/>
    <col min="19" max="19" width="12.140625" style="40" customWidth="1"/>
    <col min="20" max="21" width="11.7109375" style="40" customWidth="1"/>
    <col min="22" max="16384" width="11.42578125" style="40"/>
  </cols>
  <sheetData>
    <row r="1" spans="2:20" ht="18.75" customHeight="1" x14ac:dyDescent="0.35">
      <c r="B1" s="39"/>
      <c r="D1" s="9"/>
      <c r="E1" s="209">
        <f ca="1">TODAY()-1</f>
        <v>45195</v>
      </c>
      <c r="F1" s="210"/>
    </row>
    <row r="2" spans="2:20" ht="18.75" customHeight="1" x14ac:dyDescent="0.25">
      <c r="C2" s="42"/>
      <c r="F2" s="43"/>
      <c r="I2" s="44"/>
    </row>
    <row r="3" spans="2:20" ht="15.75" customHeight="1" x14ac:dyDescent="0.25">
      <c r="B3" s="211" t="s">
        <v>22</v>
      </c>
      <c r="C3" s="211"/>
      <c r="E3" s="212" t="s">
        <v>23</v>
      </c>
      <c r="F3" s="212"/>
      <c r="H3" s="45"/>
      <c r="I3" s="45"/>
      <c r="J3" s="45"/>
      <c r="S3" s="40">
        <f>+B4*C4*100</f>
        <v>0</v>
      </c>
      <c r="T3" s="40">
        <f t="shared" ref="T3:T49" si="0">+E4*F4*100</f>
        <v>42000000</v>
      </c>
    </row>
    <row r="4" spans="2:20" ht="15" customHeight="1" x14ac:dyDescent="0.25">
      <c r="B4" s="112"/>
      <c r="C4" s="194"/>
      <c r="D4" s="48"/>
      <c r="E4" s="112">
        <v>96</v>
      </c>
      <c r="F4" s="198">
        <v>4375</v>
      </c>
      <c r="G4" s="48"/>
      <c r="H4" s="50" t="s">
        <v>22</v>
      </c>
      <c r="I4" s="51"/>
      <c r="J4" s="45"/>
      <c r="K4" s="45"/>
      <c r="S4" s="40">
        <f>+B5*C5*100</f>
        <v>0</v>
      </c>
      <c r="T4" s="40">
        <f t="shared" si="0"/>
        <v>0</v>
      </c>
    </row>
    <row r="5" spans="2:20" ht="15" customHeight="1" x14ac:dyDescent="0.25">
      <c r="B5" s="46"/>
      <c r="C5" s="49"/>
      <c r="D5" s="48"/>
      <c r="E5" s="46"/>
      <c r="F5" s="49"/>
      <c r="G5" s="52"/>
      <c r="H5" s="53" t="s">
        <v>24</v>
      </c>
      <c r="I5" s="54" t="s">
        <v>25</v>
      </c>
      <c r="J5" s="45"/>
      <c r="K5" s="45"/>
      <c r="L5" s="45">
        <v>4</v>
      </c>
      <c r="S5" s="40">
        <f>+B6*C6*100</f>
        <v>0</v>
      </c>
      <c r="T5" s="40">
        <f t="shared" si="0"/>
        <v>0</v>
      </c>
    </row>
    <row r="6" spans="2:20" ht="15" customHeight="1" x14ac:dyDescent="0.25">
      <c r="B6" s="46"/>
      <c r="C6" s="55"/>
      <c r="D6" s="48"/>
      <c r="E6" s="46"/>
      <c r="F6" s="55"/>
      <c r="G6" s="52"/>
      <c r="H6" s="56">
        <f>+B51</f>
        <v>0</v>
      </c>
      <c r="I6" s="57" t="e">
        <f>+C51</f>
        <v>#DIV/0!</v>
      </c>
      <c r="J6" s="58"/>
      <c r="K6" s="45"/>
      <c r="L6" s="45"/>
      <c r="S6" s="40">
        <f>+B7*C7*100</f>
        <v>0</v>
      </c>
      <c r="T6" s="40">
        <f t="shared" si="0"/>
        <v>0</v>
      </c>
    </row>
    <row r="7" spans="2:20" ht="15" customHeight="1" x14ac:dyDescent="0.25">
      <c r="B7" s="46"/>
      <c r="C7" s="55"/>
      <c r="D7" s="59"/>
      <c r="E7" s="46"/>
      <c r="F7" s="55"/>
      <c r="G7" s="52"/>
      <c r="H7" s="50" t="s">
        <v>23</v>
      </c>
      <c r="I7" s="51"/>
      <c r="J7" s="45"/>
      <c r="K7" s="45"/>
      <c r="L7" s="45">
        <v>20</v>
      </c>
      <c r="M7" s="45"/>
      <c r="S7" s="40">
        <f t="shared" ref="S7:S49" si="1">+B8*C8*100</f>
        <v>0</v>
      </c>
      <c r="T7" s="40">
        <f t="shared" si="0"/>
        <v>0</v>
      </c>
    </row>
    <row r="8" spans="2:20" ht="15" customHeight="1" x14ac:dyDescent="0.25">
      <c r="B8" s="46"/>
      <c r="C8" s="47"/>
      <c r="D8" s="48"/>
      <c r="E8" s="46"/>
      <c r="F8" s="47"/>
      <c r="G8" s="48"/>
      <c r="H8" s="53" t="s">
        <v>24</v>
      </c>
      <c r="I8" s="54" t="s">
        <v>25</v>
      </c>
      <c r="J8" s="45"/>
      <c r="K8" s="45"/>
      <c r="L8" s="45">
        <v>32</v>
      </c>
      <c r="M8" s="45"/>
      <c r="S8" s="40">
        <f t="shared" si="1"/>
        <v>0</v>
      </c>
      <c r="T8" s="40">
        <f t="shared" si="0"/>
        <v>0</v>
      </c>
    </row>
    <row r="9" spans="2:20" ht="15" customHeight="1" x14ac:dyDescent="0.25">
      <c r="B9" s="46"/>
      <c r="C9" s="47"/>
      <c r="D9" s="48"/>
      <c r="E9" s="46"/>
      <c r="F9" s="47"/>
      <c r="G9" s="48"/>
      <c r="H9" s="56">
        <f>+E51</f>
        <v>96</v>
      </c>
      <c r="I9" s="57">
        <f>+F51</f>
        <v>4375</v>
      </c>
      <c r="J9" s="9"/>
      <c r="L9" s="45"/>
      <c r="S9" s="40">
        <f>+B10*C10*100</f>
        <v>0</v>
      </c>
      <c r="T9" s="40">
        <f t="shared" si="0"/>
        <v>0</v>
      </c>
    </row>
    <row r="10" spans="2:20" ht="13.5" customHeight="1" x14ac:dyDescent="0.25">
      <c r="B10" s="46"/>
      <c r="C10" s="47"/>
      <c r="D10" s="60"/>
      <c r="E10" s="46"/>
      <c r="F10" s="47"/>
      <c r="G10" s="48"/>
      <c r="H10" s="61"/>
      <c r="I10" s="45"/>
      <c r="J10" s="45"/>
      <c r="L10" s="45"/>
      <c r="M10" s="62"/>
      <c r="S10" s="40">
        <f>+B11*C11*100</f>
        <v>0</v>
      </c>
      <c r="T10" s="40">
        <f t="shared" si="0"/>
        <v>0</v>
      </c>
    </row>
    <row r="11" spans="2:20" ht="15" customHeight="1" x14ac:dyDescent="0.3">
      <c r="B11" s="46"/>
      <c r="C11" s="47"/>
      <c r="D11" s="60"/>
      <c r="E11" s="46"/>
      <c r="F11" s="47"/>
      <c r="G11" s="48"/>
      <c r="H11" s="63" t="s">
        <v>26</v>
      </c>
      <c r="I11" s="64"/>
      <c r="J11" s="65"/>
      <c r="L11" s="45"/>
      <c r="S11" s="40">
        <f>+B12*C12*100</f>
        <v>0</v>
      </c>
      <c r="T11" s="40">
        <f t="shared" si="0"/>
        <v>0</v>
      </c>
    </row>
    <row r="12" spans="2:20" ht="15" customHeight="1" x14ac:dyDescent="0.25">
      <c r="B12" s="46"/>
      <c r="C12" s="47"/>
      <c r="D12" s="60"/>
      <c r="E12" s="46"/>
      <c r="F12" s="47"/>
      <c r="G12" s="48"/>
      <c r="H12" s="66" t="str">
        <f>IF(H9&gt;H6,"VENDIDO","COMPRADO")</f>
        <v>VENDIDO</v>
      </c>
      <c r="I12" s="67">
        <f>+H6-H9</f>
        <v>-96</v>
      </c>
      <c r="J12" s="68">
        <f>SUM((S50-T50)/I12)/100</f>
        <v>4375</v>
      </c>
      <c r="L12" s="45"/>
      <c r="S12" s="40">
        <f t="shared" si="1"/>
        <v>0</v>
      </c>
      <c r="T12" s="40">
        <f t="shared" si="0"/>
        <v>0</v>
      </c>
    </row>
    <row r="13" spans="2:20" ht="15" customHeight="1" x14ac:dyDescent="0.25">
      <c r="B13" s="46"/>
      <c r="C13" s="47"/>
      <c r="D13" s="48"/>
      <c r="E13" s="46"/>
      <c r="F13" s="47"/>
      <c r="G13" s="48"/>
      <c r="H13" s="69"/>
      <c r="I13" s="70" t="e">
        <f>I9-I6</f>
        <v>#DIV/0!</v>
      </c>
      <c r="J13" s="71" t="e">
        <f>I13*10*H9</f>
        <v>#DIV/0!</v>
      </c>
      <c r="S13" s="40">
        <f t="shared" si="1"/>
        <v>0</v>
      </c>
      <c r="T13" s="40">
        <f t="shared" si="0"/>
        <v>0</v>
      </c>
    </row>
    <row r="14" spans="2:20" ht="13.5" customHeight="1" x14ac:dyDescent="0.25">
      <c r="B14" s="46"/>
      <c r="C14" s="47"/>
      <c r="D14" s="48"/>
      <c r="E14" s="46"/>
      <c r="F14" s="47"/>
      <c r="G14" s="48"/>
      <c r="H14" s="72"/>
      <c r="I14" s="72" t="s">
        <v>4</v>
      </c>
      <c r="J14" s="45"/>
      <c r="S14" s="40">
        <f t="shared" si="1"/>
        <v>0</v>
      </c>
      <c r="T14" s="40">
        <f t="shared" si="0"/>
        <v>0</v>
      </c>
    </row>
    <row r="15" spans="2:20" ht="15" customHeight="1" x14ac:dyDescent="0.25">
      <c r="B15" s="46"/>
      <c r="C15" s="47"/>
      <c r="D15" s="48"/>
      <c r="E15" s="46"/>
      <c r="F15" s="47"/>
      <c r="G15" s="48"/>
      <c r="H15" s="73" t="str">
        <f>'MERCADO (DATOS)'!F13</f>
        <v>VGU3 INDEX</v>
      </c>
      <c r="I15" s="192" t="e">
        <f ca="1">_xll.BDP(H15,I14)</f>
        <v>#NAME?</v>
      </c>
      <c r="J15" s="75"/>
      <c r="K15" s="76" t="e">
        <f ca="1">I15-J12</f>
        <v>#NAME?</v>
      </c>
      <c r="L15" s="77" t="e">
        <f ca="1">I12*10*K15</f>
        <v>#NAME?</v>
      </c>
      <c r="S15" s="40">
        <f t="shared" si="1"/>
        <v>0</v>
      </c>
      <c r="T15" s="40">
        <f t="shared" si="0"/>
        <v>0</v>
      </c>
    </row>
    <row r="16" spans="2:20" ht="15" customHeight="1" x14ac:dyDescent="0.25">
      <c r="B16" s="46"/>
      <c r="C16" s="78"/>
      <c r="D16" s="48"/>
      <c r="E16" s="46"/>
      <c r="F16" s="47"/>
      <c r="G16" s="48"/>
      <c r="H16" s="79"/>
      <c r="I16" s="79"/>
      <c r="J16" s="80"/>
      <c r="S16" s="40">
        <f t="shared" si="1"/>
        <v>0</v>
      </c>
      <c r="T16" s="40">
        <f t="shared" si="0"/>
        <v>0</v>
      </c>
    </row>
    <row r="17" spans="2:20" ht="15" customHeight="1" x14ac:dyDescent="0.25">
      <c r="B17" s="46"/>
      <c r="C17" s="81"/>
      <c r="D17" s="48"/>
      <c r="E17" s="46"/>
      <c r="F17" s="47"/>
      <c r="G17" s="48"/>
      <c r="J17" s="74"/>
      <c r="S17" s="40">
        <f t="shared" si="1"/>
        <v>0</v>
      </c>
      <c r="T17" s="40">
        <f t="shared" si="0"/>
        <v>0</v>
      </c>
    </row>
    <row r="18" spans="2:20" ht="15" customHeight="1" thickBot="1" x14ac:dyDescent="0.3">
      <c r="B18" s="46"/>
      <c r="C18" s="81"/>
      <c r="D18" s="48"/>
      <c r="E18" s="46"/>
      <c r="F18" s="81"/>
      <c r="G18" s="48"/>
      <c r="J18" s="82"/>
      <c r="K18" s="83" t="s">
        <v>27</v>
      </c>
      <c r="L18" s="84" t="s">
        <v>28</v>
      </c>
      <c r="M18" s="85"/>
      <c r="N18" s="86">
        <v>50</v>
      </c>
      <c r="O18" s="87" t="s">
        <v>29</v>
      </c>
      <c r="Q18" s="40">
        <v>0</v>
      </c>
      <c r="S18" s="40">
        <f t="shared" si="1"/>
        <v>0</v>
      </c>
      <c r="T18" s="40">
        <f t="shared" si="0"/>
        <v>0</v>
      </c>
    </row>
    <row r="19" spans="2:20" ht="15" customHeight="1" x14ac:dyDescent="0.25">
      <c r="B19" s="46"/>
      <c r="C19" s="81"/>
      <c r="D19" s="48"/>
      <c r="E19" s="46"/>
      <c r="F19" s="81"/>
      <c r="G19" s="48"/>
      <c r="I19" s="88">
        <v>0.05</v>
      </c>
      <c r="J19" s="88">
        <v>1697</v>
      </c>
      <c r="K19" s="89" t="str">
        <f>[1]!d("ENT_APE",$J19)</f>
        <v>JPMORGAN F-AMERICA EQ-A-D US</v>
      </c>
      <c r="L19" s="90">
        <f ca="1">[1]!d("FON_PAT",$J19,WORKDAY($E$1,-1))</f>
        <v>0</v>
      </c>
      <c r="M19" s="90">
        <f t="shared" ref="M19:M24" si="2">Q19</f>
        <v>0</v>
      </c>
      <c r="N19" s="91" t="e">
        <f t="shared" ref="N19:N24" si="3">M19*$N$18*($I$9-$I$6)</f>
        <v>#DIV/0!</v>
      </c>
      <c r="O19" s="92" t="e">
        <f t="shared" ref="O19:O24" ca="1" si="4">N19/L19</f>
        <v>#DIV/0!</v>
      </c>
      <c r="P19" s="93">
        <v>1</v>
      </c>
      <c r="Q19" s="94">
        <f t="shared" ref="Q19:Q24" si="5">P19*$Q$18</f>
        <v>0</v>
      </c>
      <c r="R19" s="95"/>
      <c r="S19" s="40">
        <f t="shared" si="1"/>
        <v>0</v>
      </c>
      <c r="T19" s="40">
        <f t="shared" si="0"/>
        <v>0</v>
      </c>
    </row>
    <row r="20" spans="2:20" ht="15" customHeight="1" x14ac:dyDescent="0.25">
      <c r="B20" s="46"/>
      <c r="C20" s="81"/>
      <c r="D20" s="48"/>
      <c r="E20" s="46"/>
      <c r="F20" s="81"/>
      <c r="G20" s="60"/>
      <c r="H20" s="96"/>
      <c r="I20" s="88">
        <v>0.7</v>
      </c>
      <c r="J20" s="88">
        <v>205</v>
      </c>
      <c r="K20" s="89" t="str">
        <f>[1]!d("ENT_APE",$J20)</f>
        <v>BMN CARTERA FLEXIBLE 20 FI</v>
      </c>
      <c r="L20" s="90">
        <f ca="1">[1]!d("FON_PAT",$J20,WORKDAY($E$1,-1))</f>
        <v>0</v>
      </c>
      <c r="M20" s="90">
        <f t="shared" si="2"/>
        <v>0</v>
      </c>
      <c r="N20" s="91" t="e">
        <f t="shared" si="3"/>
        <v>#DIV/0!</v>
      </c>
      <c r="O20" s="92" t="e">
        <f t="shared" ca="1" si="4"/>
        <v>#DIV/0!</v>
      </c>
      <c r="P20" s="97">
        <v>1</v>
      </c>
      <c r="Q20" s="98">
        <f t="shared" si="5"/>
        <v>0</v>
      </c>
      <c r="R20" s="95"/>
      <c r="S20" s="40">
        <f t="shared" si="1"/>
        <v>0</v>
      </c>
      <c r="T20" s="40">
        <f t="shared" si="0"/>
        <v>0</v>
      </c>
    </row>
    <row r="21" spans="2:20" ht="15" customHeight="1" x14ac:dyDescent="0.25">
      <c r="B21" s="46"/>
      <c r="C21" s="81"/>
      <c r="D21" s="48"/>
      <c r="E21" s="46"/>
      <c r="F21" s="81"/>
      <c r="G21" s="48"/>
      <c r="H21" s="96"/>
      <c r="I21" s="88">
        <v>0.43</v>
      </c>
      <c r="J21" s="88">
        <v>69</v>
      </c>
      <c r="K21" s="89">
        <f>[1]!d("ENT_APE",$J21)</f>
        <v>0</v>
      </c>
      <c r="L21" s="90">
        <f ca="1">[1]!d("FON_PAT",$J21,WORKDAY($E$1,-1))</f>
        <v>0</v>
      </c>
      <c r="M21" s="90">
        <f t="shared" si="2"/>
        <v>0</v>
      </c>
      <c r="N21" s="91" t="e">
        <f t="shared" si="3"/>
        <v>#DIV/0!</v>
      </c>
      <c r="O21" s="92" t="e">
        <f t="shared" ca="1" si="4"/>
        <v>#DIV/0!</v>
      </c>
      <c r="P21" s="97">
        <v>6</v>
      </c>
      <c r="Q21" s="98">
        <f t="shared" si="5"/>
        <v>0</v>
      </c>
      <c r="R21" s="95"/>
      <c r="S21" s="40">
        <f t="shared" si="1"/>
        <v>0</v>
      </c>
      <c r="T21" s="40">
        <f t="shared" si="0"/>
        <v>0</v>
      </c>
    </row>
    <row r="22" spans="2:20" ht="15" customHeight="1" x14ac:dyDescent="0.25">
      <c r="B22" s="46"/>
      <c r="C22" s="81"/>
      <c r="D22" s="48"/>
      <c r="E22" s="46"/>
      <c r="F22" s="81"/>
      <c r="G22" s="48"/>
      <c r="H22" s="96"/>
      <c r="I22" s="88">
        <v>0.75</v>
      </c>
      <c r="J22" s="88">
        <v>13</v>
      </c>
      <c r="K22" s="89" t="str">
        <f>[1]!d("ENT_APE",$J22)</f>
        <v>XENIA FLEXIBLE FI</v>
      </c>
      <c r="L22" s="90">
        <f ca="1">[1]!d("FON_PAT",$J22,WORKDAY($E$1,-1))</f>
        <v>0</v>
      </c>
      <c r="M22" s="90">
        <f t="shared" si="2"/>
        <v>0</v>
      </c>
      <c r="N22" s="91" t="e">
        <f t="shared" si="3"/>
        <v>#DIV/0!</v>
      </c>
      <c r="O22" s="92" t="e">
        <f t="shared" ca="1" si="4"/>
        <v>#DIV/0!</v>
      </c>
      <c r="P22" s="97">
        <v>11</v>
      </c>
      <c r="Q22" s="98">
        <f t="shared" si="5"/>
        <v>0</v>
      </c>
      <c r="R22" s="95"/>
      <c r="S22" s="40">
        <f t="shared" si="1"/>
        <v>0</v>
      </c>
      <c r="T22" s="40">
        <f t="shared" si="0"/>
        <v>0</v>
      </c>
    </row>
    <row r="23" spans="2:20" ht="15" customHeight="1" x14ac:dyDescent="0.25">
      <c r="B23" s="46"/>
      <c r="C23" s="81"/>
      <c r="D23" s="48"/>
      <c r="E23" s="46"/>
      <c r="F23" s="81"/>
      <c r="G23" s="48"/>
      <c r="I23" s="88">
        <v>0.9</v>
      </c>
      <c r="J23" s="88">
        <v>202</v>
      </c>
      <c r="K23" s="89" t="str">
        <f>[1]!d("ENT_APE",$J23)</f>
        <v>BMN BOLSA EUROPEA, FI</v>
      </c>
      <c r="L23" s="90">
        <f ca="1">[1]!d("FON_PAT",$J23,WORKDAY($E$1,-1))</f>
        <v>0</v>
      </c>
      <c r="M23" s="90">
        <f t="shared" si="2"/>
        <v>0</v>
      </c>
      <c r="N23" s="91" t="e">
        <f t="shared" si="3"/>
        <v>#DIV/0!</v>
      </c>
      <c r="O23" s="92" t="e">
        <f t="shared" ca="1" si="4"/>
        <v>#DIV/0!</v>
      </c>
      <c r="P23" s="97">
        <v>9</v>
      </c>
      <c r="Q23" s="98">
        <f t="shared" si="5"/>
        <v>0</v>
      </c>
      <c r="R23" s="95"/>
      <c r="S23" s="40">
        <f t="shared" si="1"/>
        <v>0</v>
      </c>
      <c r="T23" s="40">
        <f t="shared" si="0"/>
        <v>0</v>
      </c>
    </row>
    <row r="24" spans="2:20" ht="15" customHeight="1" x14ac:dyDescent="0.25">
      <c r="B24" s="46"/>
      <c r="C24" s="81"/>
      <c r="D24" s="48"/>
      <c r="E24" s="46"/>
      <c r="F24" s="81"/>
      <c r="G24" s="48"/>
      <c r="I24" s="88">
        <v>0.5</v>
      </c>
      <c r="J24" s="88">
        <v>21926</v>
      </c>
      <c r="K24" s="89">
        <f>[1]!d("ENT_APE",$J24)</f>
        <v>0</v>
      </c>
      <c r="L24" s="90">
        <f ca="1">[1]!d("FON_PAT",$J24,WORKDAY($E$1,-1))</f>
        <v>0</v>
      </c>
      <c r="M24" s="90">
        <f t="shared" si="2"/>
        <v>0</v>
      </c>
      <c r="N24" s="91" t="e">
        <f t="shared" si="3"/>
        <v>#DIV/0!</v>
      </c>
      <c r="O24" s="92" t="e">
        <f t="shared" ca="1" si="4"/>
        <v>#DIV/0!</v>
      </c>
      <c r="P24" s="99">
        <v>1</v>
      </c>
      <c r="Q24" s="100">
        <f t="shared" si="5"/>
        <v>0</v>
      </c>
      <c r="R24" s="95"/>
      <c r="S24" s="40">
        <f t="shared" si="1"/>
        <v>0</v>
      </c>
      <c r="T24" s="40">
        <f t="shared" si="0"/>
        <v>0</v>
      </c>
    </row>
    <row r="25" spans="2:20" ht="15" customHeight="1" x14ac:dyDescent="0.25">
      <c r="B25" s="101"/>
      <c r="C25" s="81"/>
      <c r="D25" s="48"/>
      <c r="E25" s="46"/>
      <c r="F25" s="81"/>
      <c r="G25" s="48"/>
      <c r="J25" s="88"/>
      <c r="K25" s="89"/>
      <c r="L25" s="102">
        <f ca="1">SUM(L19:L24)</f>
        <v>0</v>
      </c>
      <c r="M25" s="103">
        <f>SUM(M19:M24)</f>
        <v>0</v>
      </c>
      <c r="N25" s="104" t="e">
        <f>SUM(N19:N24)</f>
        <v>#DIV/0!</v>
      </c>
      <c r="O25" s="92"/>
      <c r="P25" s="95"/>
      <c r="Q25" s="95"/>
      <c r="R25" s="95"/>
      <c r="S25" s="40">
        <f t="shared" si="1"/>
        <v>0</v>
      </c>
      <c r="T25" s="40">
        <f t="shared" si="0"/>
        <v>0</v>
      </c>
    </row>
    <row r="26" spans="2:20" ht="15" customHeight="1" x14ac:dyDescent="0.25">
      <c r="B26" s="101"/>
      <c r="C26" s="81"/>
      <c r="D26" s="48"/>
      <c r="E26" s="46"/>
      <c r="F26" s="81"/>
      <c r="G26" s="48"/>
      <c r="S26" s="40">
        <f t="shared" si="1"/>
        <v>0</v>
      </c>
      <c r="T26" s="40">
        <f t="shared" si="0"/>
        <v>0</v>
      </c>
    </row>
    <row r="27" spans="2:20" ht="15" customHeight="1" x14ac:dyDescent="0.25">
      <c r="B27" s="101"/>
      <c r="C27" s="81"/>
      <c r="D27" s="48"/>
      <c r="E27" s="105"/>
      <c r="F27" s="81"/>
      <c r="G27" s="48"/>
      <c r="S27" s="40">
        <f t="shared" si="1"/>
        <v>0</v>
      </c>
      <c r="T27" s="40">
        <f t="shared" si="0"/>
        <v>0</v>
      </c>
    </row>
    <row r="28" spans="2:20" ht="15" customHeight="1" x14ac:dyDescent="0.25">
      <c r="B28" s="101"/>
      <c r="C28" s="81"/>
      <c r="D28" s="48"/>
      <c r="E28" s="105"/>
      <c r="F28" s="81"/>
      <c r="G28" s="48"/>
      <c r="S28" s="40">
        <f t="shared" si="1"/>
        <v>0</v>
      </c>
      <c r="T28" s="40">
        <f t="shared" si="0"/>
        <v>0</v>
      </c>
    </row>
    <row r="29" spans="2:20" ht="14.25" customHeight="1" x14ac:dyDescent="0.25">
      <c r="B29" s="101"/>
      <c r="C29" s="81"/>
      <c r="D29" s="48"/>
      <c r="E29" s="105"/>
      <c r="F29" s="81"/>
      <c r="G29" s="48"/>
      <c r="S29" s="40">
        <f t="shared" si="1"/>
        <v>0</v>
      </c>
      <c r="T29" s="40">
        <f t="shared" si="0"/>
        <v>0</v>
      </c>
    </row>
    <row r="30" spans="2:20" ht="15" customHeight="1" x14ac:dyDescent="0.25">
      <c r="B30" s="101"/>
      <c r="C30" s="81"/>
      <c r="D30" s="48"/>
      <c r="E30" s="105"/>
      <c r="F30" s="81"/>
      <c r="G30" s="48"/>
      <c r="S30" s="40">
        <f t="shared" si="1"/>
        <v>0</v>
      </c>
      <c r="T30" s="40">
        <f t="shared" si="0"/>
        <v>0</v>
      </c>
    </row>
    <row r="31" spans="2:20" ht="15" customHeight="1" x14ac:dyDescent="0.25">
      <c r="B31" s="101"/>
      <c r="C31" s="81"/>
      <c r="D31" s="48"/>
      <c r="E31" s="105"/>
      <c r="F31" s="81"/>
      <c r="G31" s="48"/>
      <c r="S31" s="40">
        <f t="shared" si="1"/>
        <v>0</v>
      </c>
      <c r="T31" s="40">
        <f t="shared" si="0"/>
        <v>0</v>
      </c>
    </row>
    <row r="32" spans="2:20" ht="15" customHeight="1" x14ac:dyDescent="0.25">
      <c r="B32" s="101"/>
      <c r="C32" s="81"/>
      <c r="D32" s="48"/>
      <c r="E32" s="105"/>
      <c r="F32" s="81"/>
      <c r="G32" s="48"/>
      <c r="S32" s="40">
        <f t="shared" si="1"/>
        <v>0</v>
      </c>
      <c r="T32" s="40">
        <f t="shared" si="0"/>
        <v>0</v>
      </c>
    </row>
    <row r="33" spans="2:20" ht="15" customHeight="1" x14ac:dyDescent="0.25">
      <c r="B33" s="101"/>
      <c r="C33" s="81"/>
      <c r="D33" s="48"/>
      <c r="E33" s="105"/>
      <c r="F33" s="81"/>
      <c r="G33" s="48"/>
      <c r="S33" s="40">
        <f t="shared" si="1"/>
        <v>0</v>
      </c>
      <c r="T33" s="40">
        <f t="shared" si="0"/>
        <v>0</v>
      </c>
    </row>
    <row r="34" spans="2:20" ht="15" customHeight="1" x14ac:dyDescent="0.25">
      <c r="B34" s="101"/>
      <c r="C34" s="81"/>
      <c r="D34" s="48"/>
      <c r="E34" s="105"/>
      <c r="F34" s="81"/>
      <c r="G34" s="48"/>
      <c r="S34" s="40">
        <f t="shared" si="1"/>
        <v>0</v>
      </c>
      <c r="T34" s="40">
        <f t="shared" si="0"/>
        <v>0</v>
      </c>
    </row>
    <row r="35" spans="2:20" ht="15" customHeight="1" x14ac:dyDescent="0.25">
      <c r="B35" s="101"/>
      <c r="C35" s="81"/>
      <c r="D35" s="48"/>
      <c r="E35" s="105"/>
      <c r="F35" s="81"/>
      <c r="G35" s="48"/>
      <c r="S35" s="40">
        <f t="shared" si="1"/>
        <v>0</v>
      </c>
      <c r="T35" s="40">
        <f t="shared" si="0"/>
        <v>0</v>
      </c>
    </row>
    <row r="36" spans="2:20" ht="15" customHeight="1" x14ac:dyDescent="0.25">
      <c r="B36" s="101"/>
      <c r="C36" s="81"/>
      <c r="D36" s="48"/>
      <c r="E36" s="105"/>
      <c r="F36" s="81"/>
      <c r="G36" s="48"/>
      <c r="S36" s="40">
        <f t="shared" si="1"/>
        <v>0</v>
      </c>
      <c r="T36" s="40">
        <f t="shared" si="0"/>
        <v>0</v>
      </c>
    </row>
    <row r="37" spans="2:20" ht="15" customHeight="1" x14ac:dyDescent="0.25">
      <c r="B37" s="101"/>
      <c r="C37" s="106"/>
      <c r="D37" s="48"/>
      <c r="E37" s="105"/>
      <c r="F37" s="81"/>
      <c r="G37" s="48"/>
      <c r="S37" s="40">
        <f t="shared" si="1"/>
        <v>0</v>
      </c>
      <c r="T37" s="40">
        <f t="shared" si="0"/>
        <v>0</v>
      </c>
    </row>
    <row r="38" spans="2:20" ht="15" customHeight="1" x14ac:dyDescent="0.25">
      <c r="B38" s="101"/>
      <c r="C38" s="106"/>
      <c r="D38" s="48"/>
      <c r="E38" s="105"/>
      <c r="F38" s="81"/>
      <c r="G38" s="48"/>
      <c r="S38" s="40">
        <f t="shared" si="1"/>
        <v>0</v>
      </c>
      <c r="T38" s="40">
        <f t="shared" si="0"/>
        <v>0</v>
      </c>
    </row>
    <row r="39" spans="2:20" ht="15" customHeight="1" x14ac:dyDescent="0.25">
      <c r="B39" s="101"/>
      <c r="C39" s="106"/>
      <c r="D39" s="48"/>
      <c r="E39" s="105"/>
      <c r="F39" s="81"/>
      <c r="G39" s="48"/>
      <c r="S39" s="40">
        <f t="shared" si="1"/>
        <v>0</v>
      </c>
      <c r="T39" s="40">
        <f t="shared" si="0"/>
        <v>0</v>
      </c>
    </row>
    <row r="40" spans="2:20" ht="15" customHeight="1" x14ac:dyDescent="0.25">
      <c r="B40" s="101"/>
      <c r="C40" s="106"/>
      <c r="D40" s="48"/>
      <c r="E40" s="105"/>
      <c r="F40" s="81"/>
      <c r="G40" s="48"/>
      <c r="S40" s="40">
        <f t="shared" si="1"/>
        <v>0</v>
      </c>
      <c r="T40" s="40">
        <f t="shared" si="0"/>
        <v>0</v>
      </c>
    </row>
    <row r="41" spans="2:20" ht="15" customHeight="1" x14ac:dyDescent="0.25">
      <c r="B41" s="101"/>
      <c r="C41" s="106"/>
      <c r="D41" s="48"/>
      <c r="E41" s="105"/>
      <c r="F41" s="81"/>
      <c r="G41" s="48"/>
      <c r="S41" s="40">
        <f t="shared" si="1"/>
        <v>0</v>
      </c>
      <c r="T41" s="40">
        <f t="shared" si="0"/>
        <v>0</v>
      </c>
    </row>
    <row r="42" spans="2:20" ht="15" customHeight="1" x14ac:dyDescent="0.25">
      <c r="B42" s="101"/>
      <c r="C42" s="106"/>
      <c r="D42" s="48"/>
      <c r="E42" s="105"/>
      <c r="F42" s="81"/>
      <c r="G42" s="48"/>
      <c r="S42" s="40">
        <f t="shared" si="1"/>
        <v>0</v>
      </c>
      <c r="T42" s="40">
        <f t="shared" si="0"/>
        <v>0</v>
      </c>
    </row>
    <row r="43" spans="2:20" ht="15" customHeight="1" x14ac:dyDescent="0.25">
      <c r="B43" s="101"/>
      <c r="C43" s="106"/>
      <c r="D43" s="48"/>
      <c r="E43" s="105"/>
      <c r="F43" s="81"/>
      <c r="G43" s="48"/>
      <c r="S43" s="40">
        <f t="shared" si="1"/>
        <v>0</v>
      </c>
      <c r="T43" s="40">
        <f t="shared" si="0"/>
        <v>0</v>
      </c>
    </row>
    <row r="44" spans="2:20" ht="15" customHeight="1" x14ac:dyDescent="0.25">
      <c r="B44" s="101"/>
      <c r="C44" s="106"/>
      <c r="D44" s="48"/>
      <c r="E44" s="105"/>
      <c r="F44" s="81"/>
      <c r="G44" s="48"/>
      <c r="S44" s="40">
        <f t="shared" si="1"/>
        <v>0</v>
      </c>
      <c r="T44" s="40">
        <f t="shared" si="0"/>
        <v>0</v>
      </c>
    </row>
    <row r="45" spans="2:20" ht="15" customHeight="1" x14ac:dyDescent="0.25">
      <c r="B45" s="101"/>
      <c r="C45" s="106"/>
      <c r="D45" s="48"/>
      <c r="E45" s="105"/>
      <c r="F45" s="81"/>
      <c r="G45" s="48"/>
      <c r="S45" s="40">
        <f t="shared" si="1"/>
        <v>0</v>
      </c>
      <c r="T45" s="40">
        <f t="shared" si="0"/>
        <v>0</v>
      </c>
    </row>
    <row r="46" spans="2:20" ht="15" customHeight="1" x14ac:dyDescent="0.25">
      <c r="B46" s="101"/>
      <c r="C46" s="106"/>
      <c r="D46" s="48"/>
      <c r="E46" s="105"/>
      <c r="F46" s="106"/>
      <c r="G46" s="48"/>
      <c r="S46" s="40">
        <f t="shared" si="1"/>
        <v>0</v>
      </c>
      <c r="T46" s="40">
        <f t="shared" si="0"/>
        <v>0</v>
      </c>
    </row>
    <row r="47" spans="2:20" ht="15" customHeight="1" x14ac:dyDescent="0.25">
      <c r="B47" s="101"/>
      <c r="C47" s="106"/>
      <c r="D47" s="48"/>
      <c r="E47" s="105"/>
      <c r="F47" s="106"/>
      <c r="G47" s="48"/>
      <c r="S47" s="40">
        <f t="shared" si="1"/>
        <v>0</v>
      </c>
      <c r="T47" s="40">
        <f t="shared" si="0"/>
        <v>0</v>
      </c>
    </row>
    <row r="48" spans="2:20" ht="15" customHeight="1" x14ac:dyDescent="0.25">
      <c r="B48" s="101"/>
      <c r="C48" s="106"/>
      <c r="D48" s="48"/>
      <c r="E48" s="105"/>
      <c r="F48" s="106"/>
      <c r="G48" s="48"/>
      <c r="S48" s="40">
        <f t="shared" si="1"/>
        <v>0</v>
      </c>
      <c r="T48" s="40">
        <f t="shared" si="0"/>
        <v>0</v>
      </c>
    </row>
    <row r="49" spans="2:20" ht="15" customHeight="1" x14ac:dyDescent="0.25">
      <c r="B49" s="101"/>
      <c r="C49" s="106"/>
      <c r="D49" s="48"/>
      <c r="E49" s="105"/>
      <c r="F49" s="106"/>
      <c r="G49" s="48"/>
      <c r="S49" s="40">
        <f t="shared" si="1"/>
        <v>0</v>
      </c>
      <c r="T49" s="40">
        <f t="shared" si="0"/>
        <v>0</v>
      </c>
    </row>
    <row r="50" spans="2:20" ht="14.25" customHeight="1" x14ac:dyDescent="0.25">
      <c r="B50" s="107"/>
      <c r="C50" s="108"/>
      <c r="D50" s="48"/>
      <c r="E50" s="109"/>
      <c r="F50" s="108"/>
      <c r="G50" s="48"/>
      <c r="S50" s="110">
        <f>SUM(S3:S49)</f>
        <v>0</v>
      </c>
      <c r="T50" s="110">
        <f>SUM(T3:T49)</f>
        <v>42000000</v>
      </c>
    </row>
    <row r="51" spans="2:20" ht="15" customHeight="1" x14ac:dyDescent="0.25">
      <c r="B51" s="60">
        <f>SUM(B4:B50)</f>
        <v>0</v>
      </c>
      <c r="C51" s="111" t="e">
        <f>+(S50/H6)/100</f>
        <v>#DIV/0!</v>
      </c>
      <c r="D51" s="48"/>
      <c r="E51" s="48">
        <f>SUM(E4:E50)</f>
        <v>96</v>
      </c>
      <c r="F51" s="111">
        <f>+(T50/H9)/100</f>
        <v>4375</v>
      </c>
      <c r="G51" s="48"/>
    </row>
  </sheetData>
  <mergeCells count="3">
    <mergeCell ref="E1:F1"/>
    <mergeCell ref="B3:C3"/>
    <mergeCell ref="E3:F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T51"/>
  <sheetViews>
    <sheetView workbookViewId="0">
      <selection activeCell="F5" sqref="F5"/>
    </sheetView>
  </sheetViews>
  <sheetFormatPr baseColWidth="10" defaultRowHeight="15.75" x14ac:dyDescent="0.25"/>
  <cols>
    <col min="1" max="1" width="1.7109375" style="40" customWidth="1"/>
    <col min="2" max="2" width="6.140625" style="41" customWidth="1"/>
    <col min="3" max="3" width="10.42578125" style="40" customWidth="1"/>
    <col min="4" max="4" width="1.85546875" style="40" customWidth="1"/>
    <col min="5" max="5" width="7" style="40" customWidth="1"/>
    <col min="6" max="6" width="10.42578125" style="40" customWidth="1"/>
    <col min="7" max="7" width="3.5703125" style="40" customWidth="1"/>
    <col min="8" max="8" width="11.28515625" style="40" customWidth="1"/>
    <col min="9" max="9" width="12.42578125" style="40" customWidth="1"/>
    <col min="10" max="10" width="13.5703125" style="40" customWidth="1"/>
    <col min="11" max="11" width="31" style="40" customWidth="1"/>
    <col min="12" max="12" width="14" style="40" customWidth="1"/>
    <col min="13" max="13" width="5.28515625" style="40" customWidth="1"/>
    <col min="14" max="14" width="13.42578125" style="40" customWidth="1"/>
    <col min="15" max="15" width="9.5703125" style="40" customWidth="1"/>
    <col min="16" max="16" width="4" style="40" customWidth="1"/>
    <col min="17" max="17" width="4.42578125" style="40" customWidth="1"/>
    <col min="18" max="18" width="8.42578125" style="40" customWidth="1"/>
    <col min="19" max="19" width="12.140625" style="40" customWidth="1"/>
    <col min="20" max="21" width="11.7109375" style="40" customWidth="1"/>
    <col min="22" max="16384" width="11.42578125" style="40"/>
  </cols>
  <sheetData>
    <row r="1" spans="2:20" ht="18.75" customHeight="1" x14ac:dyDescent="0.35">
      <c r="B1" s="39"/>
      <c r="D1" s="9"/>
      <c r="E1" s="209">
        <f ca="1">TODAY()-1</f>
        <v>45195</v>
      </c>
      <c r="F1" s="210"/>
    </row>
    <row r="2" spans="2:20" ht="18.75" customHeight="1" x14ac:dyDescent="0.25">
      <c r="C2" s="42"/>
      <c r="F2" s="43"/>
      <c r="I2" s="44"/>
    </row>
    <row r="3" spans="2:20" ht="15.75" customHeight="1" x14ac:dyDescent="0.25">
      <c r="B3" s="211" t="s">
        <v>22</v>
      </c>
      <c r="C3" s="211"/>
      <c r="E3" s="212" t="s">
        <v>23</v>
      </c>
      <c r="F3" s="212"/>
      <c r="H3" s="45"/>
      <c r="I3" s="45"/>
      <c r="J3" s="45"/>
      <c r="S3" s="40">
        <f>+B4*C4*100</f>
        <v>0</v>
      </c>
      <c r="T3" s="40">
        <f t="shared" ref="T3:T49" si="0">+E4*F4*100</f>
        <v>27350550</v>
      </c>
    </row>
    <row r="4" spans="2:20" ht="15" customHeight="1" x14ac:dyDescent="0.25">
      <c r="B4" s="112"/>
      <c r="C4" s="194"/>
      <c r="D4" s="48"/>
      <c r="E4" s="112">
        <v>18</v>
      </c>
      <c r="F4" s="49">
        <v>15194.75</v>
      </c>
      <c r="G4" s="48"/>
      <c r="H4" s="50" t="s">
        <v>22</v>
      </c>
      <c r="I4" s="51"/>
      <c r="J4" s="45"/>
      <c r="K4" s="45"/>
      <c r="S4" s="40">
        <f>+B5*C5*100</f>
        <v>0</v>
      </c>
      <c r="T4" s="40">
        <f t="shared" si="0"/>
        <v>0</v>
      </c>
    </row>
    <row r="5" spans="2:20" ht="15" customHeight="1" x14ac:dyDescent="0.25">
      <c r="B5" s="46"/>
      <c r="C5" s="200"/>
      <c r="D5" s="48"/>
      <c r="E5" s="46"/>
      <c r="F5" s="49"/>
      <c r="G5" s="52"/>
      <c r="H5" s="53" t="s">
        <v>24</v>
      </c>
      <c r="I5" s="54" t="s">
        <v>25</v>
      </c>
      <c r="J5" s="45"/>
      <c r="K5" s="45"/>
      <c r="L5" s="45"/>
      <c r="S5" s="40">
        <f>+B6*C6*100</f>
        <v>0</v>
      </c>
      <c r="T5" s="40">
        <f>+E6*F6*100</f>
        <v>0</v>
      </c>
    </row>
    <row r="6" spans="2:20" ht="15" customHeight="1" x14ac:dyDescent="0.25">
      <c r="B6" s="46"/>
      <c r="C6" s="55"/>
      <c r="D6" s="48"/>
      <c r="E6" s="46"/>
      <c r="F6" s="55"/>
      <c r="G6" s="52"/>
      <c r="H6" s="56">
        <f>+B51</f>
        <v>0</v>
      </c>
      <c r="I6" s="57" t="e">
        <f>+C51</f>
        <v>#DIV/0!</v>
      </c>
      <c r="J6" s="58">
        <f>H6/70</f>
        <v>0</v>
      </c>
      <c r="K6" s="45"/>
      <c r="L6" s="45"/>
      <c r="S6" s="40">
        <f>+B7*C7*100</f>
        <v>0</v>
      </c>
      <c r="T6" s="40">
        <f>+E7*F7*100</f>
        <v>0</v>
      </c>
    </row>
    <row r="7" spans="2:20" ht="15" customHeight="1" x14ac:dyDescent="0.25">
      <c r="B7" s="46"/>
      <c r="C7" s="55"/>
      <c r="D7" s="48"/>
      <c r="E7" s="46"/>
      <c r="F7" s="55"/>
      <c r="G7" s="52"/>
      <c r="H7" s="50" t="s">
        <v>23</v>
      </c>
      <c r="I7" s="51"/>
      <c r="J7" s="45"/>
      <c r="K7" s="45"/>
      <c r="L7" s="45"/>
      <c r="M7" s="45"/>
      <c r="S7" s="40">
        <f t="shared" ref="S7:S49" si="1">+B8*C8*100</f>
        <v>0</v>
      </c>
      <c r="T7" s="40">
        <f>+E8*F8*100</f>
        <v>0</v>
      </c>
    </row>
    <row r="8" spans="2:20" ht="15" customHeight="1" x14ac:dyDescent="0.25">
      <c r="B8" s="46"/>
      <c r="C8" s="47"/>
      <c r="D8" s="48"/>
      <c r="E8" s="46"/>
      <c r="F8" s="47"/>
      <c r="G8" s="48"/>
      <c r="H8" s="53" t="s">
        <v>24</v>
      </c>
      <c r="I8" s="54" t="s">
        <v>25</v>
      </c>
      <c r="J8" s="45"/>
      <c r="K8" s="45"/>
      <c r="L8" s="45"/>
      <c r="M8" s="45"/>
      <c r="S8" s="40">
        <f t="shared" si="1"/>
        <v>0</v>
      </c>
      <c r="T8" s="40">
        <f>+E9*F9*100</f>
        <v>0</v>
      </c>
    </row>
    <row r="9" spans="2:20" ht="15" customHeight="1" x14ac:dyDescent="0.25">
      <c r="B9" s="46"/>
      <c r="C9" s="47"/>
      <c r="D9" s="48"/>
      <c r="E9" s="46"/>
      <c r="F9" s="47"/>
      <c r="G9" s="48"/>
      <c r="H9" s="56">
        <f>+E51</f>
        <v>18</v>
      </c>
      <c r="I9" s="57">
        <f>+F51</f>
        <v>15194.75</v>
      </c>
      <c r="J9" s="9"/>
      <c r="L9" s="45"/>
      <c r="S9" s="40">
        <f>+B10*C10*100</f>
        <v>0</v>
      </c>
      <c r="T9" s="40">
        <f t="shared" si="0"/>
        <v>0</v>
      </c>
    </row>
    <row r="10" spans="2:20" ht="13.5" customHeight="1" x14ac:dyDescent="0.25">
      <c r="B10" s="46"/>
      <c r="C10" s="47"/>
      <c r="D10" s="60"/>
      <c r="E10" s="46"/>
      <c r="F10" s="47"/>
      <c r="G10" s="48"/>
      <c r="H10" s="61"/>
      <c r="I10" s="45"/>
      <c r="J10" s="45"/>
      <c r="L10" s="45"/>
      <c r="M10" s="62"/>
      <c r="S10" s="40">
        <f>+B11*C11*100</f>
        <v>0</v>
      </c>
      <c r="T10" s="40">
        <f t="shared" si="0"/>
        <v>0</v>
      </c>
    </row>
    <row r="11" spans="2:20" ht="15" customHeight="1" x14ac:dyDescent="0.3">
      <c r="B11" s="46"/>
      <c r="C11" s="81"/>
      <c r="D11" s="60"/>
      <c r="E11" s="46"/>
      <c r="F11" s="81"/>
      <c r="G11" s="48"/>
      <c r="H11" s="63" t="s">
        <v>26</v>
      </c>
      <c r="I11" s="64"/>
      <c r="J11" s="65"/>
      <c r="L11" s="45"/>
      <c r="S11" s="40">
        <f>+B12*C12*100</f>
        <v>0</v>
      </c>
      <c r="T11" s="40">
        <f t="shared" si="0"/>
        <v>0</v>
      </c>
    </row>
    <row r="12" spans="2:20" ht="15" customHeight="1" x14ac:dyDescent="0.25">
      <c r="B12" s="46"/>
      <c r="C12" s="81"/>
      <c r="D12" s="60"/>
      <c r="E12" s="46"/>
      <c r="F12" s="81"/>
      <c r="G12" s="48"/>
      <c r="H12" s="66" t="str">
        <f>IF(H9&gt;H6,"VENDIDO","COMPRADO")</f>
        <v>VENDIDO</v>
      </c>
      <c r="I12" s="67">
        <f>+H6-H9</f>
        <v>-18</v>
      </c>
      <c r="J12" s="68">
        <f>SUM((S50-T50)/I12)/100</f>
        <v>15194.75</v>
      </c>
      <c r="L12" s="45"/>
      <c r="S12" s="40">
        <f>+B13*C13*100</f>
        <v>0</v>
      </c>
      <c r="T12" s="40">
        <f t="shared" si="0"/>
        <v>0</v>
      </c>
    </row>
    <row r="13" spans="2:20" ht="15" customHeight="1" x14ac:dyDescent="0.25">
      <c r="B13" s="46"/>
      <c r="C13" s="81"/>
      <c r="D13" s="48"/>
      <c r="E13" s="46"/>
      <c r="F13" s="81"/>
      <c r="G13" s="48"/>
      <c r="H13" s="69"/>
      <c r="I13" s="70" t="e">
        <f>I9-I6</f>
        <v>#DIV/0!</v>
      </c>
      <c r="J13" s="71" t="e">
        <f>I13*20*H9</f>
        <v>#DIV/0!</v>
      </c>
      <c r="S13" s="40">
        <f>+B14*C14*100</f>
        <v>0</v>
      </c>
      <c r="T13" s="40">
        <f t="shared" si="0"/>
        <v>0</v>
      </c>
    </row>
    <row r="14" spans="2:20" ht="13.5" customHeight="1" x14ac:dyDescent="0.25">
      <c r="B14" s="46"/>
      <c r="C14" s="81"/>
      <c r="D14" s="48"/>
      <c r="E14" s="46"/>
      <c r="F14" s="81"/>
      <c r="G14" s="48"/>
      <c r="H14" s="72"/>
      <c r="I14" s="72" t="s">
        <v>4</v>
      </c>
      <c r="J14" s="45"/>
      <c r="S14" s="40">
        <f t="shared" si="1"/>
        <v>0</v>
      </c>
      <c r="T14" s="40">
        <f t="shared" si="0"/>
        <v>0</v>
      </c>
    </row>
    <row r="15" spans="2:20" ht="15" customHeight="1" x14ac:dyDescent="0.25">
      <c r="B15" s="46"/>
      <c r="C15" s="81"/>
      <c r="D15" s="48"/>
      <c r="E15" s="46"/>
      <c r="F15" s="81"/>
      <c r="G15" s="48"/>
      <c r="H15" s="113" t="str">
        <f>'MERCADO (DATOS)'!F27</f>
        <v>NQU3 INDEX</v>
      </c>
      <c r="I15" s="191" t="e" cm="1">
        <f t="array" aca="1" ref="I15" ca="1">_xll.BDP(H15,I14)</f>
        <v>#NAME?</v>
      </c>
      <c r="J15" s="75"/>
      <c r="K15" s="76" t="e">
        <f ca="1">I15-J12</f>
        <v>#NAME?</v>
      </c>
      <c r="L15" s="77" t="e">
        <f ca="1">I12*10*K15</f>
        <v>#NAME?</v>
      </c>
      <c r="S15" s="40">
        <f t="shared" si="1"/>
        <v>0</v>
      </c>
      <c r="T15" s="40">
        <f t="shared" si="0"/>
        <v>0</v>
      </c>
    </row>
    <row r="16" spans="2:20" ht="15" customHeight="1" x14ac:dyDescent="0.25">
      <c r="B16" s="46"/>
      <c r="C16" s="81"/>
      <c r="D16" s="48"/>
      <c r="E16" s="46"/>
      <c r="F16" s="81"/>
      <c r="G16" s="48"/>
      <c r="H16" s="79"/>
      <c r="I16" s="79"/>
      <c r="J16" s="80"/>
      <c r="S16" s="40">
        <f t="shared" si="1"/>
        <v>0</v>
      </c>
      <c r="T16" s="40">
        <f t="shared" si="0"/>
        <v>0</v>
      </c>
    </row>
    <row r="17" spans="2:20" ht="15" customHeight="1" x14ac:dyDescent="0.25">
      <c r="B17" s="46"/>
      <c r="C17" s="81"/>
      <c r="D17" s="48"/>
      <c r="E17" s="46"/>
      <c r="F17" s="81"/>
      <c r="G17" s="48"/>
      <c r="J17" s="74"/>
      <c r="S17" s="40">
        <f t="shared" si="1"/>
        <v>0</v>
      </c>
      <c r="T17" s="40">
        <f t="shared" si="0"/>
        <v>0</v>
      </c>
    </row>
    <row r="18" spans="2:20" ht="15" customHeight="1" thickBot="1" x14ac:dyDescent="0.3">
      <c r="B18" s="46"/>
      <c r="C18" s="81"/>
      <c r="D18" s="114"/>
      <c r="E18" s="46"/>
      <c r="F18" s="81"/>
      <c r="G18" s="48"/>
      <c r="J18" s="82"/>
      <c r="K18" s="83" t="s">
        <v>27</v>
      </c>
      <c r="L18" s="84" t="s">
        <v>28</v>
      </c>
      <c r="M18" s="85"/>
      <c r="N18" s="86">
        <v>10</v>
      </c>
      <c r="O18" s="87" t="s">
        <v>29</v>
      </c>
      <c r="S18" s="40">
        <f t="shared" si="1"/>
        <v>0</v>
      </c>
      <c r="T18" s="40">
        <f t="shared" si="0"/>
        <v>0</v>
      </c>
    </row>
    <row r="19" spans="2:20" ht="15" customHeight="1" x14ac:dyDescent="0.25">
      <c r="B19" s="46"/>
      <c r="C19" s="81"/>
      <c r="D19" s="48"/>
      <c r="E19" s="46"/>
      <c r="F19" s="81"/>
      <c r="G19" s="48"/>
      <c r="I19" s="88">
        <v>0.05</v>
      </c>
      <c r="J19" s="88">
        <v>1697</v>
      </c>
      <c r="K19" s="89" t="str">
        <f>[1]!d("ENT_APE",$J19)</f>
        <v>JPMORGAN F-AMERICA EQ-A-D US</v>
      </c>
      <c r="L19" s="90">
        <f ca="1">[1]!d("FON_PAT",$J19,WORKDAY($E$1,-1))</f>
        <v>0</v>
      </c>
      <c r="M19" s="90">
        <f t="shared" ref="M19:M24" si="2">Q19</f>
        <v>0</v>
      </c>
      <c r="N19" s="91" t="e">
        <f t="shared" ref="N19:N24" si="3">M19*$N$18*($I$9-$I$6)</f>
        <v>#DIV/0!</v>
      </c>
      <c r="O19" s="92" t="e">
        <f t="shared" ref="O19:O24" ca="1" si="4">N19/L19</f>
        <v>#DIV/0!</v>
      </c>
      <c r="P19" s="93">
        <v>5</v>
      </c>
      <c r="Q19" s="94">
        <f t="shared" ref="Q19:Q24" si="5">P19*$Q$18</f>
        <v>0</v>
      </c>
      <c r="R19" s="95"/>
      <c r="S19" s="40">
        <f t="shared" si="1"/>
        <v>0</v>
      </c>
      <c r="T19" s="40">
        <f t="shared" si="0"/>
        <v>0</v>
      </c>
    </row>
    <row r="20" spans="2:20" ht="15" customHeight="1" x14ac:dyDescent="0.25">
      <c r="B20" s="46"/>
      <c r="C20" s="81"/>
      <c r="D20" s="48"/>
      <c r="E20" s="46"/>
      <c r="F20" s="81"/>
      <c r="G20" s="60"/>
      <c r="H20" s="96"/>
      <c r="I20" s="88">
        <v>0.7</v>
      </c>
      <c r="J20" s="88">
        <v>205</v>
      </c>
      <c r="K20" s="89" t="str">
        <f>[1]!d("ENT_APE",$J20)</f>
        <v>BMN CARTERA FLEXIBLE 20 FI</v>
      </c>
      <c r="L20" s="90">
        <f ca="1">[1]!d("FON_PAT",$J20,WORKDAY($E$1,-1))</f>
        <v>0</v>
      </c>
      <c r="M20" s="90">
        <f t="shared" si="2"/>
        <v>0</v>
      </c>
      <c r="N20" s="91" t="e">
        <f t="shared" si="3"/>
        <v>#DIV/0!</v>
      </c>
      <c r="O20" s="92" t="e">
        <f t="shared" ca="1" si="4"/>
        <v>#DIV/0!</v>
      </c>
      <c r="P20" s="97">
        <v>2</v>
      </c>
      <c r="Q20" s="98">
        <f t="shared" si="5"/>
        <v>0</v>
      </c>
      <c r="R20" s="95"/>
      <c r="S20" s="40">
        <f>+B21*C21*100</f>
        <v>0</v>
      </c>
      <c r="T20" s="40">
        <f t="shared" si="0"/>
        <v>0</v>
      </c>
    </row>
    <row r="21" spans="2:20" ht="15" customHeight="1" x14ac:dyDescent="0.25">
      <c r="B21" s="46"/>
      <c r="C21" s="81"/>
      <c r="D21" s="48"/>
      <c r="E21" s="46"/>
      <c r="F21" s="81"/>
      <c r="G21" s="48"/>
      <c r="H21" s="96"/>
      <c r="I21" s="88">
        <v>0.43</v>
      </c>
      <c r="J21" s="88">
        <v>69</v>
      </c>
      <c r="K21" s="89">
        <f>[1]!d("ENT_APE",$J21)</f>
        <v>0</v>
      </c>
      <c r="L21" s="90">
        <f ca="1">[1]!d("FON_PAT",$J21,WORKDAY($E$1,-1))</f>
        <v>0</v>
      </c>
      <c r="M21" s="90">
        <f t="shared" si="2"/>
        <v>0</v>
      </c>
      <c r="N21" s="91" t="e">
        <f t="shared" si="3"/>
        <v>#DIV/0!</v>
      </c>
      <c r="O21" s="92" t="e">
        <f t="shared" ca="1" si="4"/>
        <v>#DIV/0!</v>
      </c>
      <c r="P21" s="97">
        <v>17</v>
      </c>
      <c r="Q21" s="98">
        <f t="shared" si="5"/>
        <v>0</v>
      </c>
      <c r="R21" s="95"/>
      <c r="S21" s="40">
        <f>+B22*C22*100</f>
        <v>0</v>
      </c>
      <c r="T21" s="40">
        <f t="shared" si="0"/>
        <v>0</v>
      </c>
    </row>
    <row r="22" spans="2:20" ht="15" customHeight="1" x14ac:dyDescent="0.25">
      <c r="B22" s="46"/>
      <c r="C22" s="81"/>
      <c r="D22" s="48"/>
      <c r="E22" s="46"/>
      <c r="F22" s="81"/>
      <c r="G22" s="48"/>
      <c r="H22" s="96"/>
      <c r="I22" s="88">
        <v>0.75</v>
      </c>
      <c r="J22" s="88">
        <v>13</v>
      </c>
      <c r="K22" s="89" t="str">
        <f>[1]!d("ENT_APE",$J22)</f>
        <v>XENIA FLEXIBLE FI</v>
      </c>
      <c r="L22" s="90">
        <f ca="1">[1]!d("FON_PAT",$J22,WORKDAY($E$1,-1))</f>
        <v>0</v>
      </c>
      <c r="M22" s="90">
        <f t="shared" si="2"/>
        <v>0</v>
      </c>
      <c r="N22" s="91" t="e">
        <f t="shared" si="3"/>
        <v>#DIV/0!</v>
      </c>
      <c r="O22" s="92" t="e">
        <f t="shared" ca="1" si="4"/>
        <v>#DIV/0!</v>
      </c>
      <c r="P22" s="97">
        <v>22</v>
      </c>
      <c r="Q22" s="98">
        <f t="shared" si="5"/>
        <v>0</v>
      </c>
      <c r="R22" s="95"/>
      <c r="S22" s="40">
        <f t="shared" si="1"/>
        <v>0</v>
      </c>
      <c r="T22" s="40">
        <f t="shared" si="0"/>
        <v>0</v>
      </c>
    </row>
    <row r="23" spans="2:20" ht="15" customHeight="1" x14ac:dyDescent="0.25">
      <c r="B23" s="46"/>
      <c r="C23" s="81"/>
      <c r="D23" s="48"/>
      <c r="E23" s="46"/>
      <c r="F23" s="81"/>
      <c r="G23" s="48"/>
      <c r="I23" s="88">
        <v>0.9</v>
      </c>
      <c r="J23" s="88">
        <v>202</v>
      </c>
      <c r="K23" s="89" t="str">
        <f>[1]!d("ENT_APE",$J23)</f>
        <v>BMN BOLSA EUROPEA, FI</v>
      </c>
      <c r="L23" s="90">
        <f ca="1">[1]!d("FON_PAT",$J23,WORKDAY($E$1,-1))</f>
        <v>0</v>
      </c>
      <c r="M23" s="90">
        <f t="shared" si="2"/>
        <v>0</v>
      </c>
      <c r="N23" s="91" t="e">
        <f t="shared" si="3"/>
        <v>#DIV/0!</v>
      </c>
      <c r="O23" s="92" t="e">
        <f t="shared" ca="1" si="4"/>
        <v>#DIV/0!</v>
      </c>
      <c r="P23" s="97">
        <v>13</v>
      </c>
      <c r="Q23" s="98">
        <f t="shared" si="5"/>
        <v>0</v>
      </c>
      <c r="R23" s="95"/>
      <c r="S23" s="40">
        <f t="shared" si="1"/>
        <v>0</v>
      </c>
      <c r="T23" s="40">
        <f t="shared" si="0"/>
        <v>0</v>
      </c>
    </row>
    <row r="24" spans="2:20" ht="15" customHeight="1" x14ac:dyDescent="0.25">
      <c r="B24" s="46"/>
      <c r="C24" s="81"/>
      <c r="D24" s="48"/>
      <c r="E24" s="46"/>
      <c r="F24" s="81"/>
      <c r="G24" s="48"/>
      <c r="I24" s="88">
        <v>0.5</v>
      </c>
      <c r="J24" s="88">
        <v>21926</v>
      </c>
      <c r="K24" s="89">
        <f>[1]!d("ENT_APE",$J24)</f>
        <v>0</v>
      </c>
      <c r="L24" s="90">
        <f ca="1">[1]!d("FON_PAT",$J24,WORKDAY($E$1,-1))</f>
        <v>0</v>
      </c>
      <c r="M24" s="90">
        <f t="shared" si="2"/>
        <v>0</v>
      </c>
      <c r="N24" s="91" t="e">
        <f t="shared" si="3"/>
        <v>#DIV/0!</v>
      </c>
      <c r="O24" s="92" t="e">
        <f t="shared" ca="1" si="4"/>
        <v>#DIV/0!</v>
      </c>
      <c r="P24" s="99">
        <v>4</v>
      </c>
      <c r="Q24" s="100">
        <f t="shared" si="5"/>
        <v>0</v>
      </c>
      <c r="R24" s="95"/>
      <c r="S24" s="40">
        <f t="shared" si="1"/>
        <v>0</v>
      </c>
      <c r="T24" s="40">
        <f t="shared" si="0"/>
        <v>0</v>
      </c>
    </row>
    <row r="25" spans="2:20" ht="15" customHeight="1" x14ac:dyDescent="0.25">
      <c r="B25" s="46"/>
      <c r="C25" s="81"/>
      <c r="D25" s="48"/>
      <c r="E25" s="46"/>
      <c r="F25" s="81"/>
      <c r="G25" s="48"/>
      <c r="J25" s="88"/>
      <c r="K25" s="89"/>
      <c r="L25" s="102">
        <f ca="1">SUM(L19:L24)</f>
        <v>0</v>
      </c>
      <c r="M25" s="103">
        <f>SUM(M19:M24)</f>
        <v>0</v>
      </c>
      <c r="N25" s="104" t="e">
        <f>SUM(N19:N24)</f>
        <v>#DIV/0!</v>
      </c>
      <c r="O25" s="92"/>
      <c r="P25" s="95"/>
      <c r="Q25" s="95"/>
      <c r="R25" s="95"/>
      <c r="S25" s="40">
        <f t="shared" si="1"/>
        <v>0</v>
      </c>
      <c r="T25" s="40">
        <f t="shared" si="0"/>
        <v>0</v>
      </c>
    </row>
    <row r="26" spans="2:20" ht="15" customHeight="1" x14ac:dyDescent="0.25">
      <c r="B26" s="46"/>
      <c r="C26" s="81"/>
      <c r="D26" s="48"/>
      <c r="E26" s="46"/>
      <c r="F26" s="81"/>
      <c r="G26" s="48"/>
      <c r="S26" s="40">
        <f t="shared" si="1"/>
        <v>0</v>
      </c>
      <c r="T26" s="40">
        <f t="shared" si="0"/>
        <v>0</v>
      </c>
    </row>
    <row r="27" spans="2:20" ht="15" customHeight="1" x14ac:dyDescent="0.25">
      <c r="B27" s="101"/>
      <c r="C27" s="81"/>
      <c r="D27" s="48"/>
      <c r="E27" s="105"/>
      <c r="F27" s="81"/>
      <c r="G27" s="48"/>
      <c r="S27" s="40">
        <f t="shared" si="1"/>
        <v>0</v>
      </c>
      <c r="T27" s="40">
        <f t="shared" si="0"/>
        <v>0</v>
      </c>
    </row>
    <row r="28" spans="2:20" ht="15" customHeight="1" x14ac:dyDescent="0.25">
      <c r="B28" s="101"/>
      <c r="C28" s="81"/>
      <c r="D28" s="48"/>
      <c r="E28" s="105"/>
      <c r="F28" s="81"/>
      <c r="G28" s="48"/>
      <c r="S28" s="40">
        <f t="shared" si="1"/>
        <v>0</v>
      </c>
      <c r="T28" s="40">
        <f t="shared" si="0"/>
        <v>0</v>
      </c>
    </row>
    <row r="29" spans="2:20" ht="14.25" customHeight="1" x14ac:dyDescent="0.25">
      <c r="B29" s="101"/>
      <c r="C29" s="81"/>
      <c r="D29" s="48"/>
      <c r="E29" s="105"/>
      <c r="F29" s="81"/>
      <c r="G29" s="48"/>
      <c r="S29" s="40">
        <f t="shared" si="1"/>
        <v>0</v>
      </c>
      <c r="T29" s="40">
        <f t="shared" si="0"/>
        <v>0</v>
      </c>
    </row>
    <row r="30" spans="2:20" ht="15" customHeight="1" x14ac:dyDescent="0.25">
      <c r="B30" s="101"/>
      <c r="C30" s="81"/>
      <c r="D30" s="48"/>
      <c r="E30" s="105"/>
      <c r="F30" s="81"/>
      <c r="G30" s="48"/>
      <c r="S30" s="40">
        <f t="shared" si="1"/>
        <v>0</v>
      </c>
      <c r="T30" s="40">
        <f t="shared" si="0"/>
        <v>0</v>
      </c>
    </row>
    <row r="31" spans="2:20" ht="15" customHeight="1" x14ac:dyDescent="0.25">
      <c r="B31" s="101"/>
      <c r="C31" s="81"/>
      <c r="D31" s="48"/>
      <c r="E31" s="105"/>
      <c r="F31" s="81"/>
      <c r="G31" s="48"/>
      <c r="S31" s="40">
        <f t="shared" si="1"/>
        <v>0</v>
      </c>
      <c r="T31" s="40">
        <f t="shared" si="0"/>
        <v>0</v>
      </c>
    </row>
    <row r="32" spans="2:20" ht="15" customHeight="1" x14ac:dyDescent="0.25">
      <c r="B32" s="101"/>
      <c r="C32" s="81"/>
      <c r="D32" s="48"/>
      <c r="E32" s="105"/>
      <c r="F32" s="81"/>
      <c r="G32" s="48"/>
      <c r="S32" s="40">
        <f t="shared" si="1"/>
        <v>0</v>
      </c>
      <c r="T32" s="40">
        <f t="shared" si="0"/>
        <v>0</v>
      </c>
    </row>
    <row r="33" spans="2:20" ht="15" customHeight="1" x14ac:dyDescent="0.25">
      <c r="B33" s="101"/>
      <c r="C33" s="81"/>
      <c r="D33" s="48"/>
      <c r="E33" s="105"/>
      <c r="F33" s="81"/>
      <c r="G33" s="48"/>
      <c r="S33" s="40">
        <f t="shared" si="1"/>
        <v>0</v>
      </c>
      <c r="T33" s="40">
        <f t="shared" si="0"/>
        <v>0</v>
      </c>
    </row>
    <row r="34" spans="2:20" ht="15" customHeight="1" x14ac:dyDescent="0.25">
      <c r="B34" s="101"/>
      <c r="C34" s="81"/>
      <c r="D34" s="48"/>
      <c r="E34" s="105"/>
      <c r="F34" s="81"/>
      <c r="G34" s="48"/>
      <c r="S34" s="40">
        <f t="shared" si="1"/>
        <v>0</v>
      </c>
      <c r="T34" s="40">
        <f t="shared" si="0"/>
        <v>0</v>
      </c>
    </row>
    <row r="35" spans="2:20" ht="15" customHeight="1" x14ac:dyDescent="0.25">
      <c r="B35" s="101"/>
      <c r="C35" s="81"/>
      <c r="D35" s="48"/>
      <c r="E35" s="105"/>
      <c r="F35" s="81"/>
      <c r="G35" s="48"/>
      <c r="S35" s="40">
        <f t="shared" si="1"/>
        <v>0</v>
      </c>
      <c r="T35" s="40">
        <f t="shared" si="0"/>
        <v>0</v>
      </c>
    </row>
    <row r="36" spans="2:20" ht="15" customHeight="1" x14ac:dyDescent="0.25">
      <c r="B36" s="101"/>
      <c r="C36" s="81"/>
      <c r="D36" s="48"/>
      <c r="E36" s="105"/>
      <c r="F36" s="81"/>
      <c r="G36" s="48"/>
      <c r="S36" s="40">
        <f t="shared" si="1"/>
        <v>0</v>
      </c>
      <c r="T36" s="40">
        <f t="shared" si="0"/>
        <v>0</v>
      </c>
    </row>
    <row r="37" spans="2:20" ht="15" customHeight="1" x14ac:dyDescent="0.25">
      <c r="B37" s="101"/>
      <c r="C37" s="106"/>
      <c r="D37" s="48"/>
      <c r="E37" s="105"/>
      <c r="F37" s="81"/>
      <c r="G37" s="48"/>
      <c r="S37" s="40">
        <f t="shared" si="1"/>
        <v>0</v>
      </c>
      <c r="T37" s="40">
        <f t="shared" si="0"/>
        <v>0</v>
      </c>
    </row>
    <row r="38" spans="2:20" ht="15" customHeight="1" x14ac:dyDescent="0.25">
      <c r="B38" s="101"/>
      <c r="C38" s="106"/>
      <c r="D38" s="48"/>
      <c r="E38" s="105"/>
      <c r="F38" s="81"/>
      <c r="G38" s="48"/>
      <c r="S38" s="40">
        <f t="shared" si="1"/>
        <v>0</v>
      </c>
      <c r="T38" s="40">
        <f t="shared" si="0"/>
        <v>0</v>
      </c>
    </row>
    <row r="39" spans="2:20" ht="15" customHeight="1" x14ac:dyDescent="0.25">
      <c r="B39" s="101"/>
      <c r="C39" s="106"/>
      <c r="D39" s="48"/>
      <c r="E39" s="105"/>
      <c r="F39" s="81"/>
      <c r="G39" s="48"/>
      <c r="S39" s="40">
        <f t="shared" si="1"/>
        <v>0</v>
      </c>
      <c r="T39" s="40">
        <f t="shared" si="0"/>
        <v>0</v>
      </c>
    </row>
    <row r="40" spans="2:20" ht="15" customHeight="1" x14ac:dyDescent="0.25">
      <c r="B40" s="101"/>
      <c r="C40" s="106"/>
      <c r="D40" s="48"/>
      <c r="E40" s="105"/>
      <c r="F40" s="81"/>
      <c r="G40" s="48"/>
      <c r="S40" s="40">
        <f t="shared" si="1"/>
        <v>0</v>
      </c>
      <c r="T40" s="40">
        <f t="shared" si="0"/>
        <v>0</v>
      </c>
    </row>
    <row r="41" spans="2:20" ht="15" customHeight="1" x14ac:dyDescent="0.25">
      <c r="B41" s="101"/>
      <c r="C41" s="106"/>
      <c r="D41" s="48"/>
      <c r="E41" s="105"/>
      <c r="F41" s="81"/>
      <c r="G41" s="48"/>
      <c r="S41" s="40">
        <f t="shared" si="1"/>
        <v>0</v>
      </c>
      <c r="T41" s="40">
        <f t="shared" si="0"/>
        <v>0</v>
      </c>
    </row>
    <row r="42" spans="2:20" ht="15" customHeight="1" x14ac:dyDescent="0.25">
      <c r="B42" s="101"/>
      <c r="C42" s="106"/>
      <c r="D42" s="48"/>
      <c r="E42" s="105"/>
      <c r="F42" s="81"/>
      <c r="G42" s="48"/>
      <c r="S42" s="40">
        <f t="shared" si="1"/>
        <v>0</v>
      </c>
      <c r="T42" s="40">
        <f t="shared" si="0"/>
        <v>0</v>
      </c>
    </row>
    <row r="43" spans="2:20" ht="15" customHeight="1" x14ac:dyDescent="0.25">
      <c r="B43" s="101"/>
      <c r="C43" s="106"/>
      <c r="D43" s="48"/>
      <c r="E43" s="105"/>
      <c r="F43" s="81"/>
      <c r="G43" s="48"/>
      <c r="S43" s="40">
        <f t="shared" si="1"/>
        <v>0</v>
      </c>
      <c r="T43" s="40">
        <f t="shared" si="0"/>
        <v>0</v>
      </c>
    </row>
    <row r="44" spans="2:20" ht="15" customHeight="1" x14ac:dyDescent="0.25">
      <c r="B44" s="101"/>
      <c r="C44" s="106"/>
      <c r="D44" s="48"/>
      <c r="E44" s="105"/>
      <c r="F44" s="81"/>
      <c r="G44" s="48"/>
      <c r="S44" s="40">
        <f t="shared" si="1"/>
        <v>0</v>
      </c>
      <c r="T44" s="40">
        <f t="shared" si="0"/>
        <v>0</v>
      </c>
    </row>
    <row r="45" spans="2:20" ht="15" customHeight="1" x14ac:dyDescent="0.25">
      <c r="B45" s="101"/>
      <c r="C45" s="106"/>
      <c r="D45" s="48"/>
      <c r="E45" s="105"/>
      <c r="F45" s="81"/>
      <c r="G45" s="48"/>
      <c r="S45" s="40">
        <f t="shared" si="1"/>
        <v>0</v>
      </c>
      <c r="T45" s="40">
        <f t="shared" si="0"/>
        <v>0</v>
      </c>
    </row>
    <row r="46" spans="2:20" ht="15" customHeight="1" x14ac:dyDescent="0.25">
      <c r="B46" s="101"/>
      <c r="C46" s="106"/>
      <c r="D46" s="48"/>
      <c r="E46" s="105"/>
      <c r="F46" s="106"/>
      <c r="G46" s="48"/>
      <c r="S46" s="40">
        <f t="shared" si="1"/>
        <v>0</v>
      </c>
      <c r="T46" s="40">
        <f t="shared" si="0"/>
        <v>0</v>
      </c>
    </row>
    <row r="47" spans="2:20" ht="15" customHeight="1" x14ac:dyDescent="0.25">
      <c r="B47" s="101"/>
      <c r="C47" s="106"/>
      <c r="D47" s="48"/>
      <c r="E47" s="105"/>
      <c r="F47" s="106"/>
      <c r="G47" s="48"/>
      <c r="S47" s="40">
        <f t="shared" si="1"/>
        <v>0</v>
      </c>
      <c r="T47" s="40">
        <f t="shared" si="0"/>
        <v>0</v>
      </c>
    </row>
    <row r="48" spans="2:20" ht="15" customHeight="1" x14ac:dyDescent="0.25">
      <c r="B48" s="101"/>
      <c r="C48" s="106"/>
      <c r="D48" s="48"/>
      <c r="E48" s="105"/>
      <c r="F48" s="106"/>
      <c r="G48" s="48"/>
      <c r="S48" s="40">
        <f t="shared" si="1"/>
        <v>0</v>
      </c>
      <c r="T48" s="40">
        <f t="shared" si="0"/>
        <v>0</v>
      </c>
    </row>
    <row r="49" spans="2:20" ht="15" customHeight="1" x14ac:dyDescent="0.25">
      <c r="B49" s="101"/>
      <c r="C49" s="106"/>
      <c r="D49" s="48"/>
      <c r="E49" s="105"/>
      <c r="F49" s="106"/>
      <c r="G49" s="48"/>
      <c r="S49" s="40">
        <f t="shared" si="1"/>
        <v>0</v>
      </c>
      <c r="T49" s="40">
        <f t="shared" si="0"/>
        <v>0</v>
      </c>
    </row>
    <row r="50" spans="2:20" ht="14.25" customHeight="1" x14ac:dyDescent="0.25">
      <c r="B50" s="107"/>
      <c r="C50" s="108"/>
      <c r="D50" s="48"/>
      <c r="E50" s="109"/>
      <c r="F50" s="108"/>
      <c r="G50" s="48"/>
      <c r="S50" s="110">
        <f>SUM(S3:S49)</f>
        <v>0</v>
      </c>
      <c r="T50" s="110">
        <f>SUM(T3:T49)</f>
        <v>27350550</v>
      </c>
    </row>
    <row r="51" spans="2:20" ht="15" customHeight="1" x14ac:dyDescent="0.25">
      <c r="B51" s="60">
        <f>SUM(B4:B50)</f>
        <v>0</v>
      </c>
      <c r="C51" s="111" t="e">
        <f>+(S50/H6)/100</f>
        <v>#DIV/0!</v>
      </c>
      <c r="D51" s="48"/>
      <c r="E51" s="48">
        <f>SUM(E4:E50)</f>
        <v>18</v>
      </c>
      <c r="F51" s="111">
        <f>+(T50/H9)/100</f>
        <v>15194.75</v>
      </c>
      <c r="G51" s="48"/>
    </row>
  </sheetData>
  <mergeCells count="3">
    <mergeCell ref="E1:F1"/>
    <mergeCell ref="B3:C3"/>
    <mergeCell ref="E3:F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T51"/>
  <sheetViews>
    <sheetView workbookViewId="0">
      <selection activeCell="I39" sqref="I39"/>
    </sheetView>
  </sheetViews>
  <sheetFormatPr baseColWidth="10" defaultRowHeight="15.75" x14ac:dyDescent="0.25"/>
  <cols>
    <col min="1" max="1" width="1.7109375" style="40" customWidth="1"/>
    <col min="2" max="2" width="6.140625" style="41" customWidth="1"/>
    <col min="3" max="3" width="10.42578125" style="40" customWidth="1"/>
    <col min="4" max="4" width="1.85546875" style="40" customWidth="1"/>
    <col min="5" max="5" width="7" style="40" customWidth="1"/>
    <col min="6" max="6" width="10.42578125" style="40" customWidth="1"/>
    <col min="7" max="7" width="3.5703125" style="40" customWidth="1"/>
    <col min="8" max="8" width="11.28515625" style="40" customWidth="1"/>
    <col min="9" max="9" width="12.42578125" style="40" customWidth="1"/>
    <col min="10" max="10" width="13.5703125" style="40" customWidth="1"/>
    <col min="11" max="11" width="31" style="40" customWidth="1"/>
    <col min="12" max="12" width="14" style="40" customWidth="1"/>
    <col min="13" max="13" width="5.28515625" style="40" customWidth="1"/>
    <col min="14" max="14" width="13.42578125" style="40" customWidth="1"/>
    <col min="15" max="15" width="9.5703125" style="40" customWidth="1"/>
    <col min="16" max="16" width="4" style="40" customWidth="1"/>
    <col min="17" max="17" width="4.42578125" style="40" customWidth="1"/>
    <col min="18" max="18" width="8.42578125" style="40" customWidth="1"/>
    <col min="19" max="19" width="12.140625" style="40" customWidth="1"/>
    <col min="20" max="21" width="11.7109375" style="40" customWidth="1"/>
    <col min="22" max="16384" width="11.42578125" style="40"/>
  </cols>
  <sheetData>
    <row r="1" spans="2:20" ht="18.75" customHeight="1" x14ac:dyDescent="0.35">
      <c r="B1" s="39"/>
      <c r="D1" s="9"/>
      <c r="E1" s="209">
        <f ca="1">TODAY()-1</f>
        <v>45195</v>
      </c>
      <c r="F1" s="210"/>
    </row>
    <row r="2" spans="2:20" ht="18.75" customHeight="1" x14ac:dyDescent="0.25">
      <c r="C2" s="42"/>
      <c r="F2" s="43"/>
      <c r="I2" s="44"/>
    </row>
    <row r="3" spans="2:20" ht="15.75" customHeight="1" x14ac:dyDescent="0.25">
      <c r="B3" s="211" t="s">
        <v>22</v>
      </c>
      <c r="C3" s="211"/>
      <c r="E3" s="212" t="s">
        <v>23</v>
      </c>
      <c r="F3" s="212"/>
      <c r="H3" s="45"/>
      <c r="I3" s="45"/>
      <c r="J3" s="45"/>
      <c r="S3" s="40">
        <f>+B4*C4*100</f>
        <v>0</v>
      </c>
      <c r="T3" s="40">
        <f t="shared" ref="T3:T49" si="0">+E4*F4*100</f>
        <v>7951680</v>
      </c>
    </row>
    <row r="4" spans="2:20" ht="15" customHeight="1" x14ac:dyDescent="0.25">
      <c r="B4" s="112"/>
      <c r="C4" s="194"/>
      <c r="D4" s="48"/>
      <c r="E4" s="112">
        <v>18</v>
      </c>
      <c r="F4" s="194">
        <v>4417.6000000000004</v>
      </c>
      <c r="G4" s="48"/>
      <c r="H4" s="50" t="s">
        <v>22</v>
      </c>
      <c r="I4" s="51"/>
      <c r="J4" s="45"/>
      <c r="K4" s="45"/>
      <c r="S4" s="40">
        <f>+B5*C5*100</f>
        <v>0</v>
      </c>
      <c r="T4" s="40">
        <f t="shared" si="0"/>
        <v>0</v>
      </c>
    </row>
    <row r="5" spans="2:20" ht="15" customHeight="1" x14ac:dyDescent="0.25">
      <c r="B5" s="46"/>
      <c r="C5" s="200"/>
      <c r="D5" s="48"/>
      <c r="E5" s="46"/>
      <c r="F5" s="200"/>
      <c r="G5" s="52"/>
      <c r="H5" s="53" t="s">
        <v>24</v>
      </c>
      <c r="I5" s="54" t="s">
        <v>25</v>
      </c>
      <c r="J5" s="45"/>
      <c r="K5" s="45"/>
      <c r="L5" s="45"/>
      <c r="S5" s="40">
        <f>+B6*C6*100</f>
        <v>0</v>
      </c>
      <c r="T5" s="40">
        <f>+E6*F6*100</f>
        <v>0</v>
      </c>
    </row>
    <row r="6" spans="2:20" ht="15" customHeight="1" x14ac:dyDescent="0.25">
      <c r="B6" s="46"/>
      <c r="C6" s="55"/>
      <c r="D6" s="48"/>
      <c r="E6" s="46"/>
      <c r="F6" s="47"/>
      <c r="G6" s="52"/>
      <c r="H6" s="56">
        <f>+B51</f>
        <v>0</v>
      </c>
      <c r="I6" s="57" t="e">
        <f>+C51</f>
        <v>#DIV/0!</v>
      </c>
      <c r="J6" s="58">
        <f>H6/70</f>
        <v>0</v>
      </c>
      <c r="K6" s="45"/>
      <c r="L6" s="45"/>
      <c r="S6" s="40">
        <f>+B7*C7*100</f>
        <v>0</v>
      </c>
      <c r="T6" s="40">
        <f>+E7*F7*100</f>
        <v>0</v>
      </c>
    </row>
    <row r="7" spans="2:20" ht="15" customHeight="1" x14ac:dyDescent="0.25">
      <c r="B7" s="46"/>
      <c r="C7" s="55"/>
      <c r="D7" s="199"/>
      <c r="E7" s="46"/>
      <c r="F7" s="47"/>
      <c r="G7" s="52"/>
      <c r="H7" s="50" t="s">
        <v>23</v>
      </c>
      <c r="I7" s="51"/>
      <c r="J7" s="45"/>
      <c r="K7" s="45"/>
      <c r="L7" s="45"/>
      <c r="M7" s="45"/>
      <c r="S7" s="40">
        <f t="shared" ref="S7:S49" si="1">+B8*C8*100</f>
        <v>0</v>
      </c>
      <c r="T7" s="40">
        <f>+E8*F8*100</f>
        <v>0</v>
      </c>
    </row>
    <row r="8" spans="2:20" ht="15" customHeight="1" x14ac:dyDescent="0.25">
      <c r="B8" s="46"/>
      <c r="C8" s="47"/>
      <c r="D8" s="199"/>
      <c r="E8" s="46"/>
      <c r="F8" s="47"/>
      <c r="G8" s="48"/>
      <c r="H8" s="53" t="s">
        <v>24</v>
      </c>
      <c r="I8" s="54" t="s">
        <v>25</v>
      </c>
      <c r="J8" s="45"/>
      <c r="K8" s="45"/>
      <c r="L8" s="45"/>
      <c r="M8" s="45"/>
      <c r="S8" s="40">
        <f t="shared" si="1"/>
        <v>0</v>
      </c>
      <c r="T8" s="40">
        <f>+E9*F9*100</f>
        <v>0</v>
      </c>
    </row>
    <row r="9" spans="2:20" ht="15" customHeight="1" x14ac:dyDescent="0.25">
      <c r="B9" s="46"/>
      <c r="C9" s="47"/>
      <c r="D9" s="199"/>
      <c r="E9" s="46"/>
      <c r="F9" s="47"/>
      <c r="G9" s="48"/>
      <c r="H9" s="56">
        <f>+E51</f>
        <v>18</v>
      </c>
      <c r="I9" s="57">
        <f>+F51</f>
        <v>4417.6000000000004</v>
      </c>
      <c r="J9" s="9"/>
      <c r="L9" s="45"/>
      <c r="S9" s="40">
        <f>+B10*C10*100</f>
        <v>0</v>
      </c>
      <c r="T9" s="40">
        <f t="shared" si="0"/>
        <v>0</v>
      </c>
    </row>
    <row r="10" spans="2:20" ht="13.5" customHeight="1" x14ac:dyDescent="0.25">
      <c r="B10" s="46"/>
      <c r="C10" s="47"/>
      <c r="D10" s="60"/>
      <c r="E10" s="46"/>
      <c r="F10" s="47"/>
      <c r="G10" s="48"/>
      <c r="H10" s="61"/>
      <c r="I10" s="45"/>
      <c r="J10" s="45"/>
      <c r="L10" s="45"/>
      <c r="M10" s="62"/>
      <c r="S10" s="40">
        <f>+B11*C11*100</f>
        <v>0</v>
      </c>
      <c r="T10" s="40">
        <f t="shared" si="0"/>
        <v>0</v>
      </c>
    </row>
    <row r="11" spans="2:20" ht="15" customHeight="1" x14ac:dyDescent="0.3">
      <c r="B11" s="46"/>
      <c r="C11" s="81"/>
      <c r="D11" s="60"/>
      <c r="E11" s="46"/>
      <c r="F11" s="47"/>
      <c r="G11" s="48"/>
      <c r="H11" s="63" t="s">
        <v>26</v>
      </c>
      <c r="I11" s="64"/>
      <c r="J11" s="65"/>
      <c r="L11" s="45"/>
      <c r="S11" s="40">
        <f>+B12*C12*100</f>
        <v>0</v>
      </c>
      <c r="T11" s="40">
        <f t="shared" si="0"/>
        <v>0</v>
      </c>
    </row>
    <row r="12" spans="2:20" ht="15" customHeight="1" x14ac:dyDescent="0.25">
      <c r="B12" s="46"/>
      <c r="C12" s="81"/>
      <c r="D12" s="60"/>
      <c r="E12" s="46"/>
      <c r="F12" s="47"/>
      <c r="G12" s="48"/>
      <c r="H12" s="66" t="str">
        <f>IF(H9&gt;H6,"VENDIDO","COMPRADO")</f>
        <v>VENDIDO</v>
      </c>
      <c r="I12" s="67">
        <f>+H6-H9</f>
        <v>-18</v>
      </c>
      <c r="J12" s="68">
        <f>SUM((S50-T50)/I12)/100</f>
        <v>4417.6000000000004</v>
      </c>
      <c r="L12" s="45"/>
      <c r="S12" s="40">
        <f>+B13*C13*100</f>
        <v>0</v>
      </c>
      <c r="T12" s="40">
        <f t="shared" si="0"/>
        <v>0</v>
      </c>
    </row>
    <row r="13" spans="2:20" ht="15" customHeight="1" x14ac:dyDescent="0.25">
      <c r="B13" s="46"/>
      <c r="C13" s="81"/>
      <c r="D13" s="48"/>
      <c r="E13" s="46"/>
      <c r="F13" s="47"/>
      <c r="G13" s="48"/>
      <c r="H13" s="69"/>
      <c r="I13" s="70" t="e">
        <f>I9-I6</f>
        <v>#DIV/0!</v>
      </c>
      <c r="J13" s="71" t="e">
        <f>I13*50*H9</f>
        <v>#DIV/0!</v>
      </c>
      <c r="S13" s="40">
        <f>+B14*C14*100</f>
        <v>0</v>
      </c>
      <c r="T13" s="40">
        <f t="shared" si="0"/>
        <v>0</v>
      </c>
    </row>
    <row r="14" spans="2:20" ht="13.5" customHeight="1" x14ac:dyDescent="0.25">
      <c r="B14" s="46"/>
      <c r="C14" s="81"/>
      <c r="D14" s="48"/>
      <c r="E14" s="46"/>
      <c r="F14" s="47"/>
      <c r="G14" s="48"/>
      <c r="H14" s="72"/>
      <c r="I14" s="72" t="s">
        <v>4</v>
      </c>
      <c r="J14" s="45"/>
      <c r="S14" s="40">
        <f t="shared" si="1"/>
        <v>0</v>
      </c>
      <c r="T14" s="40">
        <f t="shared" si="0"/>
        <v>0</v>
      </c>
    </row>
    <row r="15" spans="2:20" ht="15" customHeight="1" x14ac:dyDescent="0.25">
      <c r="B15" s="46"/>
      <c r="C15" s="81"/>
      <c r="D15" s="48"/>
      <c r="E15" s="46"/>
      <c r="F15" s="47"/>
      <c r="G15" s="48"/>
      <c r="H15" s="113" t="str">
        <f>'MERCADO (DATOS)'!F41</f>
        <v>ESU3 INDEX</v>
      </c>
      <c r="I15" s="190" t="e">
        <f ca="1">_xll.BDP(H15,I14)</f>
        <v>#NAME?</v>
      </c>
      <c r="J15" s="75"/>
      <c r="K15" s="76" t="e">
        <f ca="1">I15-J12</f>
        <v>#NAME?</v>
      </c>
      <c r="L15" s="77" t="e">
        <f ca="1">I12*10*K15</f>
        <v>#NAME?</v>
      </c>
      <c r="S15" s="40">
        <f t="shared" si="1"/>
        <v>0</v>
      </c>
      <c r="T15" s="40">
        <f t="shared" si="0"/>
        <v>0</v>
      </c>
    </row>
    <row r="16" spans="2:20" ht="15" customHeight="1" x14ac:dyDescent="0.25">
      <c r="B16" s="46"/>
      <c r="C16" s="81"/>
      <c r="D16" s="48"/>
      <c r="E16" s="46"/>
      <c r="F16" s="81"/>
      <c r="G16" s="48"/>
      <c r="H16" s="79"/>
      <c r="I16" s="79"/>
      <c r="J16" s="80"/>
      <c r="S16" s="40">
        <f t="shared" si="1"/>
        <v>0</v>
      </c>
      <c r="T16" s="40">
        <f t="shared" si="0"/>
        <v>0</v>
      </c>
    </row>
    <row r="17" spans="2:20" ht="15" customHeight="1" x14ac:dyDescent="0.25">
      <c r="B17" s="46"/>
      <c r="C17" s="81"/>
      <c r="D17" s="48"/>
      <c r="E17" s="46"/>
      <c r="F17" s="81"/>
      <c r="G17" s="48"/>
      <c r="J17" s="74"/>
      <c r="S17" s="40">
        <f t="shared" si="1"/>
        <v>0</v>
      </c>
      <c r="T17" s="40">
        <f t="shared" si="0"/>
        <v>0</v>
      </c>
    </row>
    <row r="18" spans="2:20" ht="15" customHeight="1" thickBot="1" x14ac:dyDescent="0.3">
      <c r="B18" s="46"/>
      <c r="C18" s="81"/>
      <c r="D18" s="114"/>
      <c r="E18" s="46"/>
      <c r="F18" s="81"/>
      <c r="G18" s="48"/>
      <c r="J18" s="82"/>
      <c r="K18" s="83" t="s">
        <v>27</v>
      </c>
      <c r="L18" s="84" t="s">
        <v>28</v>
      </c>
      <c r="M18" s="85"/>
      <c r="N18" s="86">
        <v>10</v>
      </c>
      <c r="O18" s="87" t="s">
        <v>29</v>
      </c>
      <c r="S18" s="40">
        <f t="shared" si="1"/>
        <v>0</v>
      </c>
      <c r="T18" s="40">
        <f t="shared" si="0"/>
        <v>0</v>
      </c>
    </row>
    <row r="19" spans="2:20" ht="15" customHeight="1" x14ac:dyDescent="0.25">
      <c r="B19" s="46"/>
      <c r="C19" s="81"/>
      <c r="D19" s="48"/>
      <c r="E19" s="46"/>
      <c r="F19" s="81"/>
      <c r="G19" s="48"/>
      <c r="I19" s="88">
        <v>0.05</v>
      </c>
      <c r="J19" s="88">
        <v>1697</v>
      </c>
      <c r="K19" s="89" t="str">
        <f>[1]!d("ENT_APE",$J19)</f>
        <v>JPMORGAN F-AMERICA EQ-A-D US</v>
      </c>
      <c r="L19" s="90">
        <f ca="1">[1]!d("FON_PAT",$J19,WORKDAY($E$1,-1))</f>
        <v>0</v>
      </c>
      <c r="M19" s="90">
        <f t="shared" ref="M19:M24" si="2">Q19</f>
        <v>0</v>
      </c>
      <c r="N19" s="91" t="e">
        <f t="shared" ref="N19:N24" si="3">M19*$N$18*($I$9-$I$6)</f>
        <v>#DIV/0!</v>
      </c>
      <c r="O19" s="92" t="e">
        <f t="shared" ref="O19:O24" ca="1" si="4">N19/L19</f>
        <v>#DIV/0!</v>
      </c>
      <c r="P19" s="93">
        <v>5</v>
      </c>
      <c r="Q19" s="94">
        <f t="shared" ref="Q19:Q24" si="5">P19*$Q$18</f>
        <v>0</v>
      </c>
      <c r="R19" s="95"/>
      <c r="S19" s="40">
        <f t="shared" si="1"/>
        <v>0</v>
      </c>
      <c r="T19" s="40">
        <f t="shared" si="0"/>
        <v>0</v>
      </c>
    </row>
    <row r="20" spans="2:20" ht="15" customHeight="1" x14ac:dyDescent="0.25">
      <c r="B20" s="46"/>
      <c r="C20" s="81"/>
      <c r="D20" s="48"/>
      <c r="E20" s="46"/>
      <c r="F20" s="81"/>
      <c r="G20" s="60"/>
      <c r="H20" s="96"/>
      <c r="I20" s="88">
        <v>0.7</v>
      </c>
      <c r="J20" s="88">
        <v>205</v>
      </c>
      <c r="K20" s="89" t="str">
        <f>[1]!d("ENT_APE",$J20)</f>
        <v>BMN CARTERA FLEXIBLE 20 FI</v>
      </c>
      <c r="L20" s="90">
        <f ca="1">[1]!d("FON_PAT",$J20,WORKDAY($E$1,-1))</f>
        <v>0</v>
      </c>
      <c r="M20" s="90">
        <f t="shared" si="2"/>
        <v>0</v>
      </c>
      <c r="N20" s="91" t="e">
        <f t="shared" si="3"/>
        <v>#DIV/0!</v>
      </c>
      <c r="O20" s="92" t="e">
        <f t="shared" ca="1" si="4"/>
        <v>#DIV/0!</v>
      </c>
      <c r="P20" s="97">
        <v>2</v>
      </c>
      <c r="Q20" s="98">
        <f t="shared" si="5"/>
        <v>0</v>
      </c>
      <c r="R20" s="95"/>
      <c r="S20" s="40">
        <f>+B21*C21*100</f>
        <v>0</v>
      </c>
      <c r="T20" s="40">
        <f t="shared" si="0"/>
        <v>0</v>
      </c>
    </row>
    <row r="21" spans="2:20" ht="15" customHeight="1" x14ac:dyDescent="0.25">
      <c r="B21" s="46"/>
      <c r="C21" s="81"/>
      <c r="D21" s="48"/>
      <c r="E21" s="46"/>
      <c r="F21" s="81"/>
      <c r="G21" s="48"/>
      <c r="H21" s="96"/>
      <c r="I21" s="88">
        <v>0.43</v>
      </c>
      <c r="J21" s="88">
        <v>69</v>
      </c>
      <c r="K21" s="89">
        <f>[1]!d("ENT_APE",$J21)</f>
        <v>0</v>
      </c>
      <c r="L21" s="90">
        <f ca="1">[1]!d("FON_PAT",$J21,WORKDAY($E$1,-1))</f>
        <v>0</v>
      </c>
      <c r="M21" s="90">
        <f t="shared" si="2"/>
        <v>0</v>
      </c>
      <c r="N21" s="91" t="e">
        <f t="shared" si="3"/>
        <v>#DIV/0!</v>
      </c>
      <c r="O21" s="92" t="e">
        <f t="shared" ca="1" si="4"/>
        <v>#DIV/0!</v>
      </c>
      <c r="P21" s="97">
        <v>17</v>
      </c>
      <c r="Q21" s="98">
        <f t="shared" si="5"/>
        <v>0</v>
      </c>
      <c r="R21" s="95"/>
      <c r="S21" s="40">
        <f>+B22*C22*100</f>
        <v>0</v>
      </c>
      <c r="T21" s="40">
        <f t="shared" si="0"/>
        <v>0</v>
      </c>
    </row>
    <row r="22" spans="2:20" ht="15" customHeight="1" x14ac:dyDescent="0.25">
      <c r="B22" s="46"/>
      <c r="C22" s="81"/>
      <c r="D22" s="48"/>
      <c r="E22" s="46"/>
      <c r="F22" s="81"/>
      <c r="G22" s="48"/>
      <c r="H22" s="96"/>
      <c r="I22" s="88">
        <v>0.75</v>
      </c>
      <c r="J22" s="88">
        <v>13</v>
      </c>
      <c r="K22" s="89" t="str">
        <f>[1]!d("ENT_APE",$J22)</f>
        <v>XENIA FLEXIBLE FI</v>
      </c>
      <c r="L22" s="90">
        <f ca="1">[1]!d("FON_PAT",$J22,WORKDAY($E$1,-1))</f>
        <v>0</v>
      </c>
      <c r="M22" s="90">
        <f t="shared" si="2"/>
        <v>0</v>
      </c>
      <c r="N22" s="91" t="e">
        <f t="shared" si="3"/>
        <v>#DIV/0!</v>
      </c>
      <c r="O22" s="92" t="e">
        <f t="shared" ca="1" si="4"/>
        <v>#DIV/0!</v>
      </c>
      <c r="P22" s="97">
        <v>22</v>
      </c>
      <c r="Q22" s="98">
        <f t="shared" si="5"/>
        <v>0</v>
      </c>
      <c r="R22" s="95"/>
      <c r="S22" s="40">
        <f t="shared" si="1"/>
        <v>0</v>
      </c>
      <c r="T22" s="40">
        <f t="shared" si="0"/>
        <v>0</v>
      </c>
    </row>
    <row r="23" spans="2:20" ht="15" customHeight="1" x14ac:dyDescent="0.25">
      <c r="B23" s="46"/>
      <c r="C23" s="81"/>
      <c r="D23" s="48"/>
      <c r="E23" s="46"/>
      <c r="F23" s="81"/>
      <c r="G23" s="48"/>
      <c r="I23" s="88">
        <v>0.9</v>
      </c>
      <c r="J23" s="88">
        <v>202</v>
      </c>
      <c r="K23" s="89" t="str">
        <f>[1]!d("ENT_APE",$J23)</f>
        <v>BMN BOLSA EUROPEA, FI</v>
      </c>
      <c r="L23" s="90">
        <f ca="1">[1]!d("FON_PAT",$J23,WORKDAY($E$1,-1))</f>
        <v>0</v>
      </c>
      <c r="M23" s="90">
        <f t="shared" si="2"/>
        <v>0</v>
      </c>
      <c r="N23" s="91" t="e">
        <f t="shared" si="3"/>
        <v>#DIV/0!</v>
      </c>
      <c r="O23" s="92" t="e">
        <f t="shared" ca="1" si="4"/>
        <v>#DIV/0!</v>
      </c>
      <c r="P23" s="97">
        <v>13</v>
      </c>
      <c r="Q23" s="98">
        <f t="shared" si="5"/>
        <v>0</v>
      </c>
      <c r="R23" s="95"/>
      <c r="S23" s="40">
        <f t="shared" si="1"/>
        <v>0</v>
      </c>
      <c r="T23" s="40">
        <f t="shared" si="0"/>
        <v>0</v>
      </c>
    </row>
    <row r="24" spans="2:20" ht="15" customHeight="1" x14ac:dyDescent="0.25">
      <c r="B24" s="46"/>
      <c r="C24" s="81"/>
      <c r="D24" s="48"/>
      <c r="E24" s="46"/>
      <c r="F24" s="81"/>
      <c r="G24" s="48"/>
      <c r="I24" s="88">
        <v>0.5</v>
      </c>
      <c r="J24" s="88">
        <v>21926</v>
      </c>
      <c r="K24" s="89">
        <f>[1]!d("ENT_APE",$J24)</f>
        <v>0</v>
      </c>
      <c r="L24" s="90">
        <f ca="1">[1]!d("FON_PAT",$J24,WORKDAY($E$1,-1))</f>
        <v>0</v>
      </c>
      <c r="M24" s="90">
        <f t="shared" si="2"/>
        <v>0</v>
      </c>
      <c r="N24" s="91" t="e">
        <f t="shared" si="3"/>
        <v>#DIV/0!</v>
      </c>
      <c r="O24" s="92" t="e">
        <f t="shared" ca="1" si="4"/>
        <v>#DIV/0!</v>
      </c>
      <c r="P24" s="99">
        <v>4</v>
      </c>
      <c r="Q24" s="100">
        <f t="shared" si="5"/>
        <v>0</v>
      </c>
      <c r="R24" s="95"/>
      <c r="S24" s="40">
        <f t="shared" si="1"/>
        <v>0</v>
      </c>
      <c r="T24" s="40">
        <f t="shared" si="0"/>
        <v>0</v>
      </c>
    </row>
    <row r="25" spans="2:20" ht="15" customHeight="1" x14ac:dyDescent="0.25">
      <c r="B25" s="46"/>
      <c r="C25" s="81"/>
      <c r="D25" s="48"/>
      <c r="E25" s="46"/>
      <c r="F25" s="81"/>
      <c r="G25" s="48"/>
      <c r="J25" s="88"/>
      <c r="K25" s="89"/>
      <c r="L25" s="102">
        <f ca="1">SUM(L19:L24)</f>
        <v>0</v>
      </c>
      <c r="M25" s="103">
        <f>SUM(M19:M24)</f>
        <v>0</v>
      </c>
      <c r="N25" s="104" t="e">
        <f>SUM(N19:N24)</f>
        <v>#DIV/0!</v>
      </c>
      <c r="O25" s="92"/>
      <c r="P25" s="95"/>
      <c r="Q25" s="95"/>
      <c r="R25" s="95"/>
      <c r="S25" s="40">
        <f t="shared" si="1"/>
        <v>0</v>
      </c>
      <c r="T25" s="40">
        <f t="shared" si="0"/>
        <v>0</v>
      </c>
    </row>
    <row r="26" spans="2:20" ht="15" customHeight="1" x14ac:dyDescent="0.25">
      <c r="B26" s="46"/>
      <c r="C26" s="81"/>
      <c r="D26" s="48"/>
      <c r="E26" s="46"/>
      <c r="F26" s="81"/>
      <c r="G26" s="48"/>
      <c r="S26" s="40">
        <f t="shared" si="1"/>
        <v>0</v>
      </c>
      <c r="T26" s="40">
        <f t="shared" si="0"/>
        <v>0</v>
      </c>
    </row>
    <row r="27" spans="2:20" ht="15" customHeight="1" x14ac:dyDescent="0.25">
      <c r="B27" s="101"/>
      <c r="C27" s="81"/>
      <c r="D27" s="48"/>
      <c r="E27" s="105"/>
      <c r="F27" s="81"/>
      <c r="G27" s="48"/>
      <c r="S27" s="40">
        <f t="shared" si="1"/>
        <v>0</v>
      </c>
      <c r="T27" s="40">
        <f t="shared" si="0"/>
        <v>0</v>
      </c>
    </row>
    <row r="28" spans="2:20" ht="15" customHeight="1" x14ac:dyDescent="0.25">
      <c r="B28" s="101"/>
      <c r="C28" s="81"/>
      <c r="D28" s="48"/>
      <c r="E28" s="105"/>
      <c r="F28" s="81"/>
      <c r="G28" s="48"/>
      <c r="S28" s="40">
        <f t="shared" si="1"/>
        <v>0</v>
      </c>
      <c r="T28" s="40">
        <f t="shared" si="0"/>
        <v>0</v>
      </c>
    </row>
    <row r="29" spans="2:20" ht="14.25" customHeight="1" x14ac:dyDescent="0.25">
      <c r="B29" s="101"/>
      <c r="C29" s="81"/>
      <c r="D29" s="48"/>
      <c r="E29" s="105"/>
      <c r="F29" s="81"/>
      <c r="G29" s="48"/>
      <c r="S29" s="40">
        <f t="shared" si="1"/>
        <v>0</v>
      </c>
      <c r="T29" s="40">
        <f t="shared" si="0"/>
        <v>0</v>
      </c>
    </row>
    <row r="30" spans="2:20" ht="15" customHeight="1" x14ac:dyDescent="0.25">
      <c r="B30" s="101"/>
      <c r="C30" s="81"/>
      <c r="D30" s="48"/>
      <c r="E30" s="105"/>
      <c r="F30" s="81"/>
      <c r="G30" s="48"/>
      <c r="S30" s="40">
        <f t="shared" si="1"/>
        <v>0</v>
      </c>
      <c r="T30" s="40">
        <f t="shared" si="0"/>
        <v>0</v>
      </c>
    </row>
    <row r="31" spans="2:20" ht="15" customHeight="1" x14ac:dyDescent="0.25">
      <c r="B31" s="101"/>
      <c r="C31" s="81"/>
      <c r="D31" s="48"/>
      <c r="E31" s="105"/>
      <c r="F31" s="81"/>
      <c r="G31" s="48"/>
      <c r="S31" s="40">
        <f t="shared" si="1"/>
        <v>0</v>
      </c>
      <c r="T31" s="40">
        <f t="shared" si="0"/>
        <v>0</v>
      </c>
    </row>
    <row r="32" spans="2:20" ht="15" customHeight="1" x14ac:dyDescent="0.25">
      <c r="B32" s="101"/>
      <c r="C32" s="81"/>
      <c r="D32" s="48"/>
      <c r="E32" s="105"/>
      <c r="F32" s="81"/>
      <c r="G32" s="48"/>
      <c r="S32" s="40">
        <f t="shared" si="1"/>
        <v>0</v>
      </c>
      <c r="T32" s="40">
        <f t="shared" si="0"/>
        <v>0</v>
      </c>
    </row>
    <row r="33" spans="2:20" ht="15" customHeight="1" x14ac:dyDescent="0.25">
      <c r="B33" s="101"/>
      <c r="C33" s="81"/>
      <c r="D33" s="48"/>
      <c r="E33" s="105"/>
      <c r="F33" s="81"/>
      <c r="G33" s="48"/>
      <c r="S33" s="40">
        <f t="shared" si="1"/>
        <v>0</v>
      </c>
      <c r="T33" s="40">
        <f t="shared" si="0"/>
        <v>0</v>
      </c>
    </row>
    <row r="34" spans="2:20" ht="15" customHeight="1" x14ac:dyDescent="0.25">
      <c r="B34" s="101"/>
      <c r="C34" s="81"/>
      <c r="D34" s="48"/>
      <c r="E34" s="105"/>
      <c r="F34" s="81"/>
      <c r="G34" s="48"/>
      <c r="S34" s="40">
        <f t="shared" si="1"/>
        <v>0</v>
      </c>
      <c r="T34" s="40">
        <f t="shared" si="0"/>
        <v>0</v>
      </c>
    </row>
    <row r="35" spans="2:20" ht="15" customHeight="1" x14ac:dyDescent="0.25">
      <c r="B35" s="101"/>
      <c r="C35" s="81"/>
      <c r="D35" s="48"/>
      <c r="E35" s="105"/>
      <c r="F35" s="81"/>
      <c r="G35" s="48"/>
      <c r="S35" s="40">
        <f t="shared" si="1"/>
        <v>0</v>
      </c>
      <c r="T35" s="40">
        <f t="shared" si="0"/>
        <v>0</v>
      </c>
    </row>
    <row r="36" spans="2:20" ht="15" customHeight="1" x14ac:dyDescent="0.25">
      <c r="B36" s="101"/>
      <c r="C36" s="81"/>
      <c r="D36" s="48"/>
      <c r="E36" s="105"/>
      <c r="F36" s="81"/>
      <c r="G36" s="48"/>
      <c r="S36" s="40">
        <f t="shared" si="1"/>
        <v>0</v>
      </c>
      <c r="T36" s="40">
        <f t="shared" si="0"/>
        <v>0</v>
      </c>
    </row>
    <row r="37" spans="2:20" ht="15" customHeight="1" x14ac:dyDescent="0.25">
      <c r="B37" s="101"/>
      <c r="C37" s="106"/>
      <c r="D37" s="48"/>
      <c r="E37" s="105"/>
      <c r="F37" s="81"/>
      <c r="G37" s="48"/>
      <c r="S37" s="40">
        <f t="shared" si="1"/>
        <v>0</v>
      </c>
      <c r="T37" s="40">
        <f t="shared" si="0"/>
        <v>0</v>
      </c>
    </row>
    <row r="38" spans="2:20" ht="15" customHeight="1" x14ac:dyDescent="0.25">
      <c r="B38" s="101"/>
      <c r="C38" s="106"/>
      <c r="D38" s="48"/>
      <c r="E38" s="105"/>
      <c r="F38" s="81"/>
      <c r="G38" s="48"/>
      <c r="S38" s="40">
        <f t="shared" si="1"/>
        <v>0</v>
      </c>
      <c r="T38" s="40">
        <f t="shared" si="0"/>
        <v>0</v>
      </c>
    </row>
    <row r="39" spans="2:20" ht="15" customHeight="1" x14ac:dyDescent="0.25">
      <c r="B39" s="101"/>
      <c r="C39" s="106"/>
      <c r="D39" s="48"/>
      <c r="E39" s="105"/>
      <c r="F39" s="81"/>
      <c r="G39" s="48"/>
      <c r="S39" s="40">
        <f t="shared" si="1"/>
        <v>0</v>
      </c>
      <c r="T39" s="40">
        <f t="shared" si="0"/>
        <v>0</v>
      </c>
    </row>
    <row r="40" spans="2:20" ht="15" customHeight="1" x14ac:dyDescent="0.25">
      <c r="B40" s="101"/>
      <c r="C40" s="106"/>
      <c r="D40" s="48"/>
      <c r="E40" s="105"/>
      <c r="F40" s="81"/>
      <c r="G40" s="48"/>
      <c r="S40" s="40">
        <f t="shared" si="1"/>
        <v>0</v>
      </c>
      <c r="T40" s="40">
        <f t="shared" si="0"/>
        <v>0</v>
      </c>
    </row>
    <row r="41" spans="2:20" ht="15" customHeight="1" x14ac:dyDescent="0.25">
      <c r="B41" s="101"/>
      <c r="C41" s="106"/>
      <c r="D41" s="48"/>
      <c r="E41" s="105"/>
      <c r="F41" s="81"/>
      <c r="G41" s="48"/>
      <c r="S41" s="40">
        <f t="shared" si="1"/>
        <v>0</v>
      </c>
      <c r="T41" s="40">
        <f t="shared" si="0"/>
        <v>0</v>
      </c>
    </row>
    <row r="42" spans="2:20" ht="15" customHeight="1" x14ac:dyDescent="0.25">
      <c r="B42" s="101"/>
      <c r="C42" s="106"/>
      <c r="D42" s="48"/>
      <c r="E42" s="105"/>
      <c r="F42" s="81"/>
      <c r="G42" s="48"/>
      <c r="S42" s="40">
        <f t="shared" si="1"/>
        <v>0</v>
      </c>
      <c r="T42" s="40">
        <f t="shared" si="0"/>
        <v>0</v>
      </c>
    </row>
    <row r="43" spans="2:20" ht="15" customHeight="1" x14ac:dyDescent="0.25">
      <c r="B43" s="101"/>
      <c r="C43" s="106"/>
      <c r="D43" s="48"/>
      <c r="E43" s="105"/>
      <c r="F43" s="81"/>
      <c r="G43" s="48"/>
      <c r="S43" s="40">
        <f t="shared" si="1"/>
        <v>0</v>
      </c>
      <c r="T43" s="40">
        <f t="shared" si="0"/>
        <v>0</v>
      </c>
    </row>
    <row r="44" spans="2:20" ht="15" customHeight="1" x14ac:dyDescent="0.25">
      <c r="B44" s="101"/>
      <c r="C44" s="106"/>
      <c r="D44" s="48"/>
      <c r="E44" s="105"/>
      <c r="F44" s="81"/>
      <c r="G44" s="48"/>
      <c r="S44" s="40">
        <f t="shared" si="1"/>
        <v>0</v>
      </c>
      <c r="T44" s="40">
        <f t="shared" si="0"/>
        <v>0</v>
      </c>
    </row>
    <row r="45" spans="2:20" ht="15" customHeight="1" x14ac:dyDescent="0.25">
      <c r="B45" s="101"/>
      <c r="C45" s="106"/>
      <c r="D45" s="48"/>
      <c r="E45" s="105"/>
      <c r="F45" s="81"/>
      <c r="G45" s="48"/>
      <c r="S45" s="40">
        <f t="shared" si="1"/>
        <v>0</v>
      </c>
      <c r="T45" s="40">
        <f t="shared" si="0"/>
        <v>0</v>
      </c>
    </row>
    <row r="46" spans="2:20" ht="15" customHeight="1" x14ac:dyDescent="0.25">
      <c r="B46" s="101"/>
      <c r="C46" s="106"/>
      <c r="D46" s="48"/>
      <c r="E46" s="105"/>
      <c r="F46" s="106"/>
      <c r="G46" s="48"/>
      <c r="S46" s="40">
        <f t="shared" si="1"/>
        <v>0</v>
      </c>
      <c r="T46" s="40">
        <f t="shared" si="0"/>
        <v>0</v>
      </c>
    </row>
    <row r="47" spans="2:20" ht="15" customHeight="1" x14ac:dyDescent="0.25">
      <c r="B47" s="101"/>
      <c r="C47" s="106"/>
      <c r="D47" s="48"/>
      <c r="E47" s="105"/>
      <c r="F47" s="106"/>
      <c r="G47" s="48"/>
      <c r="S47" s="40">
        <f t="shared" si="1"/>
        <v>0</v>
      </c>
      <c r="T47" s="40">
        <f t="shared" si="0"/>
        <v>0</v>
      </c>
    </row>
    <row r="48" spans="2:20" ht="15" customHeight="1" x14ac:dyDescent="0.25">
      <c r="B48" s="101"/>
      <c r="C48" s="106"/>
      <c r="D48" s="48"/>
      <c r="E48" s="105"/>
      <c r="F48" s="106"/>
      <c r="G48" s="48"/>
      <c r="S48" s="40">
        <f t="shared" si="1"/>
        <v>0</v>
      </c>
      <c r="T48" s="40">
        <f t="shared" si="0"/>
        <v>0</v>
      </c>
    </row>
    <row r="49" spans="2:20" ht="15" customHeight="1" x14ac:dyDescent="0.25">
      <c r="B49" s="101"/>
      <c r="C49" s="106"/>
      <c r="D49" s="48"/>
      <c r="E49" s="105"/>
      <c r="F49" s="106"/>
      <c r="G49" s="48"/>
      <c r="S49" s="40">
        <f t="shared" si="1"/>
        <v>0</v>
      </c>
      <c r="T49" s="40">
        <f t="shared" si="0"/>
        <v>0</v>
      </c>
    </row>
    <row r="50" spans="2:20" ht="14.25" customHeight="1" x14ac:dyDescent="0.25">
      <c r="B50" s="107"/>
      <c r="C50" s="108"/>
      <c r="D50" s="48"/>
      <c r="E50" s="109"/>
      <c r="F50" s="108"/>
      <c r="G50" s="48"/>
      <c r="S50" s="110">
        <f>SUM(S3:S49)</f>
        <v>0</v>
      </c>
      <c r="T50" s="110">
        <f>SUM(T3:T49)</f>
        <v>7951680</v>
      </c>
    </row>
    <row r="51" spans="2:20" ht="15" customHeight="1" x14ac:dyDescent="0.25">
      <c r="B51" s="60">
        <f>SUM(B4:B50)</f>
        <v>0</v>
      </c>
      <c r="C51" s="111" t="e">
        <f>+(S50/H6)/100</f>
        <v>#DIV/0!</v>
      </c>
      <c r="D51" s="48"/>
      <c r="E51" s="48">
        <f>SUM(E4:E50)</f>
        <v>18</v>
      </c>
      <c r="F51" s="111">
        <f>+(T50/H9)/100</f>
        <v>4417.6000000000004</v>
      </c>
      <c r="G51" s="48"/>
    </row>
  </sheetData>
  <mergeCells count="3">
    <mergeCell ref="E1:F1"/>
    <mergeCell ref="B3:C3"/>
    <mergeCell ref="E3:F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A2:M5043"/>
  <sheetViews>
    <sheetView showGridLines="0" topLeftCell="A4" zoomScaleNormal="100" workbookViewId="0">
      <selection activeCell="C16" sqref="C16"/>
    </sheetView>
  </sheetViews>
  <sheetFormatPr baseColWidth="10" defaultRowHeight="15" x14ac:dyDescent="0.25"/>
  <cols>
    <col min="1" max="1" width="5.7109375" customWidth="1"/>
    <col min="2" max="2" width="9.28515625" customWidth="1"/>
    <col min="3" max="3" width="25.140625" customWidth="1"/>
    <col min="4" max="4" width="14.28515625" customWidth="1"/>
    <col min="5" max="5" width="11.85546875" bestFit="1" customWidth="1"/>
    <col min="6" max="6" width="18.28515625" customWidth="1"/>
    <col min="7" max="7" width="15.42578125" customWidth="1"/>
    <col min="9" max="9" width="12.42578125" customWidth="1"/>
    <col min="10" max="10" width="15.85546875" customWidth="1"/>
    <col min="11" max="11" width="7.28515625" customWidth="1"/>
    <col min="12" max="12" width="11.140625" customWidth="1"/>
  </cols>
  <sheetData>
    <row r="2" spans="2:12" x14ac:dyDescent="0.25">
      <c r="D2" s="1" t="s">
        <v>47</v>
      </c>
      <c r="J2" s="159"/>
    </row>
    <row r="3" spans="2:12" x14ac:dyDescent="0.25">
      <c r="C3" t="s">
        <v>53</v>
      </c>
      <c r="D3" s="152" t="s">
        <v>117</v>
      </c>
      <c r="F3" s="162" t="s">
        <v>59</v>
      </c>
      <c r="G3" s="7" t="e">
        <f ca="1">-SUMPRODUCT($D$27:$D$37,$E$27:$E$37,$H$27:$H$37)</f>
        <v>#NAME?</v>
      </c>
      <c r="J3" s="15"/>
      <c r="L3" s="37"/>
    </row>
    <row r="4" spans="2:12" x14ac:dyDescent="0.25">
      <c r="D4" s="158" t="s">
        <v>49</v>
      </c>
      <c r="F4" s="162" t="s">
        <v>58</v>
      </c>
      <c r="G4" s="7" t="e">
        <f ca="1">SUMPRODUCT($D$27:$D$37,$F$27:$F$37,$H$27:$H$37,$J$27:$J$37)</f>
        <v>#NAME?</v>
      </c>
      <c r="L4" s="151"/>
    </row>
    <row r="5" spans="2:12" x14ac:dyDescent="0.25">
      <c r="C5" s="155" t="s">
        <v>39</v>
      </c>
      <c r="D5" s="1" t="e">
        <f ca="1">_xll.BDP($D$3,$D$2)</f>
        <v>#NAME?</v>
      </c>
      <c r="E5" s="1" t="e">
        <f ca="1">D5-85</f>
        <v>#NAME?</v>
      </c>
      <c r="F5" s="162" t="s">
        <v>57</v>
      </c>
      <c r="G5" s="7" t="e">
        <f ca="1">IF($B$5043&gt;0,"INFINITO",(MAX($D$43:$D$5043))*$D$6)</f>
        <v>#NAME?</v>
      </c>
      <c r="K5" s="157"/>
      <c r="L5" s="151"/>
    </row>
    <row r="6" spans="2:12" x14ac:dyDescent="0.25">
      <c r="B6" s="156" t="s">
        <v>44</v>
      </c>
      <c r="C6" s="155" t="s">
        <v>36</v>
      </c>
      <c r="D6" s="1">
        <v>10</v>
      </c>
      <c r="F6" s="162" t="s">
        <v>56</v>
      </c>
      <c r="G6" s="7" t="e">
        <f ca="1">IF($B$5043&lt;0,"INFINITO",(MIN($D$43:$D$5043))*$D$6)</f>
        <v>#NAME?</v>
      </c>
      <c r="J6" s="27"/>
      <c r="K6" s="15"/>
      <c r="L6" s="151"/>
    </row>
    <row r="7" spans="2:12" x14ac:dyDescent="0.25">
      <c r="C7" s="155" t="s">
        <v>55</v>
      </c>
      <c r="D7" s="154" t="e">
        <f ca="1">D6*D5</f>
        <v>#NAME?</v>
      </c>
      <c r="F7" s="162" t="s">
        <v>54</v>
      </c>
      <c r="G7" s="7" t="e">
        <f ca="1">SUMPRODUCT($D$27:$D$30,$J$27:$J$30)</f>
        <v>#NAME?</v>
      </c>
      <c r="J7" s="27"/>
      <c r="K7" s="15"/>
      <c r="L7" s="151"/>
    </row>
    <row r="8" spans="2:12" x14ac:dyDescent="0.25">
      <c r="F8" s="127" t="s">
        <v>53</v>
      </c>
      <c r="G8" s="153" t="e">
        <f ca="1">_xll.BDP($D$3,$D$2)</f>
        <v>#NAME?</v>
      </c>
      <c r="J8" s="27"/>
      <c r="K8" s="15"/>
      <c r="L8" s="151"/>
    </row>
    <row r="9" spans="2:12" x14ac:dyDescent="0.25">
      <c r="F9" s="195" t="s">
        <v>50</v>
      </c>
      <c r="G9" s="142" t="e">
        <f ca="1">(SUMPRODUCT(--($J$27:$J$37&gt;0),--($G$8-$F$27:$F$37&gt;0),($D$27:$D$37),($G$8-$F$27:$F$37))+SUMPRODUCT(--($J$27:$J$37&lt;0),--($F$27:$F$37-$G$8&gt;0),($D$27:$D$37),($F$27:$F$37-$G$8))-SUMPRODUCT($D$27:$D$37,$E$27:$E$37))*$D$6</f>
        <v>#NAME?</v>
      </c>
      <c r="J9" s="27"/>
      <c r="K9" s="15"/>
      <c r="L9" s="151"/>
    </row>
    <row r="10" spans="2:12" x14ac:dyDescent="0.25">
      <c r="J10" s="27"/>
      <c r="K10" s="15"/>
      <c r="L10" s="151"/>
    </row>
    <row r="11" spans="2:12" x14ac:dyDescent="0.25">
      <c r="C11" s="37" t="e">
        <f ca="1">G11/15000000</f>
        <v>#NAME?</v>
      </c>
      <c r="F11" t="s">
        <v>52</v>
      </c>
      <c r="G11" s="150" t="e">
        <f ca="1">G4</f>
        <v>#NAME?</v>
      </c>
      <c r="J11" s="27"/>
      <c r="K11" s="15"/>
      <c r="L11" s="1"/>
    </row>
    <row r="12" spans="2:12" ht="15.75" thickBot="1" x14ac:dyDescent="0.3">
      <c r="C12" s="37"/>
    </row>
    <row r="13" spans="2:12" ht="15.75" thickBot="1" x14ac:dyDescent="0.3">
      <c r="C13" s="149" t="s">
        <v>51</v>
      </c>
      <c r="D13" s="148" t="s">
        <v>50</v>
      </c>
    </row>
    <row r="14" spans="2:12" ht="15.75" thickBot="1" x14ac:dyDescent="0.3">
      <c r="C14" s="147">
        <v>0</v>
      </c>
      <c r="D14" s="146" t="e">
        <f ca="1">D43</f>
        <v>#NAME?</v>
      </c>
      <c r="E14" s="145" t="str">
        <f t="array" aca="1" ref="E14" ca="1">IF(OR(C15="",D13=0),"",CONCATENATE(INDEX($B$43:$B$5043,MATCH(C15,$E$43:$E$5043,0)),"x"))</f>
        <v/>
      </c>
    </row>
    <row r="15" spans="2:12" ht="15.75" thickBot="1" x14ac:dyDescent="0.3">
      <c r="C15" s="147" t="str">
        <f t="array" aca="1" ref="C15" ca="1">IFERROR(INDEX($E$43:$E$5042,MATCH(0,COUNTIF(C$13:C13,$E$43:$E$5042)+($E$43:$E$5042=""),0)),"")</f>
        <v/>
      </c>
      <c r="D15" s="146" t="str">
        <f ca="1">IF(C15="","",IF(C15=ROUND(C15,0),INDEX($D$43:$D$5043,MATCH(C15,$E$43:$E$5043,0)),IF(AND(INDEX($B$43:$B$5043,MATCH(C15,$E$43:$E$5043,0)-1)=0,INDEX($B$43:$B$5043,MATCH(C15,$E$43:$E$5043,0))&lt;&gt;0),INDEX($D$43:$D$5043,MATCH(C15,$E$43:$E$5043,0)-1),IF(AND(INDEX($B$43:$B$5043,MATCH(C15,$E$43:$E$5043,0))&lt;&gt;0,INDEX($B$43:$B$5043,MATCH(C15,$E$43:$E$5043,0)+1)=0),INDEX($D$43:$D$5043,MATCH(C15,$E$43:$E$5043,0)),(1-(ABS(ROUNDUP(C15,0)-C15)/(ABS(ROUNDUP(C15,0)-C15)+ABS(ROUNDDOWN(C15,0)-C15))))*INDEX($D$43:$D$5043,MATCH(C15,$E$43:$E$5043,0))+(1-(ABS(ROUNDDOWN(C15,0)-C15)/(ABS(ROUNDUP(C15,0)-C15)+ABS(ROUNDDOWN(C15,0)-C15))))*INDEX($D$43:$D$5043,MATCH(C15,$E$43:$E$5043,0)-1)))))</f>
        <v/>
      </c>
      <c r="E15" s="145" t="str">
        <f t="shared" ref="E15:E20" ca="1" si="0">IF(C15="","",CONCATENATE(INDEX($B$43:$B$5043,MATCH(C15,$E$43:$E$5043,0)+1),"x"))</f>
        <v/>
      </c>
    </row>
    <row r="16" spans="2:12" ht="17.25" thickTop="1" thickBot="1" x14ac:dyDescent="0.3">
      <c r="C16" s="140" t="str">
        <f t="array" aca="1" ref="C16" ca="1">IFERROR(INDEX($E$43:$E$5042,MATCH(0,COUNTIF(C$13:C15,$E$43:$E$5042)+($E$43:$E$5042=""),0)),"")</f>
        <v/>
      </c>
      <c r="D16" s="139" t="str">
        <f t="array" aca="1" ref="D16" ca="1">IF(C16="","",IF(C16=ROUND(C16,0),INDEX($D$43:$D$5043,MATCH(C16,$E$43:$E$5043,0)),IF(AND(INDEX($B$43:$B$5043,MATCH(C16,$E$43:$E$5043,0)-1)=0,INDEX($B$43:$B$5043,MATCH(C16,$E$43:$E$5043,0))&lt;&gt;0),INDEX($D$43:$D$5043,MATCH(C16,$E$43:$E$5043,0)-1),IF(AND(INDEX($B$43:$B$5043,MATCH(C16,$E$43:$E$5043,0))&lt;&gt;0,INDEX($B$43:$B$5043,MATCH(C16,$E$43:$E$5043,0)+1)=0),INDEX($D$43:$D$5043,MATCH(C16,$E$43:$E$5043,0)),(1-(ABS(ROUNDUP(C16,0)-C16)/(ABS(ROUNDUP(C16,0)-C16)+ABS(ROUNDDOWN(C16,0)-C16))))*INDEX($D$43:$D$5043,MATCH(C16,$E$43:$E$5043,0))+(1-(ABS(ROUNDDOWN(C16,0)-C16)/(ABS(ROUNDUP(C16,0)-C16)+ABS(ROUNDDOWN(C16,0)-C16))))*INDEX($D$43:$D$5043,MATCH(C16,$E$43:$E$5043,0)-1)))))</f>
        <v/>
      </c>
      <c r="E16" s="138" t="str">
        <f t="shared" ca="1" si="0"/>
        <v/>
      </c>
      <c r="G16" s="144" t="e">
        <f ca="1">D5</f>
        <v>#NAME?</v>
      </c>
      <c r="H16" s="143" t="s">
        <v>49</v>
      </c>
    </row>
    <row r="17" spans="1:13" ht="16.5" thickTop="1" thickBot="1" x14ac:dyDescent="0.3">
      <c r="C17" s="140" t="str">
        <f t="array" aca="1" ref="C17" ca="1">IFERROR(INDEX($E$43:$E$5042,MATCH(0,COUNTIF(C$13:C16,$E$43:$E$5042)+($E$43:$E$5042=""),0)),"")</f>
        <v/>
      </c>
      <c r="D17" s="139" t="str">
        <f ca="1">IF(C17="","",IF(C17=ROUND(C17,0),INDEX($D$43:$D$5043,MATCH(C17,$E$43:$E$5043,0)),IF(AND(INDEX($B$43:$B$5043,MATCH(C17,$E$43:$E$5043,0)-1)=0,INDEX($B$43:$B$5043,MATCH(C17,$E$43:$E$5043,0))&lt;&gt;0),INDEX($D$43:$D$5043,MATCH(C17,$E$43:$E$5043,0)-1),IF(AND(INDEX($B$43:$B$5043,MATCH(C17,$E$43:$E$5043,0))&lt;&gt;0,INDEX($B$43:$B$5043,MATCH(C17,$E$43:$E$5043,0)+1)=0),INDEX($D$43:$D$5043,MATCH(C17,$E$43:$E$5043,0)),(1-(ABS(ROUNDUP(C17,0)-C17)/(ABS(ROUNDUP(C17,0)-C17)+ABS(ROUNDDOWN(C17,0)-C17))))*INDEX($D$43:$D$5043,MATCH(C17,$E$43:$E$5043,0))+(1-(ABS(ROUNDDOWN(C17,0)-C17)/(ABS(ROUNDUP(C17,0)-C17)+ABS(ROUNDDOWN(C17,0)-C17))))*INDEX($D$43:$D$5043,MATCH(C17,$E$43:$E$5043,0)-1)))))</f>
        <v/>
      </c>
      <c r="E17" s="138" t="str">
        <f t="shared" ca="1" si="0"/>
        <v/>
      </c>
      <c r="G17" s="142" t="e">
        <f ca="1">INDEX($D$43:$D$5043,MATCH($D$5,$C$43:$C$5043,0))*10</f>
        <v>#NAME?</v>
      </c>
      <c r="H17" s="141" t="s">
        <v>48</v>
      </c>
    </row>
    <row r="18" spans="1:13" ht="15.75" thickTop="1" x14ac:dyDescent="0.25">
      <c r="C18" s="140" t="str">
        <f t="array" aca="1" ref="C18" ca="1">IFERROR(INDEX($E$43:$E$5042,MATCH(0,COUNTIF(C$13:C17,$E$43:$E$5042)+($E$43:$E$5042=""),0)),"")</f>
        <v/>
      </c>
      <c r="D18" s="139" t="str">
        <f ca="1">IF(C18="","",IF(C18=ROUND(C18,0),INDEX($D$43:$D$5043,MATCH(C18,$E$43:$E$5043,0)),IF(AND(INDEX($B$43:$B$5043,MATCH(C18,$E$43:$E$5043,0)-1)=0,INDEX($B$43:$B$5043,MATCH(C18,$E$43:$E$5043,0))&lt;&gt;0),INDEX($D$43:$D$5043,MATCH(C18,$E$43:$E$5043,0)-1),IF(AND(INDEX($B$43:$B$5043,MATCH(C18,$E$43:$E$5043,0))&lt;&gt;0,INDEX($B$43:$B$5043,MATCH(C18,$E$43:$E$5043,0)+1)=0),INDEX($D$43:$D$5043,MATCH(C18,$E$43:$E$5043,0)),(1-(ABS(ROUNDUP(C18,0)-C18)/(ABS(ROUNDUP(C18,0)-C18)+ABS(ROUNDDOWN(C18,0)-C18))))*INDEX($D$43:$D$5043,MATCH(C18,$E$43:$E$5043,0))+(1-(ABS(ROUNDDOWN(C18,0)-C18)/(ABS(ROUNDUP(C18,0)-C18)+ABS(ROUNDDOWN(C18,0)-C18))))*INDEX($D$43:$D$5043,MATCH(C18,$E$43:$E$5043,0)-1)))))</f>
        <v/>
      </c>
      <c r="E18" s="138" t="str">
        <f t="shared" ca="1" si="0"/>
        <v/>
      </c>
    </row>
    <row r="19" spans="1:13" x14ac:dyDescent="0.25">
      <c r="C19" s="140" t="str">
        <f t="array" aca="1" ref="C19" ca="1">IFERROR(INDEX($E$43:$E$5042,MATCH(0,COUNTIF(C$13:C18,$E$43:$E$5042)+($E$43:$E$5042=""),0)),"")</f>
        <v/>
      </c>
      <c r="D19" s="139" t="str">
        <f ca="1">IF(C19="","",IF(C19=ROUND(C19,0),INDEX($D$43:$D$5043,MATCH(C19,$E$43:$E$5043,0)),IF(AND(INDEX($B$43:$B$5043,MATCH(C19,$E$43:$E$5043,0)-1)=0,INDEX($B$43:$B$5043,MATCH(C19,$E$43:$E$5043,0))&lt;&gt;0),INDEX($D$43:$D$5043,MATCH(C19,$E$43:$E$5043,0)-1),IF(AND(INDEX($B$43:$B$5043,MATCH(C19,$E$43:$E$5043,0))&lt;&gt;0,INDEX($B$43:$B$5043,MATCH(C19,$E$43:$E$5043,0)+1)=0),INDEX($D$43:$D$5043,MATCH(C19,$E$43:$E$5043,0)),(1-(ABS(ROUNDUP(C19,0)-C19)/(ABS(ROUNDUP(C19,0)-C19)+ABS(ROUNDDOWN(C19,0)-C19))))*INDEX($D$43:$D$5043,MATCH(C19,$E$43:$E$5043,0))+(1-(ABS(ROUNDDOWN(C19,0)-C19)/(ABS(ROUNDUP(C19,0)-C19)+ABS(ROUNDDOWN(C19,0)-C19))))*INDEX($D$43:$D$5043,MATCH(C19,$E$43:$E$5043,0)-1)))))</f>
        <v/>
      </c>
      <c r="E19" s="138" t="str">
        <f t="shared" ca="1" si="0"/>
        <v/>
      </c>
    </row>
    <row r="20" spans="1:13" x14ac:dyDescent="0.25">
      <c r="C20" s="140" t="str">
        <f t="array" aca="1" ref="C20" ca="1">IFERROR(INDEX($E$43:$E$5042,MATCH(0,COUNTIF(C$13:C19,$E$43:$E$5042)+($E$43:$E$5042=""),0)),"")</f>
        <v/>
      </c>
      <c r="D20" s="139" t="str">
        <f ca="1">IF(C20="","",IF(C20=ROUND(C20,0),INDEX($D$43:$D$5043,MATCH(C20,$E$43:$E$5043,0)),IF(AND(INDEX($B$43:$B$5043,MATCH(C20,$E$43:$E$5043,0)-1)=0,INDEX($B$43:$B$5043,MATCH(C20,$E$43:$E$5043,0))&lt;&gt;0),INDEX($D$43:$D$5043,MATCH(C20,$E$43:$E$5043,0)-1),IF(AND(INDEX($B$43:$B$5043,MATCH(C20,$E$43:$E$5043,0))&lt;&gt;0,INDEX($B$43:$B$5043,MATCH(C20,$E$43:$E$5043,0)+1)=0),INDEX($D$43:$D$5043,MATCH(C20,$E$43:$E$5043,0)),(1-(ABS(ROUNDUP(C20,0)-C20)/(ABS(ROUNDUP(C20,0)-C20)+ABS(ROUNDDOWN(C20,0)-C20))))*INDEX($D$43:$D$5043,MATCH(C20,$E$43:$E$5043,0))+(1-(ABS(ROUNDDOWN(C20,0)-C20)/(ABS(ROUNDUP(C20,0)-C20)+ABS(ROUNDDOWN(C20,0)-C20))))*INDEX($D$43:$D$5043,MATCH(C20,$E$43:$E$5043,0)-1)))))</f>
        <v/>
      </c>
      <c r="E20" s="138" t="str">
        <f t="shared" ca="1" si="0"/>
        <v/>
      </c>
    </row>
    <row r="21" spans="1:13" x14ac:dyDescent="0.25">
      <c r="C21" s="140" t="str">
        <f t="array" aca="1" ref="C21" ca="1">IFERROR(INDEX($E$43:$E$5042,MATCH(0,COUNTIF(C$13:C20,$E$43:$E$5042)+($E$43:$E$5042=""),0)),"")</f>
        <v/>
      </c>
      <c r="D21" s="139" t="str">
        <f t="array" aca="1" ref="D21" ca="1">IF(C21="","",IF(C21=ROUND(C21,0),INDEX($D$43:$D$5043,MATCH(C21,$E$43:$E$5043,0)),IF(AND(INDEX($B$43:$B$5043,MATCH(C21,$E$43:$E$5043,0)-1)=0,INDEX($B$43:$B$5043,MATCH(C21,$E$43:$E$5043,0))&lt;&gt;0),INDEX($D$43:$D$5043,MATCH(C21,$E$43:$E$5043,0)-1),IF(AND(INDEX($B$43:$B$5043,MATCH(C21,$E$43:$E$5043,0))&lt;&gt;0,INDEX($B$43:$B$5043,MATCH(C21,$E$43:$E$5043,0)+1)=0),INDEX($D$43:$D$5043,MATCH(C21,$E$43:$E$5043,0)),(1-(ABS(ROUNDUP(C21,0)-C21)/(ABS(ROUNDUP(C21,0)-C21)+ABS(ROUNDDOWN(C21,0)-C21))))*INDEX($D$43:$D$5043,MATCH(C21,$E$43:$E$5043,0))+(1-(ABS(ROUNDDOWN(C21,0)-C21)/(ABS(ROUNDUP(C21,0)-C21)+ABS(ROUNDDOWN(C21,0)-C21))))*INDEX($D$43:$D$5043,MATCH(C21,$E$43:$E$5043,0)-1)))))</f>
        <v/>
      </c>
      <c r="E21" s="138" t="str">
        <f t="array" aca="1" ref="E21" ca="1">IF(C21="","",CONCATENATE(INDEX($B$43:$B$5043,MATCH(C21,$E$43:$E$5043,0)+1),"x"))</f>
        <v/>
      </c>
    </row>
    <row r="22" spans="1:13" ht="15.75" thickBot="1" x14ac:dyDescent="0.3">
      <c r="C22" s="137" t="str">
        <f t="array" aca="1" ref="C22" ca="1">IFERROR(INDEX($E$43:$E$5042,MATCH(0,COUNTIF(C$13:C21,$E$43:$E$5042)+($E$43:$E$5042=""),0)),"")</f>
        <v/>
      </c>
      <c r="D22" s="136" t="str">
        <f ca="1">IF(C22="","",IF(C22=ROUND(C22,0),INDEX($D$43:$D$5043,MATCH(C22,$E$43:$E$5043,0)),IF(AND(INDEX($B$43:$B$5043,MATCH(C22,$E$43:$E$5043,0)-1)=0,INDEX($B$43:$B$5043,MATCH(C22,$E$43:$E$5043,0))&lt;&gt;0),INDEX($D$43:$D$5043,MATCH(C22,$E$43:$E$5043,0)-1),IF(AND(INDEX($B$43:$B$5043,MATCH(C22,$E$43:$E$5043,0))&lt;&gt;0,INDEX($B$43:$B$5043,MATCH(C22,$E$43:$E$5043,0)+1)=0),INDEX($D$43:$D$5043,MATCH(C22,$E$43:$E$5043,0)),(1-(ABS(ROUNDUP(C22,0)-C22)/(ABS(ROUNDUP(C22,0)-C22)+ABS(ROUNDDOWN(C22,0)-C22))))*INDEX($D$43:$D$5043,MATCH(C22,$E$43:$E$5043,0))+(1-(ABS(ROUNDDOWN(C22,0)-C22)/(ABS(ROUNDUP(C22,0)-C22)+ABS(ROUNDDOWN(C22,0)-C22))))*INDEX($D$43:$D$5043,MATCH(C22,$E$43:$E$5043,0)-1)))))</f>
        <v/>
      </c>
      <c r="E22" s="135" t="str">
        <f ca="1">IF(C22="","",CONCATENATE(INDEX($B$43:$B$5043,MATCH(C22,$E$43:$E$5043,0)+1),"x"))</f>
        <v/>
      </c>
    </row>
    <row r="24" spans="1:13" x14ac:dyDescent="0.25">
      <c r="E24" s="1">
        <f>IF($C24="",0,_xll.BDP(C24,E$25))</f>
        <v>0</v>
      </c>
      <c r="F24" s="1">
        <f>IF($C24="",0,(_xll.BDP($C24,F$25)))</f>
        <v>0</v>
      </c>
      <c r="G24" s="1">
        <f>IF($C24="",0,(_xll.BDP($C24,G$25)))</f>
        <v>0</v>
      </c>
      <c r="H24" s="1">
        <f>IF($C24="",0,(_xll.BDP($C24,H$25)))</f>
        <v>0</v>
      </c>
      <c r="I24" s="1">
        <f>IF($C24="",0,(_xll.BDP($C24,I$25)))</f>
        <v>0</v>
      </c>
      <c r="J24" s="1">
        <f>IF($C24="",0,(_xll.BDP($C24,J$25)))</f>
        <v>0</v>
      </c>
    </row>
    <row r="25" spans="1:13" x14ac:dyDescent="0.25">
      <c r="C25" s="117"/>
      <c r="D25" s="117"/>
      <c r="E25" s="123" t="s">
        <v>47</v>
      </c>
      <c r="F25" s="123" t="s">
        <v>46</v>
      </c>
      <c r="G25" s="123" t="s">
        <v>45</v>
      </c>
      <c r="H25" s="123" t="s">
        <v>44</v>
      </c>
      <c r="I25" s="123" t="s">
        <v>43</v>
      </c>
      <c r="J25" s="123" t="s">
        <v>42</v>
      </c>
    </row>
    <row r="26" spans="1:13" x14ac:dyDescent="0.25">
      <c r="C26" s="134" t="s">
        <v>41</v>
      </c>
      <c r="D26" s="133" t="s">
        <v>40</v>
      </c>
      <c r="E26" s="117" t="s">
        <v>39</v>
      </c>
      <c r="F26" s="117" t="s">
        <v>38</v>
      </c>
      <c r="G26" s="117" t="s">
        <v>37</v>
      </c>
      <c r="H26" s="117" t="s">
        <v>36</v>
      </c>
      <c r="I26" s="117" t="s">
        <v>35</v>
      </c>
      <c r="J26" s="117" t="s">
        <v>34</v>
      </c>
      <c r="L26" s="132"/>
    </row>
    <row r="27" spans="1:13" ht="15.75" x14ac:dyDescent="0.25">
      <c r="A27" s="124"/>
      <c r="B27" s="128"/>
      <c r="C27" s="127" t="s">
        <v>119</v>
      </c>
      <c r="D27" s="125">
        <v>242</v>
      </c>
      <c r="E27" s="116" t="e">
        <f ca="1">IF($C27="",0,_xll.BDP(C27,E$25))</f>
        <v>#NAME?</v>
      </c>
      <c r="F27" s="1" t="e">
        <f ca="1">IF($C27="",0,(_xll.BDP($C27,F$25)))</f>
        <v>#NAME?</v>
      </c>
      <c r="G27" s="1" t="e">
        <f ca="1">IF($C27="",0,(_xll.BDP($C27,G$25)))</f>
        <v>#NAME?</v>
      </c>
      <c r="H27" s="1" t="e">
        <f ca="1">IF($C27="",0,(_xll.BDP($C27,H$25)))</f>
        <v>#NAME?</v>
      </c>
      <c r="I27" s="1" t="e">
        <f ca="1">IF($C27="",0,(_xll.BDP($C27,I$25)))</f>
        <v>#NAME?</v>
      </c>
      <c r="J27" s="1" t="e">
        <f ca="1">IF($C27="",0,(_xll.BDP($C27,J$25)))</f>
        <v>#NAME?</v>
      </c>
      <c r="K27" s="117">
        <f t="shared" ref="K27:K36" si="1">B27</f>
        <v>0</v>
      </c>
      <c r="L27" s="130"/>
      <c r="M27" s="131"/>
    </row>
    <row r="28" spans="1:13" ht="15.75" x14ac:dyDescent="0.25">
      <c r="A28" s="124"/>
      <c r="B28" s="128"/>
      <c r="C28" s="127" t="s">
        <v>118</v>
      </c>
      <c r="D28" s="125">
        <v>-242</v>
      </c>
      <c r="E28" s="197" t="e">
        <f ca="1">IF($C28="",0,_xll.BDP(C28,E$25))</f>
        <v>#NAME?</v>
      </c>
      <c r="F28" s="1" t="e">
        <f ca="1">IF($C28="",0,(_xll.BDP($C28,F$25)))</f>
        <v>#NAME?</v>
      </c>
      <c r="G28" s="1" t="e">
        <f ca="1">IF($C28="",0,(_xll.BDP($C28,G$25)))</f>
        <v>#NAME?</v>
      </c>
      <c r="H28" s="1" t="e">
        <f ca="1">IF($C28="",0,(_xll.BDP($C28,H$25)))</f>
        <v>#NAME?</v>
      </c>
      <c r="I28" s="1" t="e">
        <f ca="1">IF($C28="",0,(_xll.BDP($C28,I$25)))</f>
        <v>#NAME?</v>
      </c>
      <c r="J28" s="1" t="e">
        <f ca="1">IF($C28="",0,(_xll.BDP($C28,J$25)))</f>
        <v>#NAME?</v>
      </c>
      <c r="K28" s="117">
        <f t="shared" si="1"/>
        <v>0</v>
      </c>
      <c r="L28" s="130"/>
      <c r="M28" s="129"/>
    </row>
    <row r="29" spans="1:13" ht="15.75" x14ac:dyDescent="0.25">
      <c r="A29" s="124"/>
      <c r="B29" s="128"/>
      <c r="C29" s="127"/>
      <c r="D29" s="125">
        <v>0</v>
      </c>
      <c r="E29" s="1">
        <f>IF($C29="",0,_xll.BDP(C29,E$25))</f>
        <v>0</v>
      </c>
      <c r="F29" s="1">
        <f>IF($C29="",0,(_xll.BDP($C29,F$25)))</f>
        <v>0</v>
      </c>
      <c r="G29" s="1">
        <f>IF($C29="",0,(_xll.BDP($C29,G$25)))</f>
        <v>0</v>
      </c>
      <c r="H29" s="1">
        <f>IF($C29="",0,(_xll.BDP($C29,H$25)))</f>
        <v>0</v>
      </c>
      <c r="I29" s="1">
        <f>IF($C29="",0,(_xll.BDP($C29,I$25)))</f>
        <v>0</v>
      </c>
      <c r="J29" s="1">
        <f>IF($C29="",0,(_xll.BDP($C29,J$25)))</f>
        <v>0</v>
      </c>
      <c r="K29" s="117">
        <f t="shared" si="1"/>
        <v>0</v>
      </c>
      <c r="L29" s="7"/>
      <c r="M29" s="1"/>
    </row>
    <row r="30" spans="1:13" ht="15.75" x14ac:dyDescent="0.25">
      <c r="A30" s="124"/>
      <c r="B30" s="128"/>
      <c r="C30" s="127"/>
      <c r="D30" s="125">
        <v>0</v>
      </c>
      <c r="E30" s="1">
        <f>IF($C30="",0,_xll.BDP(C30,E$25))</f>
        <v>0</v>
      </c>
      <c r="F30" s="1">
        <f>IF($C30="",0,(_xll.BDP($C30,F$25)))</f>
        <v>0</v>
      </c>
      <c r="G30" s="1">
        <f>IF($C30="",0,(_xll.BDP($C30,G$25)))</f>
        <v>0</v>
      </c>
      <c r="H30" s="1">
        <f>IF($C30="",0,(_xll.BDP($C30,H$25)))</f>
        <v>0</v>
      </c>
      <c r="I30" s="1">
        <f>IF($C30="",0,(_xll.BDP($C30,I$25)))</f>
        <v>0</v>
      </c>
      <c r="J30" s="1">
        <f>IF($C30="",0,(_xll.BDP($C30,J$25)))</f>
        <v>0</v>
      </c>
      <c r="K30" s="117">
        <f t="shared" si="1"/>
        <v>0</v>
      </c>
      <c r="L30" s="7"/>
      <c r="M30" s="1"/>
    </row>
    <row r="31" spans="1:13" ht="15.75" x14ac:dyDescent="0.25">
      <c r="A31" s="124"/>
      <c r="B31" s="128"/>
      <c r="C31" s="127"/>
      <c r="D31" s="125">
        <v>0</v>
      </c>
      <c r="E31" s="1">
        <f>IF($C31="",0,_xll.BDP(C31,E$25))</f>
        <v>0</v>
      </c>
      <c r="F31" s="1">
        <f>IF($C31="",0,(_xll.BDP($C31,F$25)))</f>
        <v>0</v>
      </c>
      <c r="G31" s="1">
        <f>IF($C31="",0,(_xll.BDP($C31,G$25)))</f>
        <v>0</v>
      </c>
      <c r="H31" s="1">
        <f>IF($C31="",0,(_xll.BDP($C31,H$25)))</f>
        <v>0</v>
      </c>
      <c r="I31" s="1">
        <f>IF($C31="",0,(_xll.BDP($C31,I$25)))</f>
        <v>0</v>
      </c>
      <c r="J31" s="1">
        <f>IF($C31="",0,(_xll.BDP($C31,J$25)))</f>
        <v>0</v>
      </c>
      <c r="K31" s="117">
        <f t="shared" si="1"/>
        <v>0</v>
      </c>
      <c r="L31" s="1"/>
      <c r="M31" s="1"/>
    </row>
    <row r="32" spans="1:13" ht="15.75" x14ac:dyDescent="0.25">
      <c r="A32" s="124"/>
      <c r="B32" s="128"/>
      <c r="C32" s="127"/>
      <c r="D32" s="125">
        <v>0</v>
      </c>
      <c r="E32" s="1">
        <f>IF($C32="",0,_xll.BDP(C32,E$25))</f>
        <v>0</v>
      </c>
      <c r="F32" s="1">
        <f>IF($C32="",0,(_xll.BDP($C32,F$25)))</f>
        <v>0</v>
      </c>
      <c r="G32" s="1">
        <f>IF($C32="",0,(_xll.BDP($C32,G$25)))</f>
        <v>0</v>
      </c>
      <c r="H32" s="1">
        <f>IF($C32="",0,(_xll.BDP($C32,H$25)))</f>
        <v>0</v>
      </c>
      <c r="I32" s="1">
        <f>IF($C32="",0,(_xll.BDP($C32,I$25)))</f>
        <v>0</v>
      </c>
      <c r="J32" s="1">
        <f>IF($C32="",0,(_xll.BDP($C32,J$25)))</f>
        <v>0</v>
      </c>
      <c r="K32" s="117">
        <f t="shared" si="1"/>
        <v>0</v>
      </c>
      <c r="L32" s="117"/>
      <c r="M32" s="1"/>
    </row>
    <row r="33" spans="1:13" ht="15.75" x14ac:dyDescent="0.25">
      <c r="A33" s="124"/>
      <c r="B33" s="128"/>
      <c r="C33" s="127"/>
      <c r="D33" s="125">
        <v>0</v>
      </c>
      <c r="E33" s="1">
        <f>IF($C33="",0,_xll.BDP(C33,E$25))</f>
        <v>0</v>
      </c>
      <c r="F33" s="1">
        <f>IF($C33="",0,(_xll.BDP($C33,F$25)))</f>
        <v>0</v>
      </c>
      <c r="G33" s="1">
        <f>IF($C33="",0,(_xll.BDP($C33,G$25)))</f>
        <v>0</v>
      </c>
      <c r="H33" s="1">
        <f>IF($C33="",0,(_xll.BDP($C33,H$25)))</f>
        <v>0</v>
      </c>
      <c r="I33" s="1">
        <f>IF($C33="",0,(_xll.BDP($C33,I$25)))</f>
        <v>0</v>
      </c>
      <c r="J33" s="1">
        <f>IF($C33="",0,(_xll.BDP($C33,J$25)))</f>
        <v>0</v>
      </c>
      <c r="K33" s="117">
        <f t="shared" si="1"/>
        <v>0</v>
      </c>
      <c r="L33" s="1"/>
      <c r="M33" s="1"/>
    </row>
    <row r="34" spans="1:13" ht="15.75" x14ac:dyDescent="0.25">
      <c r="A34" s="124"/>
      <c r="B34" s="128"/>
      <c r="C34" s="127"/>
      <c r="D34" s="125">
        <v>0</v>
      </c>
      <c r="E34" s="1">
        <f>IF($C34="",0,_xll.BDP(C34,E$25))</f>
        <v>0</v>
      </c>
      <c r="F34" s="1">
        <f>IF($C34="",0,(_xll.BDP($C34,F$25)))</f>
        <v>0</v>
      </c>
      <c r="G34" s="1">
        <f>IF($C34="",0,(_xll.BDP($C34,G$25)))</f>
        <v>0</v>
      </c>
      <c r="H34" s="1">
        <f>IF($C34="",0,(_xll.BDP($C34,H$25)))</f>
        <v>0</v>
      </c>
      <c r="I34" s="1">
        <f>IF($C34="",0,(_xll.BDP($C34,I$25)))</f>
        <v>0</v>
      </c>
      <c r="J34" s="1">
        <f>IF($C34="",0,(_xll.BDP($C34,J$25)))</f>
        <v>0</v>
      </c>
      <c r="K34" s="1">
        <f t="shared" si="1"/>
        <v>0</v>
      </c>
      <c r="L34" s="1"/>
      <c r="M34" s="1"/>
    </row>
    <row r="35" spans="1:13" x14ac:dyDescent="0.25">
      <c r="A35" s="124"/>
      <c r="C35" s="126"/>
      <c r="D35" s="125">
        <v>0</v>
      </c>
      <c r="E35" s="1">
        <f>IF($C35="",0,_xll.BDP(C35,E$25))</f>
        <v>0</v>
      </c>
      <c r="F35" s="1">
        <f>IF($C35="",0,(_xll.BDP($C35,F$25)))</f>
        <v>0</v>
      </c>
      <c r="G35" s="1">
        <f>IF($C35="",0,(_xll.BDP($C35,G$25)))</f>
        <v>0</v>
      </c>
      <c r="H35" s="1">
        <f>IF($C35="",0,(_xll.BDP($C35,H$25)))</f>
        <v>0</v>
      </c>
      <c r="I35" s="1">
        <f>IF($C35="",0,(_xll.BDP($C35,I$25)))</f>
        <v>0</v>
      </c>
      <c r="J35" s="1">
        <f>IF($C35="",0,(_xll.BDP($C35,J$25)))</f>
        <v>0</v>
      </c>
      <c r="K35" s="1">
        <f t="shared" si="1"/>
        <v>0</v>
      </c>
      <c r="L35" s="1"/>
      <c r="M35" s="1"/>
    </row>
    <row r="36" spans="1:13" x14ac:dyDescent="0.25">
      <c r="A36" s="124"/>
      <c r="C36" s="126"/>
      <c r="D36" s="125">
        <v>0</v>
      </c>
      <c r="E36" s="1">
        <f>IF($C36="",0,_xll.BDP(C36,E$25))</f>
        <v>0</v>
      </c>
      <c r="F36" s="1">
        <f>IF($C36="",0,(_xll.BDP($C36,F$25)))</f>
        <v>0</v>
      </c>
      <c r="G36" s="1">
        <f>IF($C36="",0,(_xll.BDP($C36,G$25)))</f>
        <v>0</v>
      </c>
      <c r="H36" s="1">
        <f>IF($C36="",0,(_xll.BDP($C36,H$25)))</f>
        <v>0</v>
      </c>
      <c r="I36" s="1">
        <f>IF($C36="",0,(_xll.BDP($C36,I$25)))</f>
        <v>0</v>
      </c>
      <c r="J36" s="1">
        <f>IF($C36="",0,(_xll.BDP($C36,J$25)))</f>
        <v>0</v>
      </c>
      <c r="K36" s="1">
        <f t="shared" si="1"/>
        <v>0</v>
      </c>
      <c r="L36" s="1"/>
      <c r="M36" s="1"/>
    </row>
    <row r="37" spans="1:13" x14ac:dyDescent="0.25">
      <c r="A37" s="124"/>
      <c r="C37" s="126"/>
      <c r="D37" s="125">
        <v>0</v>
      </c>
      <c r="E37" s="1" t="e">
        <f ca="1">D5</f>
        <v>#NAME?</v>
      </c>
      <c r="F37" s="1"/>
      <c r="G37" s="1"/>
      <c r="H37" s="1">
        <f>D6</f>
        <v>10</v>
      </c>
      <c r="I37" s="1"/>
      <c r="J37" s="1">
        <v>1</v>
      </c>
      <c r="K37" s="1">
        <f>SUM(K27:K36)</f>
        <v>0</v>
      </c>
      <c r="L37">
        <f>K37*D27*D6</f>
        <v>0</v>
      </c>
    </row>
    <row r="38" spans="1:13" x14ac:dyDescent="0.25">
      <c r="A38" s="124"/>
    </row>
    <row r="41" spans="1:13" x14ac:dyDescent="0.25">
      <c r="D41" t="e">
        <f ca="1">-SUMPRODUCT($D$27:$D$37,$E$27:$E$37)</f>
        <v>#NAME?</v>
      </c>
      <c r="I41" s="123"/>
      <c r="J41" s="123"/>
      <c r="L41" s="123"/>
    </row>
    <row r="42" spans="1:13" ht="33.75" customHeight="1" x14ac:dyDescent="0.25">
      <c r="C42" s="122" t="s">
        <v>33</v>
      </c>
      <c r="D42" s="122" t="s">
        <v>32</v>
      </c>
      <c r="E42" s="122" t="s">
        <v>31</v>
      </c>
      <c r="I42" s="6"/>
      <c r="J42" s="6"/>
      <c r="K42" s="6"/>
      <c r="L42" s="6"/>
    </row>
    <row r="43" spans="1:13" x14ac:dyDescent="0.25">
      <c r="B43" t="e">
        <f ca="1">B44</f>
        <v>#NAME?</v>
      </c>
      <c r="C43">
        <v>0</v>
      </c>
      <c r="D43" t="e">
        <f t="shared" ref="D43:D106" ca="1" si="2">SUMPRODUCT(--($J$27:$J$37&gt;0),--($C43-$F$27:$F$37&gt;0),($D$27:$D$37),($C43-$F$27:$F$37))+SUMPRODUCT(--($J$27:$J$37&lt;0),--($F$27:$F$37-$C43&gt;0),($D$27:$D$37),($F$27:$F$37-$C43))-SUMPRODUCT($D$27:$D$37,$E$27:$E$37)</f>
        <v>#NAME?</v>
      </c>
      <c r="E43" s="115"/>
      <c r="F43" s="121"/>
      <c r="G43" s="120"/>
      <c r="M43" s="116"/>
    </row>
    <row r="44" spans="1:13" x14ac:dyDescent="0.25">
      <c r="B44" t="e">
        <f t="shared" ref="B44:B107" ca="1" si="3">ROUND((D44-D43)/(C44-C43),12)</f>
        <v>#NAME?</v>
      </c>
      <c r="C44">
        <v>1</v>
      </c>
      <c r="D44" t="e">
        <f t="shared" ca="1" si="2"/>
        <v>#NAME?</v>
      </c>
      <c r="E44" s="115" t="e">
        <f t="array" aca="1" ref="E44" ca="1">IF(OR(C43=0,AND(B45=0,C45=0)),"",IFERROR(INDEX($F$27:$F$36,MATCH(C44,($F$27:$F$36)*($D$27:$D$36&lt;&gt;0),0)),IF(OR(AND(D44=0,B44=0,B45&lt;&gt;0),AND(D44*D43&lt;0,B44&lt;&gt;0)),IF(D44=0,C44,C44*(1-ABS(D44)/(ABS(D44)+ABS(D43)))+C43*(1-ABS(D43)/(ABS(D44)+ABS(D43)))),"")))</f>
        <v>#NAME?</v>
      </c>
      <c r="F44" s="121"/>
      <c r="G44" s="120"/>
      <c r="M44" s="116"/>
    </row>
    <row r="45" spans="1:13" x14ac:dyDescent="0.25">
      <c r="B45" t="e">
        <f t="shared" ca="1" si="3"/>
        <v>#NAME?</v>
      </c>
      <c r="C45">
        <v>2</v>
      </c>
      <c r="D45" t="e">
        <f t="shared" ca="1" si="2"/>
        <v>#NAME?</v>
      </c>
      <c r="E45" s="115" t="e">
        <f t="array" aca="1" ref="E45" ca="1">IF(OR(C44=0,AND(B46=0,C46=0)),"",IFERROR(INDEX($F$27:$F$36,MATCH(C45,($F$27:$F$36)*($D$27:$D$36&lt;&gt;0),0)),IF(OR(AND(D45=0,B45=0,B46&lt;&gt;0),AND(D45*D44&lt;0,B45&lt;&gt;0)),IF(D45=0,C45,C45*(1-ABS(D45)/(ABS(D45)+ABS(D44)))+C44*(1-ABS(D44)/(ABS(D45)+ABS(D44)))),"")))</f>
        <v>#NAME?</v>
      </c>
      <c r="F45" s="121"/>
      <c r="G45" s="120"/>
      <c r="M45" s="116"/>
    </row>
    <row r="46" spans="1:13" x14ac:dyDescent="0.25">
      <c r="B46" t="e">
        <f t="shared" ca="1" si="3"/>
        <v>#NAME?</v>
      </c>
      <c r="C46">
        <v>3</v>
      </c>
      <c r="D46" t="e">
        <f t="shared" ca="1" si="2"/>
        <v>#NAME?</v>
      </c>
      <c r="E46" s="115" t="e">
        <f t="array" aca="1" ref="E46" ca="1">IF(OR(C45=0,AND(B47=0,C47=0)),"",IFERROR(INDEX($F$27:$F$36,MATCH(C46,($F$27:$F$36)*($D$27:$D$36&lt;&gt;0),0)),IF(OR(AND(D46=0,B46=0,B47&lt;&gt;0),AND(D46*D45&lt;0,B46&lt;&gt;0)),IF(D46=0,C46,C46*(1-ABS(D46)/(ABS(D46)+ABS(D45)))+C45*(1-ABS(D45)/(ABS(D46)+ABS(D45)))),"")))</f>
        <v>#NAME?</v>
      </c>
    </row>
    <row r="47" spans="1:13" x14ac:dyDescent="0.25">
      <c r="B47" t="e">
        <f t="shared" ca="1" si="3"/>
        <v>#NAME?</v>
      </c>
      <c r="C47">
        <v>4</v>
      </c>
      <c r="D47" t="e">
        <f t="shared" ca="1" si="2"/>
        <v>#NAME?</v>
      </c>
      <c r="E47" s="115" t="e">
        <f t="array" aca="1" ref="E47" ca="1">IF(OR(C46=0,AND(B48=0,C48=0)),"",IFERROR(INDEX($F$27:$F$36,MATCH(C47,($F$27:$F$36)*($D$27:$D$36&lt;&gt;0),0)),IF(OR(AND(D47=0,B47=0,B48&lt;&gt;0),AND(D47*D46&lt;0,B47&lt;&gt;0)),IF(D47=0,C47,C47*(1-ABS(D47)/(ABS(D47)+ABS(D46)))+C46*(1-ABS(D46)/(ABS(D47)+ABS(D46)))),"")))</f>
        <v>#NAME?</v>
      </c>
      <c r="I47" s="119"/>
      <c r="J47" s="118"/>
      <c r="L47" s="117"/>
      <c r="M47" s="116"/>
    </row>
    <row r="48" spans="1:13" x14ac:dyDescent="0.25">
      <c r="B48" t="e">
        <f t="shared" ca="1" si="3"/>
        <v>#NAME?</v>
      </c>
      <c r="C48">
        <v>5</v>
      </c>
      <c r="D48" t="e">
        <f t="shared" ca="1" si="2"/>
        <v>#NAME?</v>
      </c>
      <c r="E48" s="115" t="e">
        <f t="array" aca="1" ref="E48" ca="1">IF(OR(C47=0,AND(B49=0,C49=0)),"",IFERROR(INDEX($F$27:$F$36,MATCH(C48,($F$27:$F$36)*($D$27:$D$36&lt;&gt;0),0)),IF(OR(AND(D48=0,B48=0,B49&lt;&gt;0),AND(D48*D47&lt;0,B48&lt;&gt;0)),IF(D48=0,C48,C48*(1-ABS(D48)/(ABS(D48)+ABS(D47)))+C47*(1-ABS(D47)/(ABS(D48)+ABS(D47)))),"")))</f>
        <v>#NAME?</v>
      </c>
      <c r="I48" s="15"/>
      <c r="J48" s="15"/>
    </row>
    <row r="49" spans="2:5" x14ac:dyDescent="0.25">
      <c r="B49" t="e">
        <f t="shared" ca="1" si="3"/>
        <v>#NAME?</v>
      </c>
      <c r="C49">
        <v>6</v>
      </c>
      <c r="D49" t="e">
        <f t="shared" ca="1" si="2"/>
        <v>#NAME?</v>
      </c>
      <c r="E49" s="115" t="e">
        <f t="array" aca="1" ref="E49" ca="1">IF(OR(C48=0,AND(B50=0,C50=0)),"",IFERROR(INDEX($F$27:$F$36,MATCH(C49,($F$27:$F$36)*($D$27:$D$36&lt;&gt;0),0)),IF(OR(AND(D49=0,B49=0,B50&lt;&gt;0),AND(D49*D48&lt;0,B49&lt;&gt;0)),IF(D49=0,C49,C49*(1-ABS(D49)/(ABS(D49)+ABS(D48)))+C48*(1-ABS(D48)/(ABS(D49)+ABS(D48)))),"")))</f>
        <v>#NAME?</v>
      </c>
    </row>
    <row r="50" spans="2:5" x14ac:dyDescent="0.25">
      <c r="B50" t="e">
        <f t="shared" ca="1" si="3"/>
        <v>#NAME?</v>
      </c>
      <c r="C50">
        <v>7</v>
      </c>
      <c r="D50" t="e">
        <f t="shared" ca="1" si="2"/>
        <v>#NAME?</v>
      </c>
      <c r="E50" s="115" t="e">
        <f t="array" aca="1" ref="E50" ca="1">IF(OR(C49=0,AND(B51=0,C51=0)),"",IFERROR(INDEX($F$27:$F$36,MATCH(C50,($F$27:$F$36)*($D$27:$D$36&lt;&gt;0),0)),IF(OR(AND(D50=0,B50=0,B51&lt;&gt;0),AND(D50*D49&lt;0,B50&lt;&gt;0)),IF(D50=0,C50,C50*(1-ABS(D50)/(ABS(D50)+ABS(D49)))+C49*(1-ABS(D49)/(ABS(D50)+ABS(D49)))),"")))</f>
        <v>#NAME?</v>
      </c>
    </row>
    <row r="51" spans="2:5" x14ac:dyDescent="0.25">
      <c r="B51" t="e">
        <f t="shared" ca="1" si="3"/>
        <v>#NAME?</v>
      </c>
      <c r="C51">
        <v>8</v>
      </c>
      <c r="D51" t="e">
        <f t="shared" ca="1" si="2"/>
        <v>#NAME?</v>
      </c>
      <c r="E51" s="115" t="e">
        <f t="array" aca="1" ref="E51" ca="1">IF(OR(C50=0,AND(B52=0,C52=0)),"",IFERROR(INDEX($F$27:$F$36,MATCH(C51,($F$27:$F$36)*($D$27:$D$36&lt;&gt;0),0)),IF(OR(AND(D51=0,B51=0,B52&lt;&gt;0),AND(D51*D50&lt;0,B51&lt;&gt;0)),IF(D51=0,C51,C51*(1-ABS(D51)/(ABS(D51)+ABS(D50)))+C50*(1-ABS(D50)/(ABS(D51)+ABS(D50)))),"")))</f>
        <v>#NAME?</v>
      </c>
    </row>
    <row r="52" spans="2:5" x14ac:dyDescent="0.25">
      <c r="B52" t="e">
        <f t="shared" ca="1" si="3"/>
        <v>#NAME?</v>
      </c>
      <c r="C52">
        <v>9</v>
      </c>
      <c r="D52" t="e">
        <f t="shared" ca="1" si="2"/>
        <v>#NAME?</v>
      </c>
      <c r="E52" s="115" t="e">
        <f t="array" aca="1" ref="E52" ca="1">IF(OR(C51=0,AND(B53=0,C53=0)),"",IFERROR(INDEX($F$27:$F$36,MATCH(C52,($F$27:$F$36)*($D$27:$D$36&lt;&gt;0),0)),IF(OR(AND(D52=0,B52=0,B53&lt;&gt;0),AND(D52*D51&lt;0,B52&lt;&gt;0)),IF(D52=0,C52,C52*(1-ABS(D52)/(ABS(D52)+ABS(D51)))+C51*(1-ABS(D51)/(ABS(D52)+ABS(D51)))),"")))</f>
        <v>#NAME?</v>
      </c>
    </row>
    <row r="53" spans="2:5" x14ac:dyDescent="0.25">
      <c r="B53" t="e">
        <f t="shared" ca="1" si="3"/>
        <v>#NAME?</v>
      </c>
      <c r="C53">
        <v>10</v>
      </c>
      <c r="D53" t="e">
        <f t="shared" ca="1" si="2"/>
        <v>#NAME?</v>
      </c>
      <c r="E53" s="115" t="e">
        <f t="array" aca="1" ref="E53" ca="1">IF(OR(C52=0,AND(B54=0,C54=0)),"",IFERROR(INDEX($F$27:$F$36,MATCH(C53,($F$27:$F$36)*($D$27:$D$36&lt;&gt;0),0)),IF(OR(AND(D53=0,B53=0,B54&lt;&gt;0),AND(D53*D52&lt;0,B53&lt;&gt;0)),IF(D53=0,C53,C53*(1-ABS(D53)/(ABS(D53)+ABS(D52)))+C52*(1-ABS(D52)/(ABS(D53)+ABS(D52)))),"")))</f>
        <v>#NAME?</v>
      </c>
    </row>
    <row r="54" spans="2:5" x14ac:dyDescent="0.25">
      <c r="B54" t="e">
        <f t="shared" ca="1" si="3"/>
        <v>#NAME?</v>
      </c>
      <c r="C54">
        <v>11</v>
      </c>
      <c r="D54" t="e">
        <f t="shared" ca="1" si="2"/>
        <v>#NAME?</v>
      </c>
      <c r="E54" s="115" t="e">
        <f t="array" aca="1" ref="E54" ca="1">IF(OR(C53=0,AND(B55=0,C55=0)),"",IFERROR(INDEX($F$27:$F$36,MATCH(C54,($F$27:$F$36)*($D$27:$D$36&lt;&gt;0),0)),IF(OR(AND(D54=0,B54=0,B55&lt;&gt;0),AND(D54*D53&lt;0,B54&lt;&gt;0)),IF(D54=0,C54,C54*(1-ABS(D54)/(ABS(D54)+ABS(D53)))+C53*(1-ABS(D53)/(ABS(D54)+ABS(D53)))),"")))</f>
        <v>#NAME?</v>
      </c>
    </row>
    <row r="55" spans="2:5" x14ac:dyDescent="0.25">
      <c r="B55" t="e">
        <f t="shared" ca="1" si="3"/>
        <v>#NAME?</v>
      </c>
      <c r="C55">
        <v>12</v>
      </c>
      <c r="D55" t="e">
        <f t="shared" ca="1" si="2"/>
        <v>#NAME?</v>
      </c>
      <c r="E55" s="115" t="e">
        <f t="array" aca="1" ref="E55" ca="1">IF(OR(C54=0,AND(B56=0,C56=0)),"",IFERROR(INDEX($F$27:$F$36,MATCH(C55,($F$27:$F$36)*($D$27:$D$36&lt;&gt;0),0)),IF(OR(AND(D55=0,B55=0,B56&lt;&gt;0),AND(D55*D54&lt;0,B55&lt;&gt;0)),IF(D55=0,C55,C55*(1-ABS(D55)/(ABS(D55)+ABS(D54)))+C54*(1-ABS(D54)/(ABS(D55)+ABS(D54)))),"")))</f>
        <v>#NAME?</v>
      </c>
    </row>
    <row r="56" spans="2:5" x14ac:dyDescent="0.25">
      <c r="B56" t="e">
        <f t="shared" ca="1" si="3"/>
        <v>#NAME?</v>
      </c>
      <c r="C56">
        <v>13</v>
      </c>
      <c r="D56" t="e">
        <f t="shared" ca="1" si="2"/>
        <v>#NAME?</v>
      </c>
      <c r="E56" s="115" t="e">
        <f t="array" aca="1" ref="E56" ca="1">IF(OR(C55=0,AND(B57=0,C57=0)),"",IFERROR(INDEX($F$27:$F$36,MATCH(C56,($F$27:$F$36)*($D$27:$D$36&lt;&gt;0),0)),IF(OR(AND(D56=0,B56=0,B57&lt;&gt;0),AND(D56*D55&lt;0,B56&lt;&gt;0)),IF(D56=0,C56,C56*(1-ABS(D56)/(ABS(D56)+ABS(D55)))+C55*(1-ABS(D55)/(ABS(D56)+ABS(D55)))),"")))</f>
        <v>#NAME?</v>
      </c>
    </row>
    <row r="57" spans="2:5" x14ac:dyDescent="0.25">
      <c r="B57" t="e">
        <f t="shared" ca="1" si="3"/>
        <v>#NAME?</v>
      </c>
      <c r="C57">
        <v>14</v>
      </c>
      <c r="D57" t="e">
        <f t="shared" ca="1" si="2"/>
        <v>#NAME?</v>
      </c>
      <c r="E57" s="115" t="e">
        <f t="array" aca="1" ref="E57" ca="1">IF(OR(C56=0,AND(B58=0,C58=0)),"",IFERROR(INDEX($F$27:$F$36,MATCH(C57,($F$27:$F$36)*($D$27:$D$36&lt;&gt;0),0)),IF(OR(AND(D57=0,B57=0,B58&lt;&gt;0),AND(D57*D56&lt;0,B57&lt;&gt;0)),IF(D57=0,C57,C57*(1-ABS(D57)/(ABS(D57)+ABS(D56)))+C56*(1-ABS(D56)/(ABS(D57)+ABS(D56)))),"")))</f>
        <v>#NAME?</v>
      </c>
    </row>
    <row r="58" spans="2:5" x14ac:dyDescent="0.25">
      <c r="B58" t="e">
        <f t="shared" ca="1" si="3"/>
        <v>#NAME?</v>
      </c>
      <c r="C58">
        <v>15</v>
      </c>
      <c r="D58" t="e">
        <f t="shared" ca="1" si="2"/>
        <v>#NAME?</v>
      </c>
      <c r="E58" s="115" t="e">
        <f t="array" aca="1" ref="E58" ca="1">IF(OR(C57=0,AND(B59=0,C59=0)),"",IFERROR(INDEX($F$27:$F$36,MATCH(C58,($F$27:$F$36)*($D$27:$D$36&lt;&gt;0),0)),IF(OR(AND(D58=0,B58=0,B59&lt;&gt;0),AND(D58*D57&lt;0,B58&lt;&gt;0)),IF(D58=0,C58,C58*(1-ABS(D58)/(ABS(D58)+ABS(D57)))+C57*(1-ABS(D57)/(ABS(D58)+ABS(D57)))),"")))</f>
        <v>#NAME?</v>
      </c>
    </row>
    <row r="59" spans="2:5" x14ac:dyDescent="0.25">
      <c r="B59" t="e">
        <f t="shared" ca="1" si="3"/>
        <v>#NAME?</v>
      </c>
      <c r="C59">
        <v>16</v>
      </c>
      <c r="D59" t="e">
        <f t="shared" ca="1" si="2"/>
        <v>#NAME?</v>
      </c>
      <c r="E59" s="115" t="e">
        <f t="array" aca="1" ref="E59" ca="1">IF(OR(C58=0,AND(B60=0,C60=0)),"",IFERROR(INDEX($F$27:$F$36,MATCH(C59,($F$27:$F$36)*($D$27:$D$36&lt;&gt;0),0)),IF(OR(AND(D59=0,B59=0,B60&lt;&gt;0),AND(D59*D58&lt;0,B59&lt;&gt;0)),IF(D59=0,C59,C59*(1-ABS(D59)/(ABS(D59)+ABS(D58)))+C58*(1-ABS(D58)/(ABS(D59)+ABS(D58)))),"")))</f>
        <v>#NAME?</v>
      </c>
    </row>
    <row r="60" spans="2:5" x14ac:dyDescent="0.25">
      <c r="B60" t="e">
        <f t="shared" ca="1" si="3"/>
        <v>#NAME?</v>
      </c>
      <c r="C60">
        <v>17</v>
      </c>
      <c r="D60" t="e">
        <f t="shared" ca="1" si="2"/>
        <v>#NAME?</v>
      </c>
      <c r="E60" s="115" t="e">
        <f t="array" aca="1" ref="E60" ca="1">IF(OR(C59=0,AND(B61=0,C61=0)),"",IFERROR(INDEX($F$27:$F$36,MATCH(C60,($F$27:$F$36)*($D$27:$D$36&lt;&gt;0),0)),IF(OR(AND(D60=0,B60=0,B61&lt;&gt;0),AND(D60*D59&lt;0,B60&lt;&gt;0)),IF(D60=0,C60,C60*(1-ABS(D60)/(ABS(D60)+ABS(D59)))+C59*(1-ABS(D59)/(ABS(D60)+ABS(D59)))),"")))</f>
        <v>#NAME?</v>
      </c>
    </row>
    <row r="61" spans="2:5" x14ac:dyDescent="0.25">
      <c r="B61" t="e">
        <f t="shared" ca="1" si="3"/>
        <v>#NAME?</v>
      </c>
      <c r="C61">
        <v>18</v>
      </c>
      <c r="D61" t="e">
        <f t="shared" ca="1" si="2"/>
        <v>#NAME?</v>
      </c>
      <c r="E61" s="115" t="e">
        <f t="array" aca="1" ref="E61" ca="1">IF(OR(C60=0,AND(B62=0,C62=0)),"",IFERROR(INDEX($F$27:$F$36,MATCH(C61,($F$27:$F$36)*($D$27:$D$36&lt;&gt;0),0)),IF(OR(AND(D61=0,B61=0,B62&lt;&gt;0),AND(D61*D60&lt;0,B61&lt;&gt;0)),IF(D61=0,C61,C61*(1-ABS(D61)/(ABS(D61)+ABS(D60)))+C60*(1-ABS(D60)/(ABS(D61)+ABS(D60)))),"")))</f>
        <v>#NAME?</v>
      </c>
    </row>
    <row r="62" spans="2:5" x14ac:dyDescent="0.25">
      <c r="B62" t="e">
        <f t="shared" ca="1" si="3"/>
        <v>#NAME?</v>
      </c>
      <c r="C62">
        <v>19</v>
      </c>
      <c r="D62" t="e">
        <f t="shared" ca="1" si="2"/>
        <v>#NAME?</v>
      </c>
      <c r="E62" s="115" t="e">
        <f t="array" aca="1" ref="E62" ca="1">IF(OR(C61=0,AND(B63=0,C63=0)),"",IFERROR(INDEX($F$27:$F$36,MATCH(C62,($F$27:$F$36)*($D$27:$D$36&lt;&gt;0),0)),IF(OR(AND(D62=0,B62=0,B63&lt;&gt;0),AND(D62*D61&lt;0,B62&lt;&gt;0)),IF(D62=0,C62,C62*(1-ABS(D62)/(ABS(D62)+ABS(D61)))+C61*(1-ABS(D61)/(ABS(D62)+ABS(D61)))),"")))</f>
        <v>#NAME?</v>
      </c>
    </row>
    <row r="63" spans="2:5" x14ac:dyDescent="0.25">
      <c r="B63" t="e">
        <f t="shared" ca="1" si="3"/>
        <v>#NAME?</v>
      </c>
      <c r="C63">
        <v>20</v>
      </c>
      <c r="D63" t="e">
        <f t="shared" ca="1" si="2"/>
        <v>#NAME?</v>
      </c>
      <c r="E63" s="115" t="e">
        <f t="array" aca="1" ref="E63" ca="1">IF(OR(C62=0,AND(B64=0,C64=0)),"",IFERROR(INDEX($F$27:$F$36,MATCH(C63,($F$27:$F$36)*($D$27:$D$36&lt;&gt;0),0)),IF(OR(AND(D63=0,B63=0,B64&lt;&gt;0),AND(D63*D62&lt;0,B63&lt;&gt;0)),IF(D63=0,C63,C63*(1-ABS(D63)/(ABS(D63)+ABS(D62)))+C62*(1-ABS(D62)/(ABS(D63)+ABS(D62)))),"")))</f>
        <v>#NAME?</v>
      </c>
    </row>
    <row r="64" spans="2:5" x14ac:dyDescent="0.25">
      <c r="B64" t="e">
        <f t="shared" ca="1" si="3"/>
        <v>#NAME?</v>
      </c>
      <c r="C64">
        <v>21</v>
      </c>
      <c r="D64" t="e">
        <f t="shared" ca="1" si="2"/>
        <v>#NAME?</v>
      </c>
      <c r="E64" s="115" t="e">
        <f t="array" aca="1" ref="E64" ca="1">IF(OR(C63=0,AND(B65=0,C65=0)),"",IFERROR(INDEX($F$27:$F$36,MATCH(C64,($F$27:$F$36)*($D$27:$D$36&lt;&gt;0),0)),IF(OR(AND(D64=0,B64=0,B65&lt;&gt;0),AND(D64*D63&lt;0,B64&lt;&gt;0)),IF(D64=0,C64,C64*(1-ABS(D64)/(ABS(D64)+ABS(D63)))+C63*(1-ABS(D63)/(ABS(D64)+ABS(D63)))),"")))</f>
        <v>#NAME?</v>
      </c>
    </row>
    <row r="65" spans="2:5" x14ac:dyDescent="0.25">
      <c r="B65" t="e">
        <f t="shared" ca="1" si="3"/>
        <v>#NAME?</v>
      </c>
      <c r="C65">
        <v>22</v>
      </c>
      <c r="D65" t="e">
        <f t="shared" ca="1" si="2"/>
        <v>#NAME?</v>
      </c>
      <c r="E65" s="115" t="e">
        <f t="array" aca="1" ref="E65" ca="1">IF(OR(C64=0,AND(B66=0,C66=0)),"",IFERROR(INDEX($F$27:$F$36,MATCH(C65,($F$27:$F$36)*($D$27:$D$36&lt;&gt;0),0)),IF(OR(AND(D65=0,B65=0,B66&lt;&gt;0),AND(D65*D64&lt;0,B65&lt;&gt;0)),IF(D65=0,C65,C65*(1-ABS(D65)/(ABS(D65)+ABS(D64)))+C64*(1-ABS(D64)/(ABS(D65)+ABS(D64)))),"")))</f>
        <v>#NAME?</v>
      </c>
    </row>
    <row r="66" spans="2:5" x14ac:dyDescent="0.25">
      <c r="B66" t="e">
        <f t="shared" ca="1" si="3"/>
        <v>#NAME?</v>
      </c>
      <c r="C66">
        <v>23</v>
      </c>
      <c r="D66" t="e">
        <f t="shared" ca="1" si="2"/>
        <v>#NAME?</v>
      </c>
      <c r="E66" s="115" t="e">
        <f t="array" aca="1" ref="E66" ca="1">IF(OR(C65=0,AND(B67=0,C67=0)),"",IFERROR(INDEX($F$27:$F$36,MATCH(C66,($F$27:$F$36)*($D$27:$D$36&lt;&gt;0),0)),IF(OR(AND(D66=0,B66=0,B67&lt;&gt;0),AND(D66*D65&lt;0,B66&lt;&gt;0)),IF(D66=0,C66,C66*(1-ABS(D66)/(ABS(D66)+ABS(D65)))+C65*(1-ABS(D65)/(ABS(D66)+ABS(D65)))),"")))</f>
        <v>#NAME?</v>
      </c>
    </row>
    <row r="67" spans="2:5" x14ac:dyDescent="0.25">
      <c r="B67" t="e">
        <f t="shared" ca="1" si="3"/>
        <v>#NAME?</v>
      </c>
      <c r="C67">
        <v>24</v>
      </c>
      <c r="D67" t="e">
        <f t="shared" ca="1" si="2"/>
        <v>#NAME?</v>
      </c>
      <c r="E67" s="115" t="e">
        <f t="array" aca="1" ref="E67" ca="1">IF(OR(C66=0,AND(B68=0,C68=0)),"",IFERROR(INDEX($F$27:$F$36,MATCH(C67,($F$27:$F$36)*($D$27:$D$36&lt;&gt;0),0)),IF(OR(AND(D67=0,B67=0,B68&lt;&gt;0),AND(D67*D66&lt;0,B67&lt;&gt;0)),IF(D67=0,C67,C67*(1-ABS(D67)/(ABS(D67)+ABS(D66)))+C66*(1-ABS(D66)/(ABS(D67)+ABS(D66)))),"")))</f>
        <v>#NAME?</v>
      </c>
    </row>
    <row r="68" spans="2:5" x14ac:dyDescent="0.25">
      <c r="B68" t="e">
        <f t="shared" ca="1" si="3"/>
        <v>#NAME?</v>
      </c>
      <c r="C68">
        <v>25</v>
      </c>
      <c r="D68" t="e">
        <f t="shared" ca="1" si="2"/>
        <v>#NAME?</v>
      </c>
      <c r="E68" s="115" t="e">
        <f t="array" aca="1" ref="E68" ca="1">IF(OR(C67=0,AND(B69=0,C69=0)),"",IFERROR(INDEX($F$27:$F$36,MATCH(C68,($F$27:$F$36)*($D$27:$D$36&lt;&gt;0),0)),IF(OR(AND(D68=0,B68=0,B69&lt;&gt;0),AND(D68*D67&lt;0,B68&lt;&gt;0)),IF(D68=0,C68,C68*(1-ABS(D68)/(ABS(D68)+ABS(D67)))+C67*(1-ABS(D67)/(ABS(D68)+ABS(D67)))),"")))</f>
        <v>#NAME?</v>
      </c>
    </row>
    <row r="69" spans="2:5" x14ac:dyDescent="0.25">
      <c r="B69" t="e">
        <f t="shared" ca="1" si="3"/>
        <v>#NAME?</v>
      </c>
      <c r="C69">
        <v>26</v>
      </c>
      <c r="D69" t="e">
        <f t="shared" ca="1" si="2"/>
        <v>#NAME?</v>
      </c>
      <c r="E69" s="115" t="e">
        <f t="array" aca="1" ref="E69" ca="1">IF(OR(C68=0,AND(B70=0,C70=0)),"",IFERROR(INDEX($F$27:$F$36,MATCH(C69,($F$27:$F$36)*($D$27:$D$36&lt;&gt;0),0)),IF(OR(AND(D69=0,B69=0,B70&lt;&gt;0),AND(D69*D68&lt;0,B69&lt;&gt;0)),IF(D69=0,C69,C69*(1-ABS(D69)/(ABS(D69)+ABS(D68)))+C68*(1-ABS(D68)/(ABS(D69)+ABS(D68)))),"")))</f>
        <v>#NAME?</v>
      </c>
    </row>
    <row r="70" spans="2:5" x14ac:dyDescent="0.25">
      <c r="B70" t="e">
        <f t="shared" ca="1" si="3"/>
        <v>#NAME?</v>
      </c>
      <c r="C70">
        <v>27</v>
      </c>
      <c r="D70" t="e">
        <f t="shared" ca="1" si="2"/>
        <v>#NAME?</v>
      </c>
      <c r="E70" s="115" t="e">
        <f t="array" aca="1" ref="E70" ca="1">IF(OR(C69=0,AND(B71=0,C71=0)),"",IFERROR(INDEX($F$27:$F$36,MATCH(C70,($F$27:$F$36)*($D$27:$D$36&lt;&gt;0),0)),IF(OR(AND(D70=0,B70=0,B71&lt;&gt;0),AND(D70*D69&lt;0,B70&lt;&gt;0)),IF(D70=0,C70,C70*(1-ABS(D70)/(ABS(D70)+ABS(D69)))+C69*(1-ABS(D69)/(ABS(D70)+ABS(D69)))),"")))</f>
        <v>#NAME?</v>
      </c>
    </row>
    <row r="71" spans="2:5" x14ac:dyDescent="0.25">
      <c r="B71" t="e">
        <f t="shared" ca="1" si="3"/>
        <v>#NAME?</v>
      </c>
      <c r="C71">
        <v>28</v>
      </c>
      <c r="D71" t="e">
        <f t="shared" ca="1" si="2"/>
        <v>#NAME?</v>
      </c>
      <c r="E71" s="115" t="e">
        <f t="array" aca="1" ref="E71" ca="1">IF(OR(C70=0,AND(B72=0,C72=0)),"",IFERROR(INDEX($F$27:$F$36,MATCH(C71,($F$27:$F$36)*($D$27:$D$36&lt;&gt;0),0)),IF(OR(AND(D71=0,B71=0,B72&lt;&gt;0),AND(D71*D70&lt;0,B71&lt;&gt;0)),IF(D71=0,C71,C71*(1-ABS(D71)/(ABS(D71)+ABS(D70)))+C70*(1-ABS(D70)/(ABS(D71)+ABS(D70)))),"")))</f>
        <v>#NAME?</v>
      </c>
    </row>
    <row r="72" spans="2:5" x14ac:dyDescent="0.25">
      <c r="B72" t="e">
        <f t="shared" ca="1" si="3"/>
        <v>#NAME?</v>
      </c>
      <c r="C72">
        <v>29</v>
      </c>
      <c r="D72" t="e">
        <f t="shared" ca="1" si="2"/>
        <v>#NAME?</v>
      </c>
      <c r="E72" s="115" t="e">
        <f t="array" aca="1" ref="E72" ca="1">IF(OR(C71=0,AND(B73=0,C73=0)),"",IFERROR(INDEX($F$27:$F$36,MATCH(C72,($F$27:$F$36)*($D$27:$D$36&lt;&gt;0),0)),IF(OR(AND(D72=0,B72=0,B73&lt;&gt;0),AND(D72*D71&lt;0,B72&lt;&gt;0)),IF(D72=0,C72,C72*(1-ABS(D72)/(ABS(D72)+ABS(D71)))+C71*(1-ABS(D71)/(ABS(D72)+ABS(D71)))),"")))</f>
        <v>#NAME?</v>
      </c>
    </row>
    <row r="73" spans="2:5" x14ac:dyDescent="0.25">
      <c r="B73" t="e">
        <f t="shared" ca="1" si="3"/>
        <v>#NAME?</v>
      </c>
      <c r="C73">
        <v>30</v>
      </c>
      <c r="D73" t="e">
        <f t="shared" ca="1" si="2"/>
        <v>#NAME?</v>
      </c>
      <c r="E73" s="115" t="e">
        <f t="array" aca="1" ref="E73" ca="1">IF(OR(C72=0,AND(B74=0,C74=0)),"",IFERROR(INDEX($F$27:$F$36,MATCH(C73,($F$27:$F$36)*($D$27:$D$36&lt;&gt;0),0)),IF(OR(AND(D73=0,B73=0,B74&lt;&gt;0),AND(D73*D72&lt;0,B73&lt;&gt;0)),IF(D73=0,C73,C73*(1-ABS(D73)/(ABS(D73)+ABS(D72)))+C72*(1-ABS(D72)/(ABS(D73)+ABS(D72)))),"")))</f>
        <v>#NAME?</v>
      </c>
    </row>
    <row r="74" spans="2:5" x14ac:dyDescent="0.25">
      <c r="B74" t="e">
        <f t="shared" ca="1" si="3"/>
        <v>#NAME?</v>
      </c>
      <c r="C74">
        <v>31</v>
      </c>
      <c r="D74" t="e">
        <f t="shared" ca="1" si="2"/>
        <v>#NAME?</v>
      </c>
      <c r="E74" s="115" t="e">
        <f t="array" aca="1" ref="E74" ca="1">IF(OR(C73=0,AND(B75=0,C75=0)),"",IFERROR(INDEX($F$27:$F$36,MATCH(C74,($F$27:$F$36)*($D$27:$D$36&lt;&gt;0),0)),IF(OR(AND(D74=0,B74=0,B75&lt;&gt;0),AND(D74*D73&lt;0,B74&lt;&gt;0)),IF(D74=0,C74,C74*(1-ABS(D74)/(ABS(D74)+ABS(D73)))+C73*(1-ABS(D73)/(ABS(D74)+ABS(D73)))),"")))</f>
        <v>#NAME?</v>
      </c>
    </row>
    <row r="75" spans="2:5" x14ac:dyDescent="0.25">
      <c r="B75" t="e">
        <f t="shared" ca="1" si="3"/>
        <v>#NAME?</v>
      </c>
      <c r="C75">
        <v>32</v>
      </c>
      <c r="D75" t="e">
        <f t="shared" ca="1" si="2"/>
        <v>#NAME?</v>
      </c>
      <c r="E75" s="115" t="e">
        <f t="array" aca="1" ref="E75" ca="1">IF(OR(C74=0,AND(B76=0,C76=0)),"",IFERROR(INDEX($F$27:$F$36,MATCH(C75,($F$27:$F$36)*($D$27:$D$36&lt;&gt;0),0)),IF(OR(AND(D75=0,B75=0,B76&lt;&gt;0),AND(D75*D74&lt;0,B75&lt;&gt;0)),IF(D75=0,C75,C75*(1-ABS(D75)/(ABS(D75)+ABS(D74)))+C74*(1-ABS(D74)/(ABS(D75)+ABS(D74)))),"")))</f>
        <v>#NAME?</v>
      </c>
    </row>
    <row r="76" spans="2:5" x14ac:dyDescent="0.25">
      <c r="B76" t="e">
        <f t="shared" ca="1" si="3"/>
        <v>#NAME?</v>
      </c>
      <c r="C76">
        <v>33</v>
      </c>
      <c r="D76" t="e">
        <f t="shared" ca="1" si="2"/>
        <v>#NAME?</v>
      </c>
      <c r="E76" s="115" t="e">
        <f t="array" aca="1" ref="E76" ca="1">IF(OR(C75=0,AND(B77=0,C77=0)),"",IFERROR(INDEX($F$27:$F$36,MATCH(C76,($F$27:$F$36)*($D$27:$D$36&lt;&gt;0),0)),IF(OR(AND(D76=0,B76=0,B77&lt;&gt;0),AND(D76*D75&lt;0,B76&lt;&gt;0)),IF(D76=0,C76,C76*(1-ABS(D76)/(ABS(D76)+ABS(D75)))+C75*(1-ABS(D75)/(ABS(D76)+ABS(D75)))),"")))</f>
        <v>#NAME?</v>
      </c>
    </row>
    <row r="77" spans="2:5" x14ac:dyDescent="0.25">
      <c r="B77" t="e">
        <f t="shared" ca="1" si="3"/>
        <v>#NAME?</v>
      </c>
      <c r="C77">
        <v>34</v>
      </c>
      <c r="D77" t="e">
        <f t="shared" ca="1" si="2"/>
        <v>#NAME?</v>
      </c>
      <c r="E77" s="115" t="e">
        <f t="array" aca="1" ref="E77" ca="1">IF(OR(C76=0,AND(B78=0,C78=0)),"",IFERROR(INDEX($F$27:$F$36,MATCH(C77,($F$27:$F$36)*($D$27:$D$36&lt;&gt;0),0)),IF(OR(AND(D77=0,B77=0,B78&lt;&gt;0),AND(D77*D76&lt;0,B77&lt;&gt;0)),IF(D77=0,C77,C77*(1-ABS(D77)/(ABS(D77)+ABS(D76)))+C76*(1-ABS(D76)/(ABS(D77)+ABS(D76)))),"")))</f>
        <v>#NAME?</v>
      </c>
    </row>
    <row r="78" spans="2:5" x14ac:dyDescent="0.25">
      <c r="B78" t="e">
        <f t="shared" ca="1" si="3"/>
        <v>#NAME?</v>
      </c>
      <c r="C78">
        <v>35</v>
      </c>
      <c r="D78" t="e">
        <f t="shared" ca="1" si="2"/>
        <v>#NAME?</v>
      </c>
      <c r="E78" s="115" t="e">
        <f t="array" aca="1" ref="E78" ca="1">IF(OR(C77=0,AND(B79=0,C79=0)),"",IFERROR(INDEX($F$27:$F$36,MATCH(C78,($F$27:$F$36)*($D$27:$D$36&lt;&gt;0),0)),IF(OR(AND(D78=0,B78=0,B79&lt;&gt;0),AND(D78*D77&lt;0,B78&lt;&gt;0)),IF(D78=0,C78,C78*(1-ABS(D78)/(ABS(D78)+ABS(D77)))+C77*(1-ABS(D77)/(ABS(D78)+ABS(D77)))),"")))</f>
        <v>#NAME?</v>
      </c>
    </row>
    <row r="79" spans="2:5" x14ac:dyDescent="0.25">
      <c r="B79" t="e">
        <f t="shared" ca="1" si="3"/>
        <v>#NAME?</v>
      </c>
      <c r="C79">
        <v>36</v>
      </c>
      <c r="D79" t="e">
        <f t="shared" ca="1" si="2"/>
        <v>#NAME?</v>
      </c>
      <c r="E79" s="115" t="e">
        <f t="array" aca="1" ref="E79" ca="1">IF(OR(C78=0,AND(B80=0,C80=0)),"",IFERROR(INDEX($F$27:$F$36,MATCH(C79,($F$27:$F$36)*($D$27:$D$36&lt;&gt;0),0)),IF(OR(AND(D79=0,B79=0,B80&lt;&gt;0),AND(D79*D78&lt;0,B79&lt;&gt;0)),IF(D79=0,C79,C79*(1-ABS(D79)/(ABS(D79)+ABS(D78)))+C78*(1-ABS(D78)/(ABS(D79)+ABS(D78)))),"")))</f>
        <v>#NAME?</v>
      </c>
    </row>
    <row r="80" spans="2:5" x14ac:dyDescent="0.25">
      <c r="B80" t="e">
        <f t="shared" ca="1" si="3"/>
        <v>#NAME?</v>
      </c>
      <c r="C80">
        <v>37</v>
      </c>
      <c r="D80" t="e">
        <f t="shared" ca="1" si="2"/>
        <v>#NAME?</v>
      </c>
      <c r="E80" s="115" t="e">
        <f t="array" aca="1" ref="E80" ca="1">IF(OR(C79=0,AND(B81=0,C81=0)),"",IFERROR(INDEX($F$27:$F$36,MATCH(C80,($F$27:$F$36)*($D$27:$D$36&lt;&gt;0),0)),IF(OR(AND(D80=0,B80=0,B81&lt;&gt;0),AND(D80*D79&lt;0,B80&lt;&gt;0)),IF(D80=0,C80,C80*(1-ABS(D80)/(ABS(D80)+ABS(D79)))+C79*(1-ABS(D79)/(ABS(D80)+ABS(D79)))),"")))</f>
        <v>#NAME?</v>
      </c>
    </row>
    <row r="81" spans="2:5" x14ac:dyDescent="0.25">
      <c r="B81" t="e">
        <f t="shared" ca="1" si="3"/>
        <v>#NAME?</v>
      </c>
      <c r="C81">
        <v>38</v>
      </c>
      <c r="D81" t="e">
        <f t="shared" ca="1" si="2"/>
        <v>#NAME?</v>
      </c>
      <c r="E81" s="115" t="e">
        <f t="array" aca="1" ref="E81" ca="1">IF(OR(C80=0,AND(B82=0,C82=0)),"",IFERROR(INDEX($F$27:$F$36,MATCH(C81,($F$27:$F$36)*($D$27:$D$36&lt;&gt;0),0)),IF(OR(AND(D81=0,B81=0,B82&lt;&gt;0),AND(D81*D80&lt;0,B81&lt;&gt;0)),IF(D81=0,C81,C81*(1-ABS(D81)/(ABS(D81)+ABS(D80)))+C80*(1-ABS(D80)/(ABS(D81)+ABS(D80)))),"")))</f>
        <v>#NAME?</v>
      </c>
    </row>
    <row r="82" spans="2:5" x14ac:dyDescent="0.25">
      <c r="B82" t="e">
        <f t="shared" ca="1" si="3"/>
        <v>#NAME?</v>
      </c>
      <c r="C82">
        <v>39</v>
      </c>
      <c r="D82" t="e">
        <f t="shared" ca="1" si="2"/>
        <v>#NAME?</v>
      </c>
      <c r="E82" s="115" t="e">
        <f t="array" aca="1" ref="E82" ca="1">IF(OR(C81=0,AND(B83=0,C83=0)),"",IFERROR(INDEX($F$27:$F$36,MATCH(C82,($F$27:$F$36)*($D$27:$D$36&lt;&gt;0),0)),IF(OR(AND(D82=0,B82=0,B83&lt;&gt;0),AND(D82*D81&lt;0,B82&lt;&gt;0)),IF(D82=0,C82,C82*(1-ABS(D82)/(ABS(D82)+ABS(D81)))+C81*(1-ABS(D81)/(ABS(D82)+ABS(D81)))),"")))</f>
        <v>#NAME?</v>
      </c>
    </row>
    <row r="83" spans="2:5" x14ac:dyDescent="0.25">
      <c r="B83" t="e">
        <f t="shared" ca="1" si="3"/>
        <v>#NAME?</v>
      </c>
      <c r="C83">
        <v>40</v>
      </c>
      <c r="D83" t="e">
        <f t="shared" ca="1" si="2"/>
        <v>#NAME?</v>
      </c>
      <c r="E83" s="115" t="e">
        <f t="array" aca="1" ref="E83" ca="1">IF(OR(C82=0,AND(B84=0,C84=0)),"",IFERROR(INDEX($F$27:$F$36,MATCH(C83,($F$27:$F$36)*($D$27:$D$36&lt;&gt;0),0)),IF(OR(AND(D83=0,B83=0,B84&lt;&gt;0),AND(D83*D82&lt;0,B83&lt;&gt;0)),IF(D83=0,C83,C83*(1-ABS(D83)/(ABS(D83)+ABS(D82)))+C82*(1-ABS(D82)/(ABS(D83)+ABS(D82)))),"")))</f>
        <v>#NAME?</v>
      </c>
    </row>
    <row r="84" spans="2:5" x14ac:dyDescent="0.25">
      <c r="B84" t="e">
        <f t="shared" ca="1" si="3"/>
        <v>#NAME?</v>
      </c>
      <c r="C84">
        <v>41</v>
      </c>
      <c r="D84" t="e">
        <f t="shared" ca="1" si="2"/>
        <v>#NAME?</v>
      </c>
      <c r="E84" s="115" t="e">
        <f t="array" aca="1" ref="E84" ca="1">IF(OR(C83=0,AND(B85=0,C85=0)),"",IFERROR(INDEX($F$27:$F$36,MATCH(C84,($F$27:$F$36)*($D$27:$D$36&lt;&gt;0),0)),IF(OR(AND(D84=0,B84=0,B85&lt;&gt;0),AND(D84*D83&lt;0,B84&lt;&gt;0)),IF(D84=0,C84,C84*(1-ABS(D84)/(ABS(D84)+ABS(D83)))+C83*(1-ABS(D83)/(ABS(D84)+ABS(D83)))),"")))</f>
        <v>#NAME?</v>
      </c>
    </row>
    <row r="85" spans="2:5" x14ac:dyDescent="0.25">
      <c r="B85" t="e">
        <f t="shared" ca="1" si="3"/>
        <v>#NAME?</v>
      </c>
      <c r="C85">
        <v>42</v>
      </c>
      <c r="D85" t="e">
        <f t="shared" ca="1" si="2"/>
        <v>#NAME?</v>
      </c>
      <c r="E85" s="115" t="e">
        <f t="array" aca="1" ref="E85" ca="1">IF(OR(C84=0,AND(B86=0,C86=0)),"",IFERROR(INDEX($F$27:$F$36,MATCH(C85,($F$27:$F$36)*($D$27:$D$36&lt;&gt;0),0)),IF(OR(AND(D85=0,B85=0,B86&lt;&gt;0),AND(D85*D84&lt;0,B85&lt;&gt;0)),IF(D85=0,C85,C85*(1-ABS(D85)/(ABS(D85)+ABS(D84)))+C84*(1-ABS(D84)/(ABS(D85)+ABS(D84)))),"")))</f>
        <v>#NAME?</v>
      </c>
    </row>
    <row r="86" spans="2:5" x14ac:dyDescent="0.25">
      <c r="B86" t="e">
        <f t="shared" ca="1" si="3"/>
        <v>#NAME?</v>
      </c>
      <c r="C86">
        <v>43</v>
      </c>
      <c r="D86" t="e">
        <f t="shared" ca="1" si="2"/>
        <v>#NAME?</v>
      </c>
      <c r="E86" s="115" t="e">
        <f t="array" aca="1" ref="E86" ca="1">IF(OR(C85=0,AND(B87=0,C87=0)),"",IFERROR(INDEX($F$27:$F$36,MATCH(C86,($F$27:$F$36)*($D$27:$D$36&lt;&gt;0),0)),IF(OR(AND(D86=0,B86=0,B87&lt;&gt;0),AND(D86*D85&lt;0,B86&lt;&gt;0)),IF(D86=0,C86,C86*(1-ABS(D86)/(ABS(D86)+ABS(D85)))+C85*(1-ABS(D85)/(ABS(D86)+ABS(D85)))),"")))</f>
        <v>#NAME?</v>
      </c>
    </row>
    <row r="87" spans="2:5" x14ac:dyDescent="0.25">
      <c r="B87" t="e">
        <f t="shared" ca="1" si="3"/>
        <v>#NAME?</v>
      </c>
      <c r="C87">
        <v>44</v>
      </c>
      <c r="D87" t="e">
        <f t="shared" ca="1" si="2"/>
        <v>#NAME?</v>
      </c>
      <c r="E87" s="115" t="e">
        <f t="array" aca="1" ref="E87" ca="1">IF(OR(C86=0,AND(B88=0,C88=0)),"",IFERROR(INDEX($F$27:$F$36,MATCH(C87,($F$27:$F$36)*($D$27:$D$36&lt;&gt;0),0)),IF(OR(AND(D87=0,B87=0,B88&lt;&gt;0),AND(D87*D86&lt;0,B87&lt;&gt;0)),IF(D87=0,C87,C87*(1-ABS(D87)/(ABS(D87)+ABS(D86)))+C86*(1-ABS(D86)/(ABS(D87)+ABS(D86)))),"")))</f>
        <v>#NAME?</v>
      </c>
    </row>
    <row r="88" spans="2:5" x14ac:dyDescent="0.25">
      <c r="B88" t="e">
        <f t="shared" ca="1" si="3"/>
        <v>#NAME?</v>
      </c>
      <c r="C88">
        <v>45</v>
      </c>
      <c r="D88" t="e">
        <f t="shared" ca="1" si="2"/>
        <v>#NAME?</v>
      </c>
      <c r="E88" s="115" t="e">
        <f t="array" aca="1" ref="E88" ca="1">IF(OR(C87=0,AND(B89=0,C89=0)),"",IFERROR(INDEX($F$27:$F$36,MATCH(C88,($F$27:$F$36)*($D$27:$D$36&lt;&gt;0),0)),IF(OR(AND(D88=0,B88=0,B89&lt;&gt;0),AND(D88*D87&lt;0,B88&lt;&gt;0)),IF(D88=0,C88,C88*(1-ABS(D88)/(ABS(D88)+ABS(D87)))+C87*(1-ABS(D87)/(ABS(D88)+ABS(D87)))),"")))</f>
        <v>#NAME?</v>
      </c>
    </row>
    <row r="89" spans="2:5" x14ac:dyDescent="0.25">
      <c r="B89" t="e">
        <f t="shared" ca="1" si="3"/>
        <v>#NAME?</v>
      </c>
      <c r="C89">
        <v>46</v>
      </c>
      <c r="D89" t="e">
        <f t="shared" ca="1" si="2"/>
        <v>#NAME?</v>
      </c>
      <c r="E89" s="115" t="e">
        <f t="array" aca="1" ref="E89" ca="1">IF(OR(C88=0,AND(B90=0,C90=0)),"",IFERROR(INDEX($F$27:$F$36,MATCH(C89,($F$27:$F$36)*($D$27:$D$36&lt;&gt;0),0)),IF(OR(AND(D89=0,B89=0,B90&lt;&gt;0),AND(D89*D88&lt;0,B89&lt;&gt;0)),IF(D89=0,C89,C89*(1-ABS(D89)/(ABS(D89)+ABS(D88)))+C88*(1-ABS(D88)/(ABS(D89)+ABS(D88)))),"")))</f>
        <v>#NAME?</v>
      </c>
    </row>
    <row r="90" spans="2:5" x14ac:dyDescent="0.25">
      <c r="B90" t="e">
        <f t="shared" ca="1" si="3"/>
        <v>#NAME?</v>
      </c>
      <c r="C90">
        <v>47</v>
      </c>
      <c r="D90" t="e">
        <f t="shared" ca="1" si="2"/>
        <v>#NAME?</v>
      </c>
      <c r="E90" s="115" t="e">
        <f t="array" aca="1" ref="E90" ca="1">IF(OR(C89=0,AND(B91=0,C91=0)),"",IFERROR(INDEX($F$27:$F$36,MATCH(C90,($F$27:$F$36)*($D$27:$D$36&lt;&gt;0),0)),IF(OR(AND(D90=0,B90=0,B91&lt;&gt;0),AND(D90*D89&lt;0,B90&lt;&gt;0)),IF(D90=0,C90,C90*(1-ABS(D90)/(ABS(D90)+ABS(D89)))+C89*(1-ABS(D89)/(ABS(D90)+ABS(D89)))),"")))</f>
        <v>#NAME?</v>
      </c>
    </row>
    <row r="91" spans="2:5" x14ac:dyDescent="0.25">
      <c r="B91" t="e">
        <f t="shared" ca="1" si="3"/>
        <v>#NAME?</v>
      </c>
      <c r="C91">
        <v>48</v>
      </c>
      <c r="D91" t="e">
        <f t="shared" ca="1" si="2"/>
        <v>#NAME?</v>
      </c>
      <c r="E91" s="115" t="e">
        <f t="array" aca="1" ref="E91" ca="1">IF(OR(C90=0,AND(B92=0,C92=0)),"",IFERROR(INDEX($F$27:$F$36,MATCH(C91,($F$27:$F$36)*($D$27:$D$36&lt;&gt;0),0)),IF(OR(AND(D91=0,B91=0,B92&lt;&gt;0),AND(D91*D90&lt;0,B91&lt;&gt;0)),IF(D91=0,C91,C91*(1-ABS(D91)/(ABS(D91)+ABS(D90)))+C90*(1-ABS(D90)/(ABS(D91)+ABS(D90)))),"")))</f>
        <v>#NAME?</v>
      </c>
    </row>
    <row r="92" spans="2:5" x14ac:dyDescent="0.25">
      <c r="B92" t="e">
        <f t="shared" ca="1" si="3"/>
        <v>#NAME?</v>
      </c>
      <c r="C92">
        <v>49</v>
      </c>
      <c r="D92" t="e">
        <f t="shared" ca="1" si="2"/>
        <v>#NAME?</v>
      </c>
      <c r="E92" s="115" t="e">
        <f t="array" aca="1" ref="E92" ca="1">IF(OR(C91=0,AND(B93=0,C93=0)),"",IFERROR(INDEX($F$27:$F$36,MATCH(C92,($F$27:$F$36)*($D$27:$D$36&lt;&gt;0),0)),IF(OR(AND(D92=0,B92=0,B93&lt;&gt;0),AND(D92*D91&lt;0,B92&lt;&gt;0)),IF(D92=0,C92,C92*(1-ABS(D92)/(ABS(D92)+ABS(D91)))+C91*(1-ABS(D91)/(ABS(D92)+ABS(D91)))),"")))</f>
        <v>#NAME?</v>
      </c>
    </row>
    <row r="93" spans="2:5" x14ac:dyDescent="0.25">
      <c r="B93" t="e">
        <f t="shared" ca="1" si="3"/>
        <v>#NAME?</v>
      </c>
      <c r="C93">
        <v>50</v>
      </c>
      <c r="D93" t="e">
        <f t="shared" ca="1" si="2"/>
        <v>#NAME?</v>
      </c>
      <c r="E93" s="115" t="e">
        <f t="array" aca="1" ref="E93" ca="1">IF(OR(C92=0,AND(B94=0,C94=0)),"",IFERROR(INDEX($F$27:$F$36,MATCH(C93,($F$27:$F$36)*($D$27:$D$36&lt;&gt;0),0)),IF(OR(AND(D93=0,B93=0,B94&lt;&gt;0),AND(D93*D92&lt;0,B93&lt;&gt;0)),IF(D93=0,C93,C93*(1-ABS(D93)/(ABS(D93)+ABS(D92)))+C92*(1-ABS(D92)/(ABS(D93)+ABS(D92)))),"")))</f>
        <v>#NAME?</v>
      </c>
    </row>
    <row r="94" spans="2:5" x14ac:dyDescent="0.25">
      <c r="B94" t="e">
        <f t="shared" ca="1" si="3"/>
        <v>#NAME?</v>
      </c>
      <c r="C94">
        <v>51</v>
      </c>
      <c r="D94" t="e">
        <f t="shared" ca="1" si="2"/>
        <v>#NAME?</v>
      </c>
      <c r="E94" s="115" t="e">
        <f t="array" aca="1" ref="E94" ca="1">IF(OR(C93=0,AND(B95=0,C95=0)),"",IFERROR(INDEX($F$27:$F$36,MATCH(C94,($F$27:$F$36)*($D$27:$D$36&lt;&gt;0),0)),IF(OR(AND(D94=0,B94=0,B95&lt;&gt;0),AND(D94*D93&lt;0,B94&lt;&gt;0)),IF(D94=0,C94,C94*(1-ABS(D94)/(ABS(D94)+ABS(D93)))+C93*(1-ABS(D93)/(ABS(D94)+ABS(D93)))),"")))</f>
        <v>#NAME?</v>
      </c>
    </row>
    <row r="95" spans="2:5" x14ac:dyDescent="0.25">
      <c r="B95" t="e">
        <f t="shared" ca="1" si="3"/>
        <v>#NAME?</v>
      </c>
      <c r="C95">
        <v>52</v>
      </c>
      <c r="D95" t="e">
        <f t="shared" ca="1" si="2"/>
        <v>#NAME?</v>
      </c>
      <c r="E95" s="115" t="e">
        <f t="array" aca="1" ref="E95" ca="1">IF(OR(C94=0,AND(B96=0,C96=0)),"",IFERROR(INDEX($F$27:$F$36,MATCH(C95,($F$27:$F$36)*($D$27:$D$36&lt;&gt;0),0)),IF(OR(AND(D95=0,B95=0,B96&lt;&gt;0),AND(D95*D94&lt;0,B95&lt;&gt;0)),IF(D95=0,C95,C95*(1-ABS(D95)/(ABS(D95)+ABS(D94)))+C94*(1-ABS(D94)/(ABS(D95)+ABS(D94)))),"")))</f>
        <v>#NAME?</v>
      </c>
    </row>
    <row r="96" spans="2:5" x14ac:dyDescent="0.25">
      <c r="B96" t="e">
        <f t="shared" ca="1" si="3"/>
        <v>#NAME?</v>
      </c>
      <c r="C96">
        <v>53</v>
      </c>
      <c r="D96" t="e">
        <f t="shared" ca="1" si="2"/>
        <v>#NAME?</v>
      </c>
      <c r="E96" s="115" t="e">
        <f t="array" aca="1" ref="E96" ca="1">IF(OR(C95=0,AND(B97=0,C97=0)),"",IFERROR(INDEX($F$27:$F$36,MATCH(C96,($F$27:$F$36)*($D$27:$D$36&lt;&gt;0),0)),IF(OR(AND(D96=0,B96=0,B97&lt;&gt;0),AND(D96*D95&lt;0,B96&lt;&gt;0)),IF(D96=0,C96,C96*(1-ABS(D96)/(ABS(D96)+ABS(D95)))+C95*(1-ABS(D95)/(ABS(D96)+ABS(D95)))),"")))</f>
        <v>#NAME?</v>
      </c>
    </row>
    <row r="97" spans="2:5" x14ac:dyDescent="0.25">
      <c r="B97" t="e">
        <f t="shared" ca="1" si="3"/>
        <v>#NAME?</v>
      </c>
      <c r="C97">
        <v>54</v>
      </c>
      <c r="D97" t="e">
        <f t="shared" ca="1" si="2"/>
        <v>#NAME?</v>
      </c>
      <c r="E97" s="115" t="e">
        <f t="array" aca="1" ref="E97" ca="1">IF(OR(C96=0,AND(B98=0,C98=0)),"",IFERROR(INDEX($F$27:$F$36,MATCH(C97,($F$27:$F$36)*($D$27:$D$36&lt;&gt;0),0)),IF(OR(AND(D97=0,B97=0,B98&lt;&gt;0),AND(D97*D96&lt;0,B97&lt;&gt;0)),IF(D97=0,C97,C97*(1-ABS(D97)/(ABS(D97)+ABS(D96)))+C96*(1-ABS(D96)/(ABS(D97)+ABS(D96)))),"")))</f>
        <v>#NAME?</v>
      </c>
    </row>
    <row r="98" spans="2:5" x14ac:dyDescent="0.25">
      <c r="B98" t="e">
        <f t="shared" ca="1" si="3"/>
        <v>#NAME?</v>
      </c>
      <c r="C98">
        <v>55</v>
      </c>
      <c r="D98" t="e">
        <f t="shared" ca="1" si="2"/>
        <v>#NAME?</v>
      </c>
      <c r="E98" s="115" t="e">
        <f t="array" aca="1" ref="E98" ca="1">IF(OR(C97=0,AND(B99=0,C99=0)),"",IFERROR(INDEX($F$27:$F$36,MATCH(C98,($F$27:$F$36)*($D$27:$D$36&lt;&gt;0),0)),IF(OR(AND(D98=0,B98=0,B99&lt;&gt;0),AND(D98*D97&lt;0,B98&lt;&gt;0)),IF(D98=0,C98,C98*(1-ABS(D98)/(ABS(D98)+ABS(D97)))+C97*(1-ABS(D97)/(ABS(D98)+ABS(D97)))),"")))</f>
        <v>#NAME?</v>
      </c>
    </row>
    <row r="99" spans="2:5" x14ac:dyDescent="0.25">
      <c r="B99" t="e">
        <f t="shared" ca="1" si="3"/>
        <v>#NAME?</v>
      </c>
      <c r="C99">
        <v>56</v>
      </c>
      <c r="D99" t="e">
        <f t="shared" ca="1" si="2"/>
        <v>#NAME?</v>
      </c>
      <c r="E99" s="115" t="e">
        <f t="array" aca="1" ref="E99" ca="1">IF(OR(C98=0,AND(B100=0,C100=0)),"",IFERROR(INDEX($F$27:$F$36,MATCH(C99,($F$27:$F$36)*($D$27:$D$36&lt;&gt;0),0)),IF(OR(AND(D99=0,B99=0,B100&lt;&gt;0),AND(D99*D98&lt;0,B99&lt;&gt;0)),IF(D99=0,C99,C99*(1-ABS(D99)/(ABS(D99)+ABS(D98)))+C98*(1-ABS(D98)/(ABS(D99)+ABS(D98)))),"")))</f>
        <v>#NAME?</v>
      </c>
    </row>
    <row r="100" spans="2:5" x14ac:dyDescent="0.25">
      <c r="B100" t="e">
        <f t="shared" ca="1" si="3"/>
        <v>#NAME?</v>
      </c>
      <c r="C100">
        <v>57</v>
      </c>
      <c r="D100" t="e">
        <f t="shared" ca="1" si="2"/>
        <v>#NAME?</v>
      </c>
      <c r="E100" s="115" t="e">
        <f t="array" aca="1" ref="E100" ca="1">IF(OR(C99=0,AND(B101=0,C101=0)),"",IFERROR(INDEX($F$27:$F$36,MATCH(C100,($F$27:$F$36)*($D$27:$D$36&lt;&gt;0),0)),IF(OR(AND(D100=0,B100=0,B101&lt;&gt;0),AND(D100*D99&lt;0,B100&lt;&gt;0)),IF(D100=0,C100,C100*(1-ABS(D100)/(ABS(D100)+ABS(D99)))+C99*(1-ABS(D99)/(ABS(D100)+ABS(D99)))),"")))</f>
        <v>#NAME?</v>
      </c>
    </row>
    <row r="101" spans="2:5" x14ac:dyDescent="0.25">
      <c r="B101" t="e">
        <f t="shared" ca="1" si="3"/>
        <v>#NAME?</v>
      </c>
      <c r="C101">
        <v>58</v>
      </c>
      <c r="D101" t="e">
        <f t="shared" ca="1" si="2"/>
        <v>#NAME?</v>
      </c>
      <c r="E101" s="115" t="e">
        <f t="array" aca="1" ref="E101" ca="1">IF(OR(C100=0,AND(B102=0,C102=0)),"",IFERROR(INDEX($F$27:$F$36,MATCH(C101,($F$27:$F$36)*($D$27:$D$36&lt;&gt;0),0)),IF(OR(AND(D101=0,B101=0,B102&lt;&gt;0),AND(D101*D100&lt;0,B101&lt;&gt;0)),IF(D101=0,C101,C101*(1-ABS(D101)/(ABS(D101)+ABS(D100)))+C100*(1-ABS(D100)/(ABS(D101)+ABS(D100)))),"")))</f>
        <v>#NAME?</v>
      </c>
    </row>
    <row r="102" spans="2:5" x14ac:dyDescent="0.25">
      <c r="B102" t="e">
        <f t="shared" ca="1" si="3"/>
        <v>#NAME?</v>
      </c>
      <c r="C102">
        <v>59</v>
      </c>
      <c r="D102" t="e">
        <f t="shared" ca="1" si="2"/>
        <v>#NAME?</v>
      </c>
      <c r="E102" s="115" t="e">
        <f t="array" aca="1" ref="E102" ca="1">IF(OR(C101=0,AND(B103=0,C103=0)),"",IFERROR(INDEX($F$27:$F$36,MATCH(C102,($F$27:$F$36)*($D$27:$D$36&lt;&gt;0),0)),IF(OR(AND(D102=0,B102=0,B103&lt;&gt;0),AND(D102*D101&lt;0,B102&lt;&gt;0)),IF(D102=0,C102,C102*(1-ABS(D102)/(ABS(D102)+ABS(D101)))+C101*(1-ABS(D101)/(ABS(D102)+ABS(D101)))),"")))</f>
        <v>#NAME?</v>
      </c>
    </row>
    <row r="103" spans="2:5" x14ac:dyDescent="0.25">
      <c r="B103" t="e">
        <f t="shared" ca="1" si="3"/>
        <v>#NAME?</v>
      </c>
      <c r="C103">
        <v>60</v>
      </c>
      <c r="D103" t="e">
        <f t="shared" ca="1" si="2"/>
        <v>#NAME?</v>
      </c>
      <c r="E103" s="115" t="e">
        <f t="array" aca="1" ref="E103" ca="1">IF(OR(C102=0,AND(B104=0,C104=0)),"",IFERROR(INDEX($F$27:$F$36,MATCH(C103,($F$27:$F$36)*($D$27:$D$36&lt;&gt;0),0)),IF(OR(AND(D103=0,B103=0,B104&lt;&gt;0),AND(D103*D102&lt;0,B103&lt;&gt;0)),IF(D103=0,C103,C103*(1-ABS(D103)/(ABS(D103)+ABS(D102)))+C102*(1-ABS(D102)/(ABS(D103)+ABS(D102)))),"")))</f>
        <v>#NAME?</v>
      </c>
    </row>
    <row r="104" spans="2:5" x14ac:dyDescent="0.25">
      <c r="B104" t="e">
        <f t="shared" ca="1" si="3"/>
        <v>#NAME?</v>
      </c>
      <c r="C104">
        <v>61</v>
      </c>
      <c r="D104" t="e">
        <f t="shared" ca="1" si="2"/>
        <v>#NAME?</v>
      </c>
      <c r="E104" s="115" t="e">
        <f t="array" aca="1" ref="E104" ca="1">IF(OR(C103=0,AND(B105=0,C105=0)),"",IFERROR(INDEX($F$27:$F$36,MATCH(C104,($F$27:$F$36)*($D$27:$D$36&lt;&gt;0),0)),IF(OR(AND(D104=0,B104=0,B105&lt;&gt;0),AND(D104*D103&lt;0,B104&lt;&gt;0)),IF(D104=0,C104,C104*(1-ABS(D104)/(ABS(D104)+ABS(D103)))+C103*(1-ABS(D103)/(ABS(D104)+ABS(D103)))),"")))</f>
        <v>#NAME?</v>
      </c>
    </row>
    <row r="105" spans="2:5" x14ac:dyDescent="0.25">
      <c r="B105" t="e">
        <f t="shared" ca="1" si="3"/>
        <v>#NAME?</v>
      </c>
      <c r="C105">
        <v>62</v>
      </c>
      <c r="D105" t="e">
        <f t="shared" ca="1" si="2"/>
        <v>#NAME?</v>
      </c>
      <c r="E105" s="115" t="e">
        <f t="array" aca="1" ref="E105" ca="1">IF(OR(C104=0,AND(B106=0,C106=0)),"",IFERROR(INDEX($F$27:$F$36,MATCH(C105,($F$27:$F$36)*($D$27:$D$36&lt;&gt;0),0)),IF(OR(AND(D105=0,B105=0,B106&lt;&gt;0),AND(D105*D104&lt;0,B105&lt;&gt;0)),IF(D105=0,C105,C105*(1-ABS(D105)/(ABS(D105)+ABS(D104)))+C104*(1-ABS(D104)/(ABS(D105)+ABS(D104)))),"")))</f>
        <v>#NAME?</v>
      </c>
    </row>
    <row r="106" spans="2:5" x14ac:dyDescent="0.25">
      <c r="B106" t="e">
        <f t="shared" ca="1" si="3"/>
        <v>#NAME?</v>
      </c>
      <c r="C106">
        <v>63</v>
      </c>
      <c r="D106" t="e">
        <f t="shared" ca="1" si="2"/>
        <v>#NAME?</v>
      </c>
      <c r="E106" s="115" t="e">
        <f t="array" aca="1" ref="E106" ca="1">IF(OR(C105=0,AND(B107=0,C107=0)),"",IFERROR(INDEX($F$27:$F$36,MATCH(C106,($F$27:$F$36)*($D$27:$D$36&lt;&gt;0),0)),IF(OR(AND(D106=0,B106=0,B107&lt;&gt;0),AND(D106*D105&lt;0,B106&lt;&gt;0)),IF(D106=0,C106,C106*(1-ABS(D106)/(ABS(D106)+ABS(D105)))+C105*(1-ABS(D105)/(ABS(D106)+ABS(D105)))),"")))</f>
        <v>#NAME?</v>
      </c>
    </row>
    <row r="107" spans="2:5" x14ac:dyDescent="0.25">
      <c r="B107" t="e">
        <f t="shared" ca="1" si="3"/>
        <v>#NAME?</v>
      </c>
      <c r="C107">
        <v>64</v>
      </c>
      <c r="D107" t="e">
        <f t="shared" ref="D107:D170" ca="1" si="4">SUMPRODUCT(--($J$27:$J$37&gt;0),--($C107-$F$27:$F$37&gt;0),($D$27:$D$37),($C107-$F$27:$F$37))+SUMPRODUCT(--($J$27:$J$37&lt;0),--($F$27:$F$37-$C107&gt;0),($D$27:$D$37),($F$27:$F$37-$C107))-SUMPRODUCT($D$27:$D$37,$E$27:$E$37)</f>
        <v>#NAME?</v>
      </c>
      <c r="E107" s="115" t="e">
        <f t="array" aca="1" ref="E107" ca="1">IF(OR(C106=0,AND(B108=0,C108=0)),"",IFERROR(INDEX($F$27:$F$36,MATCH(C107,($F$27:$F$36)*($D$27:$D$36&lt;&gt;0),0)),IF(OR(AND(D107=0,B107=0,B108&lt;&gt;0),AND(D107*D106&lt;0,B107&lt;&gt;0)),IF(D107=0,C107,C107*(1-ABS(D107)/(ABS(D107)+ABS(D106)))+C106*(1-ABS(D106)/(ABS(D107)+ABS(D106)))),"")))</f>
        <v>#NAME?</v>
      </c>
    </row>
    <row r="108" spans="2:5" x14ac:dyDescent="0.25">
      <c r="B108" t="e">
        <f t="shared" ref="B108:B171" ca="1" si="5">ROUND((D108-D107)/(C108-C107),12)</f>
        <v>#NAME?</v>
      </c>
      <c r="C108">
        <v>65</v>
      </c>
      <c r="D108" t="e">
        <f t="shared" ca="1" si="4"/>
        <v>#NAME?</v>
      </c>
      <c r="E108" s="115" t="e">
        <f t="array" aca="1" ref="E108" ca="1">IF(OR(C107=0,AND(B109=0,C109=0)),"",IFERROR(INDEX($F$27:$F$36,MATCH(C108,($F$27:$F$36)*($D$27:$D$36&lt;&gt;0),0)),IF(OR(AND(D108=0,B108=0,B109&lt;&gt;0),AND(D108*D107&lt;0,B108&lt;&gt;0)),IF(D108=0,C108,C108*(1-ABS(D108)/(ABS(D108)+ABS(D107)))+C107*(1-ABS(D107)/(ABS(D108)+ABS(D107)))),"")))</f>
        <v>#NAME?</v>
      </c>
    </row>
    <row r="109" spans="2:5" x14ac:dyDescent="0.25">
      <c r="B109" t="e">
        <f t="shared" ca="1" si="5"/>
        <v>#NAME?</v>
      </c>
      <c r="C109">
        <v>66</v>
      </c>
      <c r="D109" t="e">
        <f t="shared" ca="1" si="4"/>
        <v>#NAME?</v>
      </c>
      <c r="E109" s="115" t="e">
        <f t="array" aca="1" ref="E109" ca="1">IF(OR(C108=0,AND(B110=0,C110=0)),"",IFERROR(INDEX($F$27:$F$36,MATCH(C109,($F$27:$F$36)*($D$27:$D$36&lt;&gt;0),0)),IF(OR(AND(D109=0,B109=0,B110&lt;&gt;0),AND(D109*D108&lt;0,B109&lt;&gt;0)),IF(D109=0,C109,C109*(1-ABS(D109)/(ABS(D109)+ABS(D108)))+C108*(1-ABS(D108)/(ABS(D109)+ABS(D108)))),"")))</f>
        <v>#NAME?</v>
      </c>
    </row>
    <row r="110" spans="2:5" x14ac:dyDescent="0.25">
      <c r="B110" t="e">
        <f t="shared" ca="1" si="5"/>
        <v>#NAME?</v>
      </c>
      <c r="C110">
        <v>67</v>
      </c>
      <c r="D110" t="e">
        <f t="shared" ca="1" si="4"/>
        <v>#NAME?</v>
      </c>
      <c r="E110" s="115" t="e">
        <f t="array" aca="1" ref="E110" ca="1">IF(OR(C109=0,AND(B111=0,C111=0)),"",IFERROR(INDEX($F$27:$F$36,MATCH(C110,($F$27:$F$36)*($D$27:$D$36&lt;&gt;0),0)),IF(OR(AND(D110=0,B110=0,B111&lt;&gt;0),AND(D110*D109&lt;0,B110&lt;&gt;0)),IF(D110=0,C110,C110*(1-ABS(D110)/(ABS(D110)+ABS(D109)))+C109*(1-ABS(D109)/(ABS(D110)+ABS(D109)))),"")))</f>
        <v>#NAME?</v>
      </c>
    </row>
    <row r="111" spans="2:5" x14ac:dyDescent="0.25">
      <c r="B111" t="e">
        <f t="shared" ca="1" si="5"/>
        <v>#NAME?</v>
      </c>
      <c r="C111">
        <v>68</v>
      </c>
      <c r="D111" t="e">
        <f t="shared" ca="1" si="4"/>
        <v>#NAME?</v>
      </c>
      <c r="E111" s="115" t="e">
        <f t="array" aca="1" ref="E111" ca="1">IF(OR(C110=0,AND(B112=0,C112=0)),"",IFERROR(INDEX($F$27:$F$36,MATCH(C111,($F$27:$F$36)*($D$27:$D$36&lt;&gt;0),0)),IF(OR(AND(D111=0,B111=0,B112&lt;&gt;0),AND(D111*D110&lt;0,B111&lt;&gt;0)),IF(D111=0,C111,C111*(1-ABS(D111)/(ABS(D111)+ABS(D110)))+C110*(1-ABS(D110)/(ABS(D111)+ABS(D110)))),"")))</f>
        <v>#NAME?</v>
      </c>
    </row>
    <row r="112" spans="2:5" x14ac:dyDescent="0.25">
      <c r="B112" t="e">
        <f t="shared" ca="1" si="5"/>
        <v>#NAME?</v>
      </c>
      <c r="C112">
        <v>69</v>
      </c>
      <c r="D112" t="e">
        <f t="shared" ca="1" si="4"/>
        <v>#NAME?</v>
      </c>
      <c r="E112" s="115" t="e">
        <f t="array" aca="1" ref="E112" ca="1">IF(OR(C111=0,AND(B113=0,C113=0)),"",IFERROR(INDEX($F$27:$F$36,MATCH(C112,($F$27:$F$36)*($D$27:$D$36&lt;&gt;0),0)),IF(OR(AND(D112=0,B112=0,B113&lt;&gt;0),AND(D112*D111&lt;0,B112&lt;&gt;0)),IF(D112=0,C112,C112*(1-ABS(D112)/(ABS(D112)+ABS(D111)))+C111*(1-ABS(D111)/(ABS(D112)+ABS(D111)))),"")))</f>
        <v>#NAME?</v>
      </c>
    </row>
    <row r="113" spans="2:5" x14ac:dyDescent="0.25">
      <c r="B113" t="e">
        <f t="shared" ca="1" si="5"/>
        <v>#NAME?</v>
      </c>
      <c r="C113">
        <v>70</v>
      </c>
      <c r="D113" t="e">
        <f t="shared" ca="1" si="4"/>
        <v>#NAME?</v>
      </c>
      <c r="E113" s="115" t="e">
        <f t="array" aca="1" ref="E113" ca="1">IF(OR(C112=0,AND(B114=0,C114=0)),"",IFERROR(INDEX($F$27:$F$36,MATCH(C113,($F$27:$F$36)*($D$27:$D$36&lt;&gt;0),0)),IF(OR(AND(D113=0,B113=0,B114&lt;&gt;0),AND(D113*D112&lt;0,B113&lt;&gt;0)),IF(D113=0,C113,C113*(1-ABS(D113)/(ABS(D113)+ABS(D112)))+C112*(1-ABS(D112)/(ABS(D113)+ABS(D112)))),"")))</f>
        <v>#NAME?</v>
      </c>
    </row>
    <row r="114" spans="2:5" x14ac:dyDescent="0.25">
      <c r="B114" t="e">
        <f t="shared" ca="1" si="5"/>
        <v>#NAME?</v>
      </c>
      <c r="C114">
        <v>71</v>
      </c>
      <c r="D114" t="e">
        <f t="shared" ca="1" si="4"/>
        <v>#NAME?</v>
      </c>
      <c r="E114" s="115" t="e">
        <f t="array" aca="1" ref="E114" ca="1">IF(OR(C113=0,AND(B115=0,C115=0)),"",IFERROR(INDEX($F$27:$F$36,MATCH(C114,($F$27:$F$36)*($D$27:$D$36&lt;&gt;0),0)),IF(OR(AND(D114=0,B114=0,B115&lt;&gt;0),AND(D114*D113&lt;0,B114&lt;&gt;0)),IF(D114=0,C114,C114*(1-ABS(D114)/(ABS(D114)+ABS(D113)))+C113*(1-ABS(D113)/(ABS(D114)+ABS(D113)))),"")))</f>
        <v>#NAME?</v>
      </c>
    </row>
    <row r="115" spans="2:5" x14ac:dyDescent="0.25">
      <c r="B115" t="e">
        <f t="shared" ca="1" si="5"/>
        <v>#NAME?</v>
      </c>
      <c r="C115">
        <v>72</v>
      </c>
      <c r="D115" t="e">
        <f t="shared" ca="1" si="4"/>
        <v>#NAME?</v>
      </c>
      <c r="E115" s="115" t="e">
        <f t="array" aca="1" ref="E115" ca="1">IF(OR(C114=0,AND(B116=0,C116=0)),"",IFERROR(INDEX($F$27:$F$36,MATCH(C115,($F$27:$F$36)*($D$27:$D$36&lt;&gt;0),0)),IF(OR(AND(D115=0,B115=0,B116&lt;&gt;0),AND(D115*D114&lt;0,B115&lt;&gt;0)),IF(D115=0,C115,C115*(1-ABS(D115)/(ABS(D115)+ABS(D114)))+C114*(1-ABS(D114)/(ABS(D115)+ABS(D114)))),"")))</f>
        <v>#NAME?</v>
      </c>
    </row>
    <row r="116" spans="2:5" x14ac:dyDescent="0.25">
      <c r="B116" t="e">
        <f t="shared" ca="1" si="5"/>
        <v>#NAME?</v>
      </c>
      <c r="C116">
        <v>73</v>
      </c>
      <c r="D116" t="e">
        <f t="shared" ca="1" si="4"/>
        <v>#NAME?</v>
      </c>
      <c r="E116" s="115" t="e">
        <f t="array" aca="1" ref="E116" ca="1">IF(OR(C115=0,AND(B117=0,C117=0)),"",IFERROR(INDEX($F$27:$F$36,MATCH(C116,($F$27:$F$36)*($D$27:$D$36&lt;&gt;0),0)),IF(OR(AND(D116=0,B116=0,B117&lt;&gt;0),AND(D116*D115&lt;0,B116&lt;&gt;0)),IF(D116=0,C116,C116*(1-ABS(D116)/(ABS(D116)+ABS(D115)))+C115*(1-ABS(D115)/(ABS(D116)+ABS(D115)))),"")))</f>
        <v>#NAME?</v>
      </c>
    </row>
    <row r="117" spans="2:5" x14ac:dyDescent="0.25">
      <c r="B117" t="e">
        <f t="shared" ca="1" si="5"/>
        <v>#NAME?</v>
      </c>
      <c r="C117">
        <v>74</v>
      </c>
      <c r="D117" t="e">
        <f t="shared" ca="1" si="4"/>
        <v>#NAME?</v>
      </c>
      <c r="E117" s="115" t="e">
        <f t="array" aca="1" ref="E117" ca="1">IF(OR(C116=0,AND(B118=0,C118=0)),"",IFERROR(INDEX($F$27:$F$36,MATCH(C117,($F$27:$F$36)*($D$27:$D$36&lt;&gt;0),0)),IF(OR(AND(D117=0,B117=0,B118&lt;&gt;0),AND(D117*D116&lt;0,B117&lt;&gt;0)),IF(D117=0,C117,C117*(1-ABS(D117)/(ABS(D117)+ABS(D116)))+C116*(1-ABS(D116)/(ABS(D117)+ABS(D116)))),"")))</f>
        <v>#NAME?</v>
      </c>
    </row>
    <row r="118" spans="2:5" x14ac:dyDescent="0.25">
      <c r="B118" t="e">
        <f t="shared" ca="1" si="5"/>
        <v>#NAME?</v>
      </c>
      <c r="C118">
        <v>75</v>
      </c>
      <c r="D118" t="e">
        <f t="shared" ca="1" si="4"/>
        <v>#NAME?</v>
      </c>
      <c r="E118" s="115" t="e">
        <f t="array" aca="1" ref="E118" ca="1">IF(OR(C117=0,AND(B119=0,C119=0)),"",IFERROR(INDEX($F$27:$F$36,MATCH(C118,($F$27:$F$36)*($D$27:$D$36&lt;&gt;0),0)),IF(OR(AND(D118=0,B118=0,B119&lt;&gt;0),AND(D118*D117&lt;0,B118&lt;&gt;0)),IF(D118=0,C118,C118*(1-ABS(D118)/(ABS(D118)+ABS(D117)))+C117*(1-ABS(D117)/(ABS(D118)+ABS(D117)))),"")))</f>
        <v>#NAME?</v>
      </c>
    </row>
    <row r="119" spans="2:5" x14ac:dyDescent="0.25">
      <c r="B119" t="e">
        <f t="shared" ca="1" si="5"/>
        <v>#NAME?</v>
      </c>
      <c r="C119">
        <v>76</v>
      </c>
      <c r="D119" t="e">
        <f t="shared" ca="1" si="4"/>
        <v>#NAME?</v>
      </c>
      <c r="E119" s="115" t="e">
        <f t="array" aca="1" ref="E119" ca="1">IF(OR(C118=0,AND(B120=0,C120=0)),"",IFERROR(INDEX($F$27:$F$36,MATCH(C119,($F$27:$F$36)*($D$27:$D$36&lt;&gt;0),0)),IF(OR(AND(D119=0,B119=0,B120&lt;&gt;0),AND(D119*D118&lt;0,B119&lt;&gt;0)),IF(D119=0,C119,C119*(1-ABS(D119)/(ABS(D119)+ABS(D118)))+C118*(1-ABS(D118)/(ABS(D119)+ABS(D118)))),"")))</f>
        <v>#NAME?</v>
      </c>
    </row>
    <row r="120" spans="2:5" x14ac:dyDescent="0.25">
      <c r="B120" t="e">
        <f t="shared" ca="1" si="5"/>
        <v>#NAME?</v>
      </c>
      <c r="C120">
        <v>77</v>
      </c>
      <c r="D120" t="e">
        <f t="shared" ca="1" si="4"/>
        <v>#NAME?</v>
      </c>
      <c r="E120" s="115" t="e">
        <f t="array" aca="1" ref="E120" ca="1">IF(OR(C119=0,AND(B121=0,C121=0)),"",IFERROR(INDEX($F$27:$F$36,MATCH(C120,($F$27:$F$36)*($D$27:$D$36&lt;&gt;0),0)),IF(OR(AND(D120=0,B120=0,B121&lt;&gt;0),AND(D120*D119&lt;0,B120&lt;&gt;0)),IF(D120=0,C120,C120*(1-ABS(D120)/(ABS(D120)+ABS(D119)))+C119*(1-ABS(D119)/(ABS(D120)+ABS(D119)))),"")))</f>
        <v>#NAME?</v>
      </c>
    </row>
    <row r="121" spans="2:5" x14ac:dyDescent="0.25">
      <c r="B121" t="e">
        <f t="shared" ca="1" si="5"/>
        <v>#NAME?</v>
      </c>
      <c r="C121">
        <v>78</v>
      </c>
      <c r="D121" t="e">
        <f t="shared" ca="1" si="4"/>
        <v>#NAME?</v>
      </c>
      <c r="E121" s="115" t="e">
        <f t="array" aca="1" ref="E121" ca="1">IF(OR(C120=0,AND(B122=0,C122=0)),"",IFERROR(INDEX($F$27:$F$36,MATCH(C121,($F$27:$F$36)*($D$27:$D$36&lt;&gt;0),0)),IF(OR(AND(D121=0,B121=0,B122&lt;&gt;0),AND(D121*D120&lt;0,B121&lt;&gt;0)),IF(D121=0,C121,C121*(1-ABS(D121)/(ABS(D121)+ABS(D120)))+C120*(1-ABS(D120)/(ABS(D121)+ABS(D120)))),"")))</f>
        <v>#NAME?</v>
      </c>
    </row>
    <row r="122" spans="2:5" x14ac:dyDescent="0.25">
      <c r="B122" t="e">
        <f t="shared" ca="1" si="5"/>
        <v>#NAME?</v>
      </c>
      <c r="C122">
        <v>79</v>
      </c>
      <c r="D122" t="e">
        <f t="shared" ca="1" si="4"/>
        <v>#NAME?</v>
      </c>
      <c r="E122" s="115" t="e">
        <f t="array" aca="1" ref="E122" ca="1">IF(OR(C121=0,AND(B123=0,C123=0)),"",IFERROR(INDEX($F$27:$F$36,MATCH(C122,($F$27:$F$36)*($D$27:$D$36&lt;&gt;0),0)),IF(OR(AND(D122=0,B122=0,B123&lt;&gt;0),AND(D122*D121&lt;0,B122&lt;&gt;0)),IF(D122=0,C122,C122*(1-ABS(D122)/(ABS(D122)+ABS(D121)))+C121*(1-ABS(D121)/(ABS(D122)+ABS(D121)))),"")))</f>
        <v>#NAME?</v>
      </c>
    </row>
    <row r="123" spans="2:5" x14ac:dyDescent="0.25">
      <c r="B123" t="e">
        <f t="shared" ca="1" si="5"/>
        <v>#NAME?</v>
      </c>
      <c r="C123">
        <v>80</v>
      </c>
      <c r="D123" t="e">
        <f t="shared" ca="1" si="4"/>
        <v>#NAME?</v>
      </c>
      <c r="E123" s="115" t="e">
        <f t="array" aca="1" ref="E123" ca="1">IF(OR(C122=0,AND(B124=0,C124=0)),"",IFERROR(INDEX($F$27:$F$36,MATCH(C123,($F$27:$F$36)*($D$27:$D$36&lt;&gt;0),0)),IF(OR(AND(D123=0,B123=0,B124&lt;&gt;0),AND(D123*D122&lt;0,B123&lt;&gt;0)),IF(D123=0,C123,C123*(1-ABS(D123)/(ABS(D123)+ABS(D122)))+C122*(1-ABS(D122)/(ABS(D123)+ABS(D122)))),"")))</f>
        <v>#NAME?</v>
      </c>
    </row>
    <row r="124" spans="2:5" x14ac:dyDescent="0.25">
      <c r="B124" t="e">
        <f t="shared" ca="1" si="5"/>
        <v>#NAME?</v>
      </c>
      <c r="C124">
        <v>81</v>
      </c>
      <c r="D124" t="e">
        <f t="shared" ca="1" si="4"/>
        <v>#NAME?</v>
      </c>
      <c r="E124" s="115" t="e">
        <f t="array" aca="1" ref="E124" ca="1">IF(OR(C123=0,AND(B125=0,C125=0)),"",IFERROR(INDEX($F$27:$F$36,MATCH(C124,($F$27:$F$36)*($D$27:$D$36&lt;&gt;0),0)),IF(OR(AND(D124=0,B124=0,B125&lt;&gt;0),AND(D124*D123&lt;0,B124&lt;&gt;0)),IF(D124=0,C124,C124*(1-ABS(D124)/(ABS(D124)+ABS(D123)))+C123*(1-ABS(D123)/(ABS(D124)+ABS(D123)))),"")))</f>
        <v>#NAME?</v>
      </c>
    </row>
    <row r="125" spans="2:5" x14ac:dyDescent="0.25">
      <c r="B125" t="e">
        <f t="shared" ca="1" si="5"/>
        <v>#NAME?</v>
      </c>
      <c r="C125">
        <v>82</v>
      </c>
      <c r="D125" t="e">
        <f t="shared" ca="1" si="4"/>
        <v>#NAME?</v>
      </c>
      <c r="E125" s="115" t="e">
        <f t="array" aca="1" ref="E125" ca="1">IF(OR(C124=0,AND(B126=0,C126=0)),"",IFERROR(INDEX($F$27:$F$36,MATCH(C125,($F$27:$F$36)*($D$27:$D$36&lt;&gt;0),0)),IF(OR(AND(D125=0,B125=0,B126&lt;&gt;0),AND(D125*D124&lt;0,B125&lt;&gt;0)),IF(D125=0,C125,C125*(1-ABS(D125)/(ABS(D125)+ABS(D124)))+C124*(1-ABS(D124)/(ABS(D125)+ABS(D124)))),"")))</f>
        <v>#NAME?</v>
      </c>
    </row>
    <row r="126" spans="2:5" x14ac:dyDescent="0.25">
      <c r="B126" t="e">
        <f t="shared" ca="1" si="5"/>
        <v>#NAME?</v>
      </c>
      <c r="C126">
        <v>83</v>
      </c>
      <c r="D126" t="e">
        <f t="shared" ca="1" si="4"/>
        <v>#NAME?</v>
      </c>
      <c r="E126" s="115" t="e">
        <f t="array" aca="1" ref="E126" ca="1">IF(OR(C125=0,AND(B127=0,C127=0)),"",IFERROR(INDEX($F$27:$F$36,MATCH(C126,($F$27:$F$36)*($D$27:$D$36&lt;&gt;0),0)),IF(OR(AND(D126=0,B126=0,B127&lt;&gt;0),AND(D126*D125&lt;0,B126&lt;&gt;0)),IF(D126=0,C126,C126*(1-ABS(D126)/(ABS(D126)+ABS(D125)))+C125*(1-ABS(D125)/(ABS(D126)+ABS(D125)))),"")))</f>
        <v>#NAME?</v>
      </c>
    </row>
    <row r="127" spans="2:5" x14ac:dyDescent="0.25">
      <c r="B127" t="e">
        <f t="shared" ca="1" si="5"/>
        <v>#NAME?</v>
      </c>
      <c r="C127">
        <v>84</v>
      </c>
      <c r="D127" t="e">
        <f t="shared" ca="1" si="4"/>
        <v>#NAME?</v>
      </c>
      <c r="E127" s="115" t="e">
        <f t="array" aca="1" ref="E127" ca="1">IF(OR(C126=0,AND(B128=0,C128=0)),"",IFERROR(INDEX($F$27:$F$36,MATCH(C127,($F$27:$F$36)*($D$27:$D$36&lt;&gt;0),0)),IF(OR(AND(D127=0,B127=0,B128&lt;&gt;0),AND(D127*D126&lt;0,B127&lt;&gt;0)),IF(D127=0,C127,C127*(1-ABS(D127)/(ABS(D127)+ABS(D126)))+C126*(1-ABS(D126)/(ABS(D127)+ABS(D126)))),"")))</f>
        <v>#NAME?</v>
      </c>
    </row>
    <row r="128" spans="2:5" x14ac:dyDescent="0.25">
      <c r="B128" t="e">
        <f t="shared" ca="1" si="5"/>
        <v>#NAME?</v>
      </c>
      <c r="C128">
        <v>85</v>
      </c>
      <c r="D128" t="e">
        <f t="shared" ca="1" si="4"/>
        <v>#NAME?</v>
      </c>
      <c r="E128" s="115" t="e">
        <f t="array" aca="1" ref="E128" ca="1">IF(OR(C127=0,AND(B129=0,C129=0)),"",IFERROR(INDEX($F$27:$F$36,MATCH(C128,($F$27:$F$36)*($D$27:$D$36&lt;&gt;0),0)),IF(OR(AND(D128=0,B128=0,B129&lt;&gt;0),AND(D128*D127&lt;0,B128&lt;&gt;0)),IF(D128=0,C128,C128*(1-ABS(D128)/(ABS(D128)+ABS(D127)))+C127*(1-ABS(D127)/(ABS(D128)+ABS(D127)))),"")))</f>
        <v>#NAME?</v>
      </c>
    </row>
    <row r="129" spans="2:5" x14ac:dyDescent="0.25">
      <c r="B129" t="e">
        <f t="shared" ca="1" si="5"/>
        <v>#NAME?</v>
      </c>
      <c r="C129">
        <v>86</v>
      </c>
      <c r="D129" t="e">
        <f t="shared" ca="1" si="4"/>
        <v>#NAME?</v>
      </c>
      <c r="E129" s="115" t="e">
        <f t="array" aca="1" ref="E129" ca="1">IF(OR(C128=0,AND(B130=0,C130=0)),"",IFERROR(INDEX($F$27:$F$36,MATCH(C129,($F$27:$F$36)*($D$27:$D$36&lt;&gt;0),0)),IF(OR(AND(D129=0,B129=0,B130&lt;&gt;0),AND(D129*D128&lt;0,B129&lt;&gt;0)),IF(D129=0,C129,C129*(1-ABS(D129)/(ABS(D129)+ABS(D128)))+C128*(1-ABS(D128)/(ABS(D129)+ABS(D128)))),"")))</f>
        <v>#NAME?</v>
      </c>
    </row>
    <row r="130" spans="2:5" x14ac:dyDescent="0.25">
      <c r="B130" t="e">
        <f t="shared" ca="1" si="5"/>
        <v>#NAME?</v>
      </c>
      <c r="C130">
        <v>87</v>
      </c>
      <c r="D130" t="e">
        <f t="shared" ca="1" si="4"/>
        <v>#NAME?</v>
      </c>
      <c r="E130" s="115" t="e">
        <f t="array" aca="1" ref="E130" ca="1">IF(OR(C129=0,AND(B131=0,C131=0)),"",IFERROR(INDEX($F$27:$F$36,MATCH(C130,($F$27:$F$36)*($D$27:$D$36&lt;&gt;0),0)),IF(OR(AND(D130=0,B130=0,B131&lt;&gt;0),AND(D130*D129&lt;0,B130&lt;&gt;0)),IF(D130=0,C130,C130*(1-ABS(D130)/(ABS(D130)+ABS(D129)))+C129*(1-ABS(D129)/(ABS(D130)+ABS(D129)))),"")))</f>
        <v>#NAME?</v>
      </c>
    </row>
    <row r="131" spans="2:5" x14ac:dyDescent="0.25">
      <c r="B131" t="e">
        <f t="shared" ca="1" si="5"/>
        <v>#NAME?</v>
      </c>
      <c r="C131">
        <v>88</v>
      </c>
      <c r="D131" t="e">
        <f t="shared" ca="1" si="4"/>
        <v>#NAME?</v>
      </c>
      <c r="E131" s="115" t="e">
        <f t="array" aca="1" ref="E131" ca="1">IF(OR(C130=0,AND(B132=0,C132=0)),"",IFERROR(INDEX($F$27:$F$36,MATCH(C131,($F$27:$F$36)*($D$27:$D$36&lt;&gt;0),0)),IF(OR(AND(D131=0,B131=0,B132&lt;&gt;0),AND(D131*D130&lt;0,B131&lt;&gt;0)),IF(D131=0,C131,C131*(1-ABS(D131)/(ABS(D131)+ABS(D130)))+C130*(1-ABS(D130)/(ABS(D131)+ABS(D130)))),"")))</f>
        <v>#NAME?</v>
      </c>
    </row>
    <row r="132" spans="2:5" x14ac:dyDescent="0.25">
      <c r="B132" t="e">
        <f t="shared" ca="1" si="5"/>
        <v>#NAME?</v>
      </c>
      <c r="C132">
        <v>89</v>
      </c>
      <c r="D132" t="e">
        <f t="shared" ca="1" si="4"/>
        <v>#NAME?</v>
      </c>
      <c r="E132" s="115" t="e">
        <f t="array" aca="1" ref="E132" ca="1">IF(OR(C131=0,AND(B133=0,C133=0)),"",IFERROR(INDEX($F$27:$F$36,MATCH(C132,($F$27:$F$36)*($D$27:$D$36&lt;&gt;0),0)),IF(OR(AND(D132=0,B132=0,B133&lt;&gt;0),AND(D132*D131&lt;0,B132&lt;&gt;0)),IF(D132=0,C132,C132*(1-ABS(D132)/(ABS(D132)+ABS(D131)))+C131*(1-ABS(D131)/(ABS(D132)+ABS(D131)))),"")))</f>
        <v>#NAME?</v>
      </c>
    </row>
    <row r="133" spans="2:5" x14ac:dyDescent="0.25">
      <c r="B133" t="e">
        <f t="shared" ca="1" si="5"/>
        <v>#NAME?</v>
      </c>
      <c r="C133">
        <v>90</v>
      </c>
      <c r="D133" t="e">
        <f t="shared" ca="1" si="4"/>
        <v>#NAME?</v>
      </c>
      <c r="E133" s="115" t="e">
        <f t="array" aca="1" ref="E133" ca="1">IF(OR(C132=0,AND(B134=0,C134=0)),"",IFERROR(INDEX($F$27:$F$36,MATCH(C133,($F$27:$F$36)*($D$27:$D$36&lt;&gt;0),0)),IF(OR(AND(D133=0,B133=0,B134&lt;&gt;0),AND(D133*D132&lt;0,B133&lt;&gt;0)),IF(D133=0,C133,C133*(1-ABS(D133)/(ABS(D133)+ABS(D132)))+C132*(1-ABS(D132)/(ABS(D133)+ABS(D132)))),"")))</f>
        <v>#NAME?</v>
      </c>
    </row>
    <row r="134" spans="2:5" x14ac:dyDescent="0.25">
      <c r="B134" t="e">
        <f t="shared" ca="1" si="5"/>
        <v>#NAME?</v>
      </c>
      <c r="C134">
        <v>91</v>
      </c>
      <c r="D134" t="e">
        <f t="shared" ca="1" si="4"/>
        <v>#NAME?</v>
      </c>
      <c r="E134" s="115" t="e">
        <f t="array" aca="1" ref="E134" ca="1">IF(OR(C133=0,AND(B135=0,C135=0)),"",IFERROR(INDEX($F$27:$F$36,MATCH(C134,($F$27:$F$36)*($D$27:$D$36&lt;&gt;0),0)),IF(OR(AND(D134=0,B134=0,B135&lt;&gt;0),AND(D134*D133&lt;0,B134&lt;&gt;0)),IF(D134=0,C134,C134*(1-ABS(D134)/(ABS(D134)+ABS(D133)))+C133*(1-ABS(D133)/(ABS(D134)+ABS(D133)))),"")))</f>
        <v>#NAME?</v>
      </c>
    </row>
    <row r="135" spans="2:5" x14ac:dyDescent="0.25">
      <c r="B135" t="e">
        <f t="shared" ca="1" si="5"/>
        <v>#NAME?</v>
      </c>
      <c r="C135">
        <v>92</v>
      </c>
      <c r="D135" t="e">
        <f t="shared" ca="1" si="4"/>
        <v>#NAME?</v>
      </c>
      <c r="E135" s="115" t="e">
        <f t="array" aca="1" ref="E135" ca="1">IF(OR(C134=0,AND(B136=0,C136=0)),"",IFERROR(INDEX($F$27:$F$36,MATCH(C135,($F$27:$F$36)*($D$27:$D$36&lt;&gt;0),0)),IF(OR(AND(D135=0,B135=0,B136&lt;&gt;0),AND(D135*D134&lt;0,B135&lt;&gt;0)),IF(D135=0,C135,C135*(1-ABS(D135)/(ABS(D135)+ABS(D134)))+C134*(1-ABS(D134)/(ABS(D135)+ABS(D134)))),"")))</f>
        <v>#NAME?</v>
      </c>
    </row>
    <row r="136" spans="2:5" x14ac:dyDescent="0.25">
      <c r="B136" t="e">
        <f t="shared" ca="1" si="5"/>
        <v>#NAME?</v>
      </c>
      <c r="C136">
        <v>93</v>
      </c>
      <c r="D136" t="e">
        <f t="shared" ca="1" si="4"/>
        <v>#NAME?</v>
      </c>
      <c r="E136" s="115" t="e">
        <f t="array" aca="1" ref="E136" ca="1">IF(OR(C135=0,AND(B137=0,C137=0)),"",IFERROR(INDEX($F$27:$F$36,MATCH(C136,($F$27:$F$36)*($D$27:$D$36&lt;&gt;0),0)),IF(OR(AND(D136=0,B136=0,B137&lt;&gt;0),AND(D136*D135&lt;0,B136&lt;&gt;0)),IF(D136=0,C136,C136*(1-ABS(D136)/(ABS(D136)+ABS(D135)))+C135*(1-ABS(D135)/(ABS(D136)+ABS(D135)))),"")))</f>
        <v>#NAME?</v>
      </c>
    </row>
    <row r="137" spans="2:5" x14ac:dyDescent="0.25">
      <c r="B137" t="e">
        <f t="shared" ca="1" si="5"/>
        <v>#NAME?</v>
      </c>
      <c r="C137">
        <v>94</v>
      </c>
      <c r="D137" t="e">
        <f t="shared" ca="1" si="4"/>
        <v>#NAME?</v>
      </c>
      <c r="E137" s="115" t="e">
        <f t="array" aca="1" ref="E137" ca="1">IF(OR(C136=0,AND(B138=0,C138=0)),"",IFERROR(INDEX($F$27:$F$36,MATCH(C137,($F$27:$F$36)*($D$27:$D$36&lt;&gt;0),0)),IF(OR(AND(D137=0,B137=0,B138&lt;&gt;0),AND(D137*D136&lt;0,B137&lt;&gt;0)),IF(D137=0,C137,C137*(1-ABS(D137)/(ABS(D137)+ABS(D136)))+C136*(1-ABS(D136)/(ABS(D137)+ABS(D136)))),"")))</f>
        <v>#NAME?</v>
      </c>
    </row>
    <row r="138" spans="2:5" x14ac:dyDescent="0.25">
      <c r="B138" t="e">
        <f t="shared" ca="1" si="5"/>
        <v>#NAME?</v>
      </c>
      <c r="C138">
        <v>95</v>
      </c>
      <c r="D138" t="e">
        <f t="shared" ca="1" si="4"/>
        <v>#NAME?</v>
      </c>
      <c r="E138" s="115" t="e">
        <f t="array" aca="1" ref="E138" ca="1">IF(OR(C137=0,AND(B139=0,C139=0)),"",IFERROR(INDEX($F$27:$F$36,MATCH(C138,($F$27:$F$36)*($D$27:$D$36&lt;&gt;0),0)),IF(OR(AND(D138=0,B138=0,B139&lt;&gt;0),AND(D138*D137&lt;0,B138&lt;&gt;0)),IF(D138=0,C138,C138*(1-ABS(D138)/(ABS(D138)+ABS(D137)))+C137*(1-ABS(D137)/(ABS(D138)+ABS(D137)))),"")))</f>
        <v>#NAME?</v>
      </c>
    </row>
    <row r="139" spans="2:5" x14ac:dyDescent="0.25">
      <c r="B139" t="e">
        <f t="shared" ca="1" si="5"/>
        <v>#NAME?</v>
      </c>
      <c r="C139">
        <v>96</v>
      </c>
      <c r="D139" t="e">
        <f t="shared" ca="1" si="4"/>
        <v>#NAME?</v>
      </c>
      <c r="E139" s="115" t="e">
        <f t="array" aca="1" ref="E139" ca="1">IF(OR(C138=0,AND(B140=0,C140=0)),"",IFERROR(INDEX($F$27:$F$36,MATCH(C139,($F$27:$F$36)*($D$27:$D$36&lt;&gt;0),0)),IF(OR(AND(D139=0,B139=0,B140&lt;&gt;0),AND(D139*D138&lt;0,B139&lt;&gt;0)),IF(D139=0,C139,C139*(1-ABS(D139)/(ABS(D139)+ABS(D138)))+C138*(1-ABS(D138)/(ABS(D139)+ABS(D138)))),"")))</f>
        <v>#NAME?</v>
      </c>
    </row>
    <row r="140" spans="2:5" x14ac:dyDescent="0.25">
      <c r="B140" t="e">
        <f t="shared" ca="1" si="5"/>
        <v>#NAME?</v>
      </c>
      <c r="C140">
        <v>97</v>
      </c>
      <c r="D140" t="e">
        <f t="shared" ca="1" si="4"/>
        <v>#NAME?</v>
      </c>
      <c r="E140" s="115" t="e">
        <f t="array" aca="1" ref="E140" ca="1">IF(OR(C139=0,AND(B141=0,C141=0)),"",IFERROR(INDEX($F$27:$F$36,MATCH(C140,($F$27:$F$36)*($D$27:$D$36&lt;&gt;0),0)),IF(OR(AND(D140=0,B140=0,B141&lt;&gt;0),AND(D140*D139&lt;0,B140&lt;&gt;0)),IF(D140=0,C140,C140*(1-ABS(D140)/(ABS(D140)+ABS(D139)))+C139*(1-ABS(D139)/(ABS(D140)+ABS(D139)))),"")))</f>
        <v>#NAME?</v>
      </c>
    </row>
    <row r="141" spans="2:5" x14ac:dyDescent="0.25">
      <c r="B141" t="e">
        <f t="shared" ca="1" si="5"/>
        <v>#NAME?</v>
      </c>
      <c r="C141">
        <v>98</v>
      </c>
      <c r="D141" t="e">
        <f t="shared" ca="1" si="4"/>
        <v>#NAME?</v>
      </c>
      <c r="E141" s="115" t="e">
        <f t="array" aca="1" ref="E141" ca="1">IF(OR(C140=0,AND(B142=0,C142=0)),"",IFERROR(INDEX($F$27:$F$36,MATCH(C141,($F$27:$F$36)*($D$27:$D$36&lt;&gt;0),0)),IF(OR(AND(D141=0,B141=0,B142&lt;&gt;0),AND(D141*D140&lt;0,B141&lt;&gt;0)),IF(D141=0,C141,C141*(1-ABS(D141)/(ABS(D141)+ABS(D140)))+C140*(1-ABS(D140)/(ABS(D141)+ABS(D140)))),"")))</f>
        <v>#NAME?</v>
      </c>
    </row>
    <row r="142" spans="2:5" x14ac:dyDescent="0.25">
      <c r="B142" t="e">
        <f t="shared" ca="1" si="5"/>
        <v>#NAME?</v>
      </c>
      <c r="C142">
        <v>99</v>
      </c>
      <c r="D142" t="e">
        <f t="shared" ca="1" si="4"/>
        <v>#NAME?</v>
      </c>
      <c r="E142" s="115" t="e">
        <f t="array" aca="1" ref="E142" ca="1">IF(OR(C141=0,AND(B143=0,C143=0)),"",IFERROR(INDEX($F$27:$F$36,MATCH(C142,($F$27:$F$36)*($D$27:$D$36&lt;&gt;0),0)),IF(OR(AND(D142=0,B142=0,B143&lt;&gt;0),AND(D142*D141&lt;0,B142&lt;&gt;0)),IF(D142=0,C142,C142*(1-ABS(D142)/(ABS(D142)+ABS(D141)))+C141*(1-ABS(D141)/(ABS(D142)+ABS(D141)))),"")))</f>
        <v>#NAME?</v>
      </c>
    </row>
    <row r="143" spans="2:5" x14ac:dyDescent="0.25">
      <c r="B143" t="e">
        <f t="shared" ca="1" si="5"/>
        <v>#NAME?</v>
      </c>
      <c r="C143">
        <v>100</v>
      </c>
      <c r="D143" t="e">
        <f t="shared" ca="1" si="4"/>
        <v>#NAME?</v>
      </c>
      <c r="E143" s="115" t="e">
        <f t="array" aca="1" ref="E143" ca="1">IF(OR(C142=0,AND(B144=0,C144=0)),"",IFERROR(INDEX($F$27:$F$36,MATCH(C143,($F$27:$F$36)*($D$27:$D$36&lt;&gt;0),0)),IF(OR(AND(D143=0,B143=0,B144&lt;&gt;0),AND(D143*D142&lt;0,B143&lt;&gt;0)),IF(D143=0,C143,C143*(1-ABS(D143)/(ABS(D143)+ABS(D142)))+C142*(1-ABS(D142)/(ABS(D143)+ABS(D142)))),"")))</f>
        <v>#NAME?</v>
      </c>
    </row>
    <row r="144" spans="2:5" x14ac:dyDescent="0.25">
      <c r="B144" t="e">
        <f t="shared" ca="1" si="5"/>
        <v>#NAME?</v>
      </c>
      <c r="C144">
        <v>101</v>
      </c>
      <c r="D144" t="e">
        <f t="shared" ca="1" si="4"/>
        <v>#NAME?</v>
      </c>
      <c r="E144" s="115" t="e">
        <f t="array" aca="1" ref="E144" ca="1">IF(OR(C143=0,AND(B145=0,C145=0)),"",IFERROR(INDEX($F$27:$F$36,MATCH(C144,($F$27:$F$36)*($D$27:$D$36&lt;&gt;0),0)),IF(OR(AND(D144=0,B144=0,B145&lt;&gt;0),AND(D144*D143&lt;0,B144&lt;&gt;0)),IF(D144=0,C144,C144*(1-ABS(D144)/(ABS(D144)+ABS(D143)))+C143*(1-ABS(D143)/(ABS(D144)+ABS(D143)))),"")))</f>
        <v>#NAME?</v>
      </c>
    </row>
    <row r="145" spans="2:5" x14ac:dyDescent="0.25">
      <c r="B145" t="e">
        <f t="shared" ca="1" si="5"/>
        <v>#NAME?</v>
      </c>
      <c r="C145">
        <v>102</v>
      </c>
      <c r="D145" t="e">
        <f t="shared" ca="1" si="4"/>
        <v>#NAME?</v>
      </c>
      <c r="E145" s="115" t="e">
        <f t="array" aca="1" ref="E145" ca="1">IF(OR(C144=0,AND(B146=0,C146=0)),"",IFERROR(INDEX($F$27:$F$36,MATCH(C145,($F$27:$F$36)*($D$27:$D$36&lt;&gt;0),0)),IF(OR(AND(D145=0,B145=0,B146&lt;&gt;0),AND(D145*D144&lt;0,B145&lt;&gt;0)),IF(D145=0,C145,C145*(1-ABS(D145)/(ABS(D145)+ABS(D144)))+C144*(1-ABS(D144)/(ABS(D145)+ABS(D144)))),"")))</f>
        <v>#NAME?</v>
      </c>
    </row>
    <row r="146" spans="2:5" x14ac:dyDescent="0.25">
      <c r="B146" t="e">
        <f t="shared" ca="1" si="5"/>
        <v>#NAME?</v>
      </c>
      <c r="C146">
        <v>103</v>
      </c>
      <c r="D146" t="e">
        <f t="shared" ca="1" si="4"/>
        <v>#NAME?</v>
      </c>
      <c r="E146" s="115" t="e">
        <f t="array" aca="1" ref="E146" ca="1">IF(OR(C145=0,AND(B147=0,C147=0)),"",IFERROR(INDEX($F$27:$F$36,MATCH(C146,($F$27:$F$36)*($D$27:$D$36&lt;&gt;0),0)),IF(OR(AND(D146=0,B146=0,B147&lt;&gt;0),AND(D146*D145&lt;0,B146&lt;&gt;0)),IF(D146=0,C146,C146*(1-ABS(D146)/(ABS(D146)+ABS(D145)))+C145*(1-ABS(D145)/(ABS(D146)+ABS(D145)))),"")))</f>
        <v>#NAME?</v>
      </c>
    </row>
    <row r="147" spans="2:5" x14ac:dyDescent="0.25">
      <c r="B147" t="e">
        <f t="shared" ca="1" si="5"/>
        <v>#NAME?</v>
      </c>
      <c r="C147">
        <v>104</v>
      </c>
      <c r="D147" t="e">
        <f t="shared" ca="1" si="4"/>
        <v>#NAME?</v>
      </c>
      <c r="E147" s="115" t="e">
        <f t="array" aca="1" ref="E147" ca="1">IF(OR(C146=0,AND(B148=0,C148=0)),"",IFERROR(INDEX($F$27:$F$36,MATCH(C147,($F$27:$F$36)*($D$27:$D$36&lt;&gt;0),0)),IF(OR(AND(D147=0,B147=0,B148&lt;&gt;0),AND(D147*D146&lt;0,B147&lt;&gt;0)),IF(D147=0,C147,C147*(1-ABS(D147)/(ABS(D147)+ABS(D146)))+C146*(1-ABS(D146)/(ABS(D147)+ABS(D146)))),"")))</f>
        <v>#NAME?</v>
      </c>
    </row>
    <row r="148" spans="2:5" x14ac:dyDescent="0.25">
      <c r="B148" t="e">
        <f t="shared" ca="1" si="5"/>
        <v>#NAME?</v>
      </c>
      <c r="C148">
        <v>105</v>
      </c>
      <c r="D148" t="e">
        <f t="shared" ca="1" si="4"/>
        <v>#NAME?</v>
      </c>
      <c r="E148" s="115" t="e">
        <f t="array" aca="1" ref="E148" ca="1">IF(OR(C147=0,AND(B149=0,C149=0)),"",IFERROR(INDEX($F$27:$F$36,MATCH(C148,($F$27:$F$36)*($D$27:$D$36&lt;&gt;0),0)),IF(OR(AND(D148=0,B148=0,B149&lt;&gt;0),AND(D148*D147&lt;0,B148&lt;&gt;0)),IF(D148=0,C148,C148*(1-ABS(D148)/(ABS(D148)+ABS(D147)))+C147*(1-ABS(D147)/(ABS(D148)+ABS(D147)))),"")))</f>
        <v>#NAME?</v>
      </c>
    </row>
    <row r="149" spans="2:5" x14ac:dyDescent="0.25">
      <c r="B149" t="e">
        <f t="shared" ca="1" si="5"/>
        <v>#NAME?</v>
      </c>
      <c r="C149">
        <v>106</v>
      </c>
      <c r="D149" t="e">
        <f t="shared" ca="1" si="4"/>
        <v>#NAME?</v>
      </c>
      <c r="E149" s="115" t="e">
        <f t="array" aca="1" ref="E149" ca="1">IF(OR(C148=0,AND(B150=0,C150=0)),"",IFERROR(INDEX($F$27:$F$36,MATCH(C149,($F$27:$F$36)*($D$27:$D$36&lt;&gt;0),0)),IF(OR(AND(D149=0,B149=0,B150&lt;&gt;0),AND(D149*D148&lt;0,B149&lt;&gt;0)),IF(D149=0,C149,C149*(1-ABS(D149)/(ABS(D149)+ABS(D148)))+C148*(1-ABS(D148)/(ABS(D149)+ABS(D148)))),"")))</f>
        <v>#NAME?</v>
      </c>
    </row>
    <row r="150" spans="2:5" x14ac:dyDescent="0.25">
      <c r="B150" t="e">
        <f t="shared" ca="1" si="5"/>
        <v>#NAME?</v>
      </c>
      <c r="C150">
        <v>107</v>
      </c>
      <c r="D150" t="e">
        <f t="shared" ca="1" si="4"/>
        <v>#NAME?</v>
      </c>
      <c r="E150" s="115" t="e">
        <f t="array" aca="1" ref="E150" ca="1">IF(OR(C149=0,AND(B151=0,C151=0)),"",IFERROR(INDEX($F$27:$F$36,MATCH(C150,($F$27:$F$36)*($D$27:$D$36&lt;&gt;0),0)),IF(OR(AND(D150=0,B150=0,B151&lt;&gt;0),AND(D150*D149&lt;0,B150&lt;&gt;0)),IF(D150=0,C150,C150*(1-ABS(D150)/(ABS(D150)+ABS(D149)))+C149*(1-ABS(D149)/(ABS(D150)+ABS(D149)))),"")))</f>
        <v>#NAME?</v>
      </c>
    </row>
    <row r="151" spans="2:5" x14ac:dyDescent="0.25">
      <c r="B151" t="e">
        <f t="shared" ca="1" si="5"/>
        <v>#NAME?</v>
      </c>
      <c r="C151">
        <v>108</v>
      </c>
      <c r="D151" t="e">
        <f t="shared" ca="1" si="4"/>
        <v>#NAME?</v>
      </c>
      <c r="E151" s="115" t="e">
        <f t="array" aca="1" ref="E151" ca="1">IF(OR(C150=0,AND(B152=0,C152=0)),"",IFERROR(INDEX($F$27:$F$36,MATCH(C151,($F$27:$F$36)*($D$27:$D$36&lt;&gt;0),0)),IF(OR(AND(D151=0,B151=0,B152&lt;&gt;0),AND(D151*D150&lt;0,B151&lt;&gt;0)),IF(D151=0,C151,C151*(1-ABS(D151)/(ABS(D151)+ABS(D150)))+C150*(1-ABS(D150)/(ABS(D151)+ABS(D150)))),"")))</f>
        <v>#NAME?</v>
      </c>
    </row>
    <row r="152" spans="2:5" x14ac:dyDescent="0.25">
      <c r="B152" t="e">
        <f t="shared" ca="1" si="5"/>
        <v>#NAME?</v>
      </c>
      <c r="C152">
        <v>109</v>
      </c>
      <c r="D152" t="e">
        <f t="shared" ca="1" si="4"/>
        <v>#NAME?</v>
      </c>
      <c r="E152" s="115" t="e">
        <f t="array" aca="1" ref="E152" ca="1">IF(OR(C151=0,AND(B153=0,C153=0)),"",IFERROR(INDEX($F$27:$F$36,MATCH(C152,($F$27:$F$36)*($D$27:$D$36&lt;&gt;0),0)),IF(OR(AND(D152=0,B152=0,B153&lt;&gt;0),AND(D152*D151&lt;0,B152&lt;&gt;0)),IF(D152=0,C152,C152*(1-ABS(D152)/(ABS(D152)+ABS(D151)))+C151*(1-ABS(D151)/(ABS(D152)+ABS(D151)))),"")))</f>
        <v>#NAME?</v>
      </c>
    </row>
    <row r="153" spans="2:5" x14ac:dyDescent="0.25">
      <c r="B153" t="e">
        <f t="shared" ca="1" si="5"/>
        <v>#NAME?</v>
      </c>
      <c r="C153">
        <v>110</v>
      </c>
      <c r="D153" t="e">
        <f t="shared" ca="1" si="4"/>
        <v>#NAME?</v>
      </c>
      <c r="E153" s="115" t="e">
        <f t="array" aca="1" ref="E153" ca="1">IF(OR(C152=0,AND(B154=0,C154=0)),"",IFERROR(INDEX($F$27:$F$36,MATCH(C153,($F$27:$F$36)*($D$27:$D$36&lt;&gt;0),0)),IF(OR(AND(D153=0,B153=0,B154&lt;&gt;0),AND(D153*D152&lt;0,B153&lt;&gt;0)),IF(D153=0,C153,C153*(1-ABS(D153)/(ABS(D153)+ABS(D152)))+C152*(1-ABS(D152)/(ABS(D153)+ABS(D152)))),"")))</f>
        <v>#NAME?</v>
      </c>
    </row>
    <row r="154" spans="2:5" x14ac:dyDescent="0.25">
      <c r="B154" t="e">
        <f t="shared" ca="1" si="5"/>
        <v>#NAME?</v>
      </c>
      <c r="C154">
        <v>111</v>
      </c>
      <c r="D154" t="e">
        <f t="shared" ca="1" si="4"/>
        <v>#NAME?</v>
      </c>
      <c r="E154" s="115" t="e">
        <f t="array" aca="1" ref="E154" ca="1">IF(OR(C153=0,AND(B155=0,C155=0)),"",IFERROR(INDEX($F$27:$F$36,MATCH(C154,($F$27:$F$36)*($D$27:$D$36&lt;&gt;0),0)),IF(OR(AND(D154=0,B154=0,B155&lt;&gt;0),AND(D154*D153&lt;0,B154&lt;&gt;0)),IF(D154=0,C154,C154*(1-ABS(D154)/(ABS(D154)+ABS(D153)))+C153*(1-ABS(D153)/(ABS(D154)+ABS(D153)))),"")))</f>
        <v>#NAME?</v>
      </c>
    </row>
    <row r="155" spans="2:5" x14ac:dyDescent="0.25">
      <c r="B155" t="e">
        <f t="shared" ca="1" si="5"/>
        <v>#NAME?</v>
      </c>
      <c r="C155">
        <v>112</v>
      </c>
      <c r="D155" t="e">
        <f t="shared" ca="1" si="4"/>
        <v>#NAME?</v>
      </c>
      <c r="E155" s="115" t="e">
        <f t="array" aca="1" ref="E155" ca="1">IF(OR(C154=0,AND(B156=0,C156=0)),"",IFERROR(INDEX($F$27:$F$36,MATCH(C155,($F$27:$F$36)*($D$27:$D$36&lt;&gt;0),0)),IF(OR(AND(D155=0,B155=0,B156&lt;&gt;0),AND(D155*D154&lt;0,B155&lt;&gt;0)),IF(D155=0,C155,C155*(1-ABS(D155)/(ABS(D155)+ABS(D154)))+C154*(1-ABS(D154)/(ABS(D155)+ABS(D154)))),"")))</f>
        <v>#NAME?</v>
      </c>
    </row>
    <row r="156" spans="2:5" x14ac:dyDescent="0.25">
      <c r="B156" t="e">
        <f t="shared" ca="1" si="5"/>
        <v>#NAME?</v>
      </c>
      <c r="C156">
        <v>113</v>
      </c>
      <c r="D156" t="e">
        <f t="shared" ca="1" si="4"/>
        <v>#NAME?</v>
      </c>
      <c r="E156" s="115" t="e">
        <f t="array" aca="1" ref="E156" ca="1">IF(OR(C155=0,AND(B157=0,C157=0)),"",IFERROR(INDEX($F$27:$F$36,MATCH(C156,($F$27:$F$36)*($D$27:$D$36&lt;&gt;0),0)),IF(OR(AND(D156=0,B156=0,B157&lt;&gt;0),AND(D156*D155&lt;0,B156&lt;&gt;0)),IF(D156=0,C156,C156*(1-ABS(D156)/(ABS(D156)+ABS(D155)))+C155*(1-ABS(D155)/(ABS(D156)+ABS(D155)))),"")))</f>
        <v>#NAME?</v>
      </c>
    </row>
    <row r="157" spans="2:5" x14ac:dyDescent="0.25">
      <c r="B157" t="e">
        <f t="shared" ca="1" si="5"/>
        <v>#NAME?</v>
      </c>
      <c r="C157">
        <v>114</v>
      </c>
      <c r="D157" t="e">
        <f t="shared" ca="1" si="4"/>
        <v>#NAME?</v>
      </c>
      <c r="E157" s="115" t="e">
        <f t="array" aca="1" ref="E157" ca="1">IF(OR(C156=0,AND(B158=0,C158=0)),"",IFERROR(INDEX($F$27:$F$36,MATCH(C157,($F$27:$F$36)*($D$27:$D$36&lt;&gt;0),0)),IF(OR(AND(D157=0,B157=0,B158&lt;&gt;0),AND(D157*D156&lt;0,B157&lt;&gt;0)),IF(D157=0,C157,C157*(1-ABS(D157)/(ABS(D157)+ABS(D156)))+C156*(1-ABS(D156)/(ABS(D157)+ABS(D156)))),"")))</f>
        <v>#NAME?</v>
      </c>
    </row>
    <row r="158" spans="2:5" x14ac:dyDescent="0.25">
      <c r="B158" t="e">
        <f t="shared" ca="1" si="5"/>
        <v>#NAME?</v>
      </c>
      <c r="C158">
        <v>115</v>
      </c>
      <c r="D158" t="e">
        <f t="shared" ca="1" si="4"/>
        <v>#NAME?</v>
      </c>
      <c r="E158" s="115" t="e">
        <f t="array" aca="1" ref="E158" ca="1">IF(OR(C157=0,AND(B159=0,C159=0)),"",IFERROR(INDEX($F$27:$F$36,MATCH(C158,($F$27:$F$36)*($D$27:$D$36&lt;&gt;0),0)),IF(OR(AND(D158=0,B158=0,B159&lt;&gt;0),AND(D158*D157&lt;0,B158&lt;&gt;0)),IF(D158=0,C158,C158*(1-ABS(D158)/(ABS(D158)+ABS(D157)))+C157*(1-ABS(D157)/(ABS(D158)+ABS(D157)))),"")))</f>
        <v>#NAME?</v>
      </c>
    </row>
    <row r="159" spans="2:5" x14ac:dyDescent="0.25">
      <c r="B159" t="e">
        <f t="shared" ca="1" si="5"/>
        <v>#NAME?</v>
      </c>
      <c r="C159">
        <v>116</v>
      </c>
      <c r="D159" t="e">
        <f t="shared" ca="1" si="4"/>
        <v>#NAME?</v>
      </c>
      <c r="E159" s="115" t="e">
        <f t="array" aca="1" ref="E159" ca="1">IF(OR(C158=0,AND(B160=0,C160=0)),"",IFERROR(INDEX($F$27:$F$36,MATCH(C159,($F$27:$F$36)*($D$27:$D$36&lt;&gt;0),0)),IF(OR(AND(D159=0,B159=0,B160&lt;&gt;0),AND(D159*D158&lt;0,B159&lt;&gt;0)),IF(D159=0,C159,C159*(1-ABS(D159)/(ABS(D159)+ABS(D158)))+C158*(1-ABS(D158)/(ABS(D159)+ABS(D158)))),"")))</f>
        <v>#NAME?</v>
      </c>
    </row>
    <row r="160" spans="2:5" x14ac:dyDescent="0.25">
      <c r="B160" t="e">
        <f t="shared" ca="1" si="5"/>
        <v>#NAME?</v>
      </c>
      <c r="C160">
        <v>117</v>
      </c>
      <c r="D160" t="e">
        <f t="shared" ca="1" si="4"/>
        <v>#NAME?</v>
      </c>
      <c r="E160" s="115" t="e">
        <f t="array" aca="1" ref="E160" ca="1">IF(OR(C159=0,AND(B161=0,C161=0)),"",IFERROR(INDEX($F$27:$F$36,MATCH(C160,($F$27:$F$36)*($D$27:$D$36&lt;&gt;0),0)),IF(OR(AND(D160=0,B160=0,B161&lt;&gt;0),AND(D160*D159&lt;0,B160&lt;&gt;0)),IF(D160=0,C160,C160*(1-ABS(D160)/(ABS(D160)+ABS(D159)))+C159*(1-ABS(D159)/(ABS(D160)+ABS(D159)))),"")))</f>
        <v>#NAME?</v>
      </c>
    </row>
    <row r="161" spans="2:5" x14ac:dyDescent="0.25">
      <c r="B161" t="e">
        <f t="shared" ca="1" si="5"/>
        <v>#NAME?</v>
      </c>
      <c r="C161">
        <v>118</v>
      </c>
      <c r="D161" t="e">
        <f t="shared" ca="1" si="4"/>
        <v>#NAME?</v>
      </c>
      <c r="E161" s="115" t="e">
        <f t="array" aca="1" ref="E161" ca="1">IF(OR(C160=0,AND(B162=0,C162=0)),"",IFERROR(INDEX($F$27:$F$36,MATCH(C161,($F$27:$F$36)*($D$27:$D$36&lt;&gt;0),0)),IF(OR(AND(D161=0,B161=0,B162&lt;&gt;0),AND(D161*D160&lt;0,B161&lt;&gt;0)),IF(D161=0,C161,C161*(1-ABS(D161)/(ABS(D161)+ABS(D160)))+C160*(1-ABS(D160)/(ABS(D161)+ABS(D160)))),"")))</f>
        <v>#NAME?</v>
      </c>
    </row>
    <row r="162" spans="2:5" x14ac:dyDescent="0.25">
      <c r="B162" t="e">
        <f t="shared" ca="1" si="5"/>
        <v>#NAME?</v>
      </c>
      <c r="C162">
        <v>119</v>
      </c>
      <c r="D162" t="e">
        <f t="shared" ca="1" si="4"/>
        <v>#NAME?</v>
      </c>
      <c r="E162" s="115" t="e">
        <f t="array" aca="1" ref="E162" ca="1">IF(OR(C161=0,AND(B163=0,C163=0)),"",IFERROR(INDEX($F$27:$F$36,MATCH(C162,($F$27:$F$36)*($D$27:$D$36&lt;&gt;0),0)),IF(OR(AND(D162=0,B162=0,B163&lt;&gt;0),AND(D162*D161&lt;0,B162&lt;&gt;0)),IF(D162=0,C162,C162*(1-ABS(D162)/(ABS(D162)+ABS(D161)))+C161*(1-ABS(D161)/(ABS(D162)+ABS(D161)))),"")))</f>
        <v>#NAME?</v>
      </c>
    </row>
    <row r="163" spans="2:5" x14ac:dyDescent="0.25">
      <c r="B163" t="e">
        <f t="shared" ca="1" si="5"/>
        <v>#NAME?</v>
      </c>
      <c r="C163">
        <v>120</v>
      </c>
      <c r="D163" t="e">
        <f t="shared" ca="1" si="4"/>
        <v>#NAME?</v>
      </c>
      <c r="E163" s="115" t="e">
        <f t="array" aca="1" ref="E163" ca="1">IF(OR(C162=0,AND(B164=0,C164=0)),"",IFERROR(INDEX($F$27:$F$36,MATCH(C163,($F$27:$F$36)*($D$27:$D$36&lt;&gt;0),0)),IF(OR(AND(D163=0,B163=0,B164&lt;&gt;0),AND(D163*D162&lt;0,B163&lt;&gt;0)),IF(D163=0,C163,C163*(1-ABS(D163)/(ABS(D163)+ABS(D162)))+C162*(1-ABS(D162)/(ABS(D163)+ABS(D162)))),"")))</f>
        <v>#NAME?</v>
      </c>
    </row>
    <row r="164" spans="2:5" x14ac:dyDescent="0.25">
      <c r="B164" t="e">
        <f t="shared" ca="1" si="5"/>
        <v>#NAME?</v>
      </c>
      <c r="C164">
        <v>121</v>
      </c>
      <c r="D164" t="e">
        <f t="shared" ca="1" si="4"/>
        <v>#NAME?</v>
      </c>
      <c r="E164" s="115" t="e">
        <f t="array" aca="1" ref="E164" ca="1">IF(OR(C163=0,AND(B165=0,C165=0)),"",IFERROR(INDEX($F$27:$F$36,MATCH(C164,($F$27:$F$36)*($D$27:$D$36&lt;&gt;0),0)),IF(OR(AND(D164=0,B164=0,B165&lt;&gt;0),AND(D164*D163&lt;0,B164&lt;&gt;0)),IF(D164=0,C164,C164*(1-ABS(D164)/(ABS(D164)+ABS(D163)))+C163*(1-ABS(D163)/(ABS(D164)+ABS(D163)))),"")))</f>
        <v>#NAME?</v>
      </c>
    </row>
    <row r="165" spans="2:5" x14ac:dyDescent="0.25">
      <c r="B165" t="e">
        <f t="shared" ca="1" si="5"/>
        <v>#NAME?</v>
      </c>
      <c r="C165">
        <v>122</v>
      </c>
      <c r="D165" t="e">
        <f t="shared" ca="1" si="4"/>
        <v>#NAME?</v>
      </c>
      <c r="E165" s="115" t="e">
        <f t="array" aca="1" ref="E165" ca="1">IF(OR(C164=0,AND(B166=0,C166=0)),"",IFERROR(INDEX($F$27:$F$36,MATCH(C165,($F$27:$F$36)*($D$27:$D$36&lt;&gt;0),0)),IF(OR(AND(D165=0,B165=0,B166&lt;&gt;0),AND(D165*D164&lt;0,B165&lt;&gt;0)),IF(D165=0,C165,C165*(1-ABS(D165)/(ABS(D165)+ABS(D164)))+C164*(1-ABS(D164)/(ABS(D165)+ABS(D164)))),"")))</f>
        <v>#NAME?</v>
      </c>
    </row>
    <row r="166" spans="2:5" x14ac:dyDescent="0.25">
      <c r="B166" t="e">
        <f t="shared" ca="1" si="5"/>
        <v>#NAME?</v>
      </c>
      <c r="C166">
        <v>123</v>
      </c>
      <c r="D166" t="e">
        <f t="shared" ca="1" si="4"/>
        <v>#NAME?</v>
      </c>
      <c r="E166" s="115" t="e">
        <f t="array" aca="1" ref="E166" ca="1">IF(OR(C165=0,AND(B167=0,C167=0)),"",IFERROR(INDEX($F$27:$F$36,MATCH(C166,($F$27:$F$36)*($D$27:$D$36&lt;&gt;0),0)),IF(OR(AND(D166=0,B166=0,B167&lt;&gt;0),AND(D166*D165&lt;0,B166&lt;&gt;0)),IF(D166=0,C166,C166*(1-ABS(D166)/(ABS(D166)+ABS(D165)))+C165*(1-ABS(D165)/(ABS(D166)+ABS(D165)))),"")))</f>
        <v>#NAME?</v>
      </c>
    </row>
    <row r="167" spans="2:5" x14ac:dyDescent="0.25">
      <c r="B167" t="e">
        <f t="shared" ca="1" si="5"/>
        <v>#NAME?</v>
      </c>
      <c r="C167">
        <v>124</v>
      </c>
      <c r="D167" t="e">
        <f t="shared" ca="1" si="4"/>
        <v>#NAME?</v>
      </c>
      <c r="E167" s="115" t="e">
        <f t="array" aca="1" ref="E167" ca="1">IF(OR(C166=0,AND(B168=0,C168=0)),"",IFERROR(INDEX($F$27:$F$36,MATCH(C167,($F$27:$F$36)*($D$27:$D$36&lt;&gt;0),0)),IF(OR(AND(D167=0,B167=0,B168&lt;&gt;0),AND(D167*D166&lt;0,B167&lt;&gt;0)),IF(D167=0,C167,C167*(1-ABS(D167)/(ABS(D167)+ABS(D166)))+C166*(1-ABS(D166)/(ABS(D167)+ABS(D166)))),"")))</f>
        <v>#NAME?</v>
      </c>
    </row>
    <row r="168" spans="2:5" x14ac:dyDescent="0.25">
      <c r="B168" t="e">
        <f t="shared" ca="1" si="5"/>
        <v>#NAME?</v>
      </c>
      <c r="C168">
        <v>125</v>
      </c>
      <c r="D168" t="e">
        <f t="shared" ca="1" si="4"/>
        <v>#NAME?</v>
      </c>
      <c r="E168" s="115" t="e">
        <f t="array" aca="1" ref="E168" ca="1">IF(OR(C167=0,AND(B169=0,C169=0)),"",IFERROR(INDEX($F$27:$F$36,MATCH(C168,($F$27:$F$36)*($D$27:$D$36&lt;&gt;0),0)),IF(OR(AND(D168=0,B168=0,B169&lt;&gt;0),AND(D168*D167&lt;0,B168&lt;&gt;0)),IF(D168=0,C168,C168*(1-ABS(D168)/(ABS(D168)+ABS(D167)))+C167*(1-ABS(D167)/(ABS(D168)+ABS(D167)))),"")))</f>
        <v>#NAME?</v>
      </c>
    </row>
    <row r="169" spans="2:5" x14ac:dyDescent="0.25">
      <c r="B169" t="e">
        <f t="shared" ca="1" si="5"/>
        <v>#NAME?</v>
      </c>
      <c r="C169">
        <v>126</v>
      </c>
      <c r="D169" t="e">
        <f t="shared" ca="1" si="4"/>
        <v>#NAME?</v>
      </c>
      <c r="E169" s="115" t="e">
        <f t="array" aca="1" ref="E169" ca="1">IF(OR(C168=0,AND(B170=0,C170=0)),"",IFERROR(INDEX($F$27:$F$36,MATCH(C169,($F$27:$F$36)*($D$27:$D$36&lt;&gt;0),0)),IF(OR(AND(D169=0,B169=0,B170&lt;&gt;0),AND(D169*D168&lt;0,B169&lt;&gt;0)),IF(D169=0,C169,C169*(1-ABS(D169)/(ABS(D169)+ABS(D168)))+C168*(1-ABS(D168)/(ABS(D169)+ABS(D168)))),"")))</f>
        <v>#NAME?</v>
      </c>
    </row>
    <row r="170" spans="2:5" x14ac:dyDescent="0.25">
      <c r="B170" t="e">
        <f t="shared" ca="1" si="5"/>
        <v>#NAME?</v>
      </c>
      <c r="C170">
        <v>127</v>
      </c>
      <c r="D170" t="e">
        <f t="shared" ca="1" si="4"/>
        <v>#NAME?</v>
      </c>
      <c r="E170" s="115" t="e">
        <f t="array" aca="1" ref="E170" ca="1">IF(OR(C169=0,AND(B171=0,C171=0)),"",IFERROR(INDEX($F$27:$F$36,MATCH(C170,($F$27:$F$36)*($D$27:$D$36&lt;&gt;0),0)),IF(OR(AND(D170=0,B170=0,B171&lt;&gt;0),AND(D170*D169&lt;0,B170&lt;&gt;0)),IF(D170=0,C170,C170*(1-ABS(D170)/(ABS(D170)+ABS(D169)))+C169*(1-ABS(D169)/(ABS(D170)+ABS(D169)))),"")))</f>
        <v>#NAME?</v>
      </c>
    </row>
    <row r="171" spans="2:5" x14ac:dyDescent="0.25">
      <c r="B171" t="e">
        <f t="shared" ca="1" si="5"/>
        <v>#NAME?</v>
      </c>
      <c r="C171">
        <v>128</v>
      </c>
      <c r="D171" t="e">
        <f t="shared" ref="D171:D234" ca="1" si="6">SUMPRODUCT(--($J$27:$J$37&gt;0),--($C171-$F$27:$F$37&gt;0),($D$27:$D$37),($C171-$F$27:$F$37))+SUMPRODUCT(--($J$27:$J$37&lt;0),--($F$27:$F$37-$C171&gt;0),($D$27:$D$37),($F$27:$F$37-$C171))-SUMPRODUCT($D$27:$D$37,$E$27:$E$37)</f>
        <v>#NAME?</v>
      </c>
      <c r="E171" s="115" t="e">
        <f t="array" aca="1" ref="E171" ca="1">IF(OR(C170=0,AND(B172=0,C172=0)),"",IFERROR(INDEX($F$27:$F$36,MATCH(C171,($F$27:$F$36)*($D$27:$D$36&lt;&gt;0),0)),IF(OR(AND(D171=0,B171=0,B172&lt;&gt;0),AND(D171*D170&lt;0,B171&lt;&gt;0)),IF(D171=0,C171,C171*(1-ABS(D171)/(ABS(D171)+ABS(D170)))+C170*(1-ABS(D170)/(ABS(D171)+ABS(D170)))),"")))</f>
        <v>#NAME?</v>
      </c>
    </row>
    <row r="172" spans="2:5" x14ac:dyDescent="0.25">
      <c r="B172" t="e">
        <f t="shared" ref="B172:B235" ca="1" si="7">ROUND((D172-D171)/(C172-C171),12)</f>
        <v>#NAME?</v>
      </c>
      <c r="C172">
        <v>129</v>
      </c>
      <c r="D172" t="e">
        <f t="shared" ca="1" si="6"/>
        <v>#NAME?</v>
      </c>
      <c r="E172" s="115" t="e">
        <f t="array" aca="1" ref="E172" ca="1">IF(OR(C171=0,AND(B173=0,C173=0)),"",IFERROR(INDEX($F$27:$F$36,MATCH(C172,($F$27:$F$36)*($D$27:$D$36&lt;&gt;0),0)),IF(OR(AND(D172=0,B172=0,B173&lt;&gt;0),AND(D172*D171&lt;0,B172&lt;&gt;0)),IF(D172=0,C172,C172*(1-ABS(D172)/(ABS(D172)+ABS(D171)))+C171*(1-ABS(D171)/(ABS(D172)+ABS(D171)))),"")))</f>
        <v>#NAME?</v>
      </c>
    </row>
    <row r="173" spans="2:5" x14ac:dyDescent="0.25">
      <c r="B173" t="e">
        <f t="shared" ca="1" si="7"/>
        <v>#NAME?</v>
      </c>
      <c r="C173">
        <v>130</v>
      </c>
      <c r="D173" t="e">
        <f t="shared" ca="1" si="6"/>
        <v>#NAME?</v>
      </c>
      <c r="E173" s="115" t="e">
        <f t="array" aca="1" ref="E173" ca="1">IF(OR(C172=0,AND(B174=0,C174=0)),"",IFERROR(INDEX($F$27:$F$36,MATCH(C173,($F$27:$F$36)*($D$27:$D$36&lt;&gt;0),0)),IF(OR(AND(D173=0,B173=0,B174&lt;&gt;0),AND(D173*D172&lt;0,B173&lt;&gt;0)),IF(D173=0,C173,C173*(1-ABS(D173)/(ABS(D173)+ABS(D172)))+C172*(1-ABS(D172)/(ABS(D173)+ABS(D172)))),"")))</f>
        <v>#NAME?</v>
      </c>
    </row>
    <row r="174" spans="2:5" x14ac:dyDescent="0.25">
      <c r="B174" t="e">
        <f t="shared" ca="1" si="7"/>
        <v>#NAME?</v>
      </c>
      <c r="C174">
        <v>131</v>
      </c>
      <c r="D174" t="e">
        <f t="shared" ca="1" si="6"/>
        <v>#NAME?</v>
      </c>
      <c r="E174" s="115" t="e">
        <f t="array" aca="1" ref="E174" ca="1">IF(OR(C173=0,AND(B175=0,C175=0)),"",IFERROR(INDEX($F$27:$F$36,MATCH(C174,($F$27:$F$36)*($D$27:$D$36&lt;&gt;0),0)),IF(OR(AND(D174=0,B174=0,B175&lt;&gt;0),AND(D174*D173&lt;0,B174&lt;&gt;0)),IF(D174=0,C174,C174*(1-ABS(D174)/(ABS(D174)+ABS(D173)))+C173*(1-ABS(D173)/(ABS(D174)+ABS(D173)))),"")))</f>
        <v>#NAME?</v>
      </c>
    </row>
    <row r="175" spans="2:5" x14ac:dyDescent="0.25">
      <c r="B175" t="e">
        <f t="shared" ca="1" si="7"/>
        <v>#NAME?</v>
      </c>
      <c r="C175">
        <v>132</v>
      </c>
      <c r="D175" t="e">
        <f t="shared" ca="1" si="6"/>
        <v>#NAME?</v>
      </c>
      <c r="E175" s="115" t="e">
        <f t="array" aca="1" ref="E175" ca="1">IF(OR(C174=0,AND(B176=0,C176=0)),"",IFERROR(INDEX($F$27:$F$36,MATCH(C175,($F$27:$F$36)*($D$27:$D$36&lt;&gt;0),0)),IF(OR(AND(D175=0,B175=0,B176&lt;&gt;0),AND(D175*D174&lt;0,B175&lt;&gt;0)),IF(D175=0,C175,C175*(1-ABS(D175)/(ABS(D175)+ABS(D174)))+C174*(1-ABS(D174)/(ABS(D175)+ABS(D174)))),"")))</f>
        <v>#NAME?</v>
      </c>
    </row>
    <row r="176" spans="2:5" x14ac:dyDescent="0.25">
      <c r="B176" t="e">
        <f t="shared" ca="1" si="7"/>
        <v>#NAME?</v>
      </c>
      <c r="C176">
        <v>133</v>
      </c>
      <c r="D176" t="e">
        <f t="shared" ca="1" si="6"/>
        <v>#NAME?</v>
      </c>
      <c r="E176" s="115" t="e">
        <f t="array" aca="1" ref="E176" ca="1">IF(OR(C175=0,AND(B177=0,C177=0)),"",IFERROR(INDEX($F$27:$F$36,MATCH(C176,($F$27:$F$36)*($D$27:$D$36&lt;&gt;0),0)),IF(OR(AND(D176=0,B176=0,B177&lt;&gt;0),AND(D176*D175&lt;0,B176&lt;&gt;0)),IF(D176=0,C176,C176*(1-ABS(D176)/(ABS(D176)+ABS(D175)))+C175*(1-ABS(D175)/(ABS(D176)+ABS(D175)))),"")))</f>
        <v>#NAME?</v>
      </c>
    </row>
    <row r="177" spans="2:5" x14ac:dyDescent="0.25">
      <c r="B177" t="e">
        <f t="shared" ca="1" si="7"/>
        <v>#NAME?</v>
      </c>
      <c r="C177">
        <v>134</v>
      </c>
      <c r="D177" t="e">
        <f t="shared" ca="1" si="6"/>
        <v>#NAME?</v>
      </c>
      <c r="E177" s="115" t="e">
        <f t="array" aca="1" ref="E177" ca="1">IF(OR(C176=0,AND(B178=0,C178=0)),"",IFERROR(INDEX($F$27:$F$36,MATCH(C177,($F$27:$F$36)*($D$27:$D$36&lt;&gt;0),0)),IF(OR(AND(D177=0,B177=0,B178&lt;&gt;0),AND(D177*D176&lt;0,B177&lt;&gt;0)),IF(D177=0,C177,C177*(1-ABS(D177)/(ABS(D177)+ABS(D176)))+C176*(1-ABS(D176)/(ABS(D177)+ABS(D176)))),"")))</f>
        <v>#NAME?</v>
      </c>
    </row>
    <row r="178" spans="2:5" x14ac:dyDescent="0.25">
      <c r="B178" t="e">
        <f t="shared" ca="1" si="7"/>
        <v>#NAME?</v>
      </c>
      <c r="C178">
        <v>135</v>
      </c>
      <c r="D178" t="e">
        <f t="shared" ca="1" si="6"/>
        <v>#NAME?</v>
      </c>
      <c r="E178" s="115" t="e">
        <f t="array" aca="1" ref="E178" ca="1">IF(OR(C177=0,AND(B179=0,C179=0)),"",IFERROR(INDEX($F$27:$F$36,MATCH(C178,($F$27:$F$36)*($D$27:$D$36&lt;&gt;0),0)),IF(OR(AND(D178=0,B178=0,B179&lt;&gt;0),AND(D178*D177&lt;0,B178&lt;&gt;0)),IF(D178=0,C178,C178*(1-ABS(D178)/(ABS(D178)+ABS(D177)))+C177*(1-ABS(D177)/(ABS(D178)+ABS(D177)))),"")))</f>
        <v>#NAME?</v>
      </c>
    </row>
    <row r="179" spans="2:5" x14ac:dyDescent="0.25">
      <c r="B179" t="e">
        <f t="shared" ca="1" si="7"/>
        <v>#NAME?</v>
      </c>
      <c r="C179">
        <v>136</v>
      </c>
      <c r="D179" t="e">
        <f t="shared" ca="1" si="6"/>
        <v>#NAME?</v>
      </c>
      <c r="E179" s="115" t="e">
        <f t="array" aca="1" ref="E179" ca="1">IF(OR(C178=0,AND(B180=0,C180=0)),"",IFERROR(INDEX($F$27:$F$36,MATCH(C179,($F$27:$F$36)*($D$27:$D$36&lt;&gt;0),0)),IF(OR(AND(D179=0,B179=0,B180&lt;&gt;0),AND(D179*D178&lt;0,B179&lt;&gt;0)),IF(D179=0,C179,C179*(1-ABS(D179)/(ABS(D179)+ABS(D178)))+C178*(1-ABS(D178)/(ABS(D179)+ABS(D178)))),"")))</f>
        <v>#NAME?</v>
      </c>
    </row>
    <row r="180" spans="2:5" x14ac:dyDescent="0.25">
      <c r="B180" t="e">
        <f t="shared" ca="1" si="7"/>
        <v>#NAME?</v>
      </c>
      <c r="C180">
        <v>137</v>
      </c>
      <c r="D180" t="e">
        <f t="shared" ca="1" si="6"/>
        <v>#NAME?</v>
      </c>
      <c r="E180" s="115" t="e">
        <f t="array" aca="1" ref="E180" ca="1">IF(OR(C179=0,AND(B181=0,C181=0)),"",IFERROR(INDEX($F$27:$F$36,MATCH(C180,($F$27:$F$36)*($D$27:$D$36&lt;&gt;0),0)),IF(OR(AND(D180=0,B180=0,B181&lt;&gt;0),AND(D180*D179&lt;0,B180&lt;&gt;0)),IF(D180=0,C180,C180*(1-ABS(D180)/(ABS(D180)+ABS(D179)))+C179*(1-ABS(D179)/(ABS(D180)+ABS(D179)))),"")))</f>
        <v>#NAME?</v>
      </c>
    </row>
    <row r="181" spans="2:5" x14ac:dyDescent="0.25">
      <c r="B181" t="e">
        <f t="shared" ca="1" si="7"/>
        <v>#NAME?</v>
      </c>
      <c r="C181">
        <v>138</v>
      </c>
      <c r="D181" t="e">
        <f t="shared" ca="1" si="6"/>
        <v>#NAME?</v>
      </c>
      <c r="E181" s="115" t="e">
        <f t="array" aca="1" ref="E181" ca="1">IF(OR(C180=0,AND(B182=0,C182=0)),"",IFERROR(INDEX($F$27:$F$36,MATCH(C181,($F$27:$F$36)*($D$27:$D$36&lt;&gt;0),0)),IF(OR(AND(D181=0,B181=0,B182&lt;&gt;0),AND(D181*D180&lt;0,B181&lt;&gt;0)),IF(D181=0,C181,C181*(1-ABS(D181)/(ABS(D181)+ABS(D180)))+C180*(1-ABS(D180)/(ABS(D181)+ABS(D180)))),"")))</f>
        <v>#NAME?</v>
      </c>
    </row>
    <row r="182" spans="2:5" x14ac:dyDescent="0.25">
      <c r="B182" t="e">
        <f t="shared" ca="1" si="7"/>
        <v>#NAME?</v>
      </c>
      <c r="C182">
        <v>139</v>
      </c>
      <c r="D182" t="e">
        <f t="shared" ca="1" si="6"/>
        <v>#NAME?</v>
      </c>
      <c r="E182" s="115" t="e">
        <f t="array" aca="1" ref="E182" ca="1">IF(OR(C181=0,AND(B183=0,C183=0)),"",IFERROR(INDEX($F$27:$F$36,MATCH(C182,($F$27:$F$36)*($D$27:$D$36&lt;&gt;0),0)),IF(OR(AND(D182=0,B182=0,B183&lt;&gt;0),AND(D182*D181&lt;0,B182&lt;&gt;0)),IF(D182=0,C182,C182*(1-ABS(D182)/(ABS(D182)+ABS(D181)))+C181*(1-ABS(D181)/(ABS(D182)+ABS(D181)))),"")))</f>
        <v>#NAME?</v>
      </c>
    </row>
    <row r="183" spans="2:5" x14ac:dyDescent="0.25">
      <c r="B183" t="e">
        <f t="shared" ca="1" si="7"/>
        <v>#NAME?</v>
      </c>
      <c r="C183">
        <v>140</v>
      </c>
      <c r="D183" t="e">
        <f t="shared" ca="1" si="6"/>
        <v>#NAME?</v>
      </c>
      <c r="E183" s="115" t="e">
        <f t="array" aca="1" ref="E183" ca="1">IF(OR(C182=0,AND(B184=0,C184=0)),"",IFERROR(INDEX($F$27:$F$36,MATCH(C183,($F$27:$F$36)*($D$27:$D$36&lt;&gt;0),0)),IF(OR(AND(D183=0,B183=0,B184&lt;&gt;0),AND(D183*D182&lt;0,B183&lt;&gt;0)),IF(D183=0,C183,C183*(1-ABS(D183)/(ABS(D183)+ABS(D182)))+C182*(1-ABS(D182)/(ABS(D183)+ABS(D182)))),"")))</f>
        <v>#NAME?</v>
      </c>
    </row>
    <row r="184" spans="2:5" x14ac:dyDescent="0.25">
      <c r="B184" t="e">
        <f t="shared" ca="1" si="7"/>
        <v>#NAME?</v>
      </c>
      <c r="C184">
        <v>141</v>
      </c>
      <c r="D184" t="e">
        <f t="shared" ca="1" si="6"/>
        <v>#NAME?</v>
      </c>
      <c r="E184" s="115" t="e">
        <f t="array" aca="1" ref="E184" ca="1">IF(OR(C183=0,AND(B185=0,C185=0)),"",IFERROR(INDEX($F$27:$F$36,MATCH(C184,($F$27:$F$36)*($D$27:$D$36&lt;&gt;0),0)),IF(OR(AND(D184=0,B184=0,B185&lt;&gt;0),AND(D184*D183&lt;0,B184&lt;&gt;0)),IF(D184=0,C184,C184*(1-ABS(D184)/(ABS(D184)+ABS(D183)))+C183*(1-ABS(D183)/(ABS(D184)+ABS(D183)))),"")))</f>
        <v>#NAME?</v>
      </c>
    </row>
    <row r="185" spans="2:5" x14ac:dyDescent="0.25">
      <c r="B185" t="e">
        <f t="shared" ca="1" si="7"/>
        <v>#NAME?</v>
      </c>
      <c r="C185">
        <v>142</v>
      </c>
      <c r="D185" t="e">
        <f t="shared" ca="1" si="6"/>
        <v>#NAME?</v>
      </c>
      <c r="E185" s="115" t="e">
        <f t="array" aca="1" ref="E185" ca="1">IF(OR(C184=0,AND(B186=0,C186=0)),"",IFERROR(INDEX($F$27:$F$36,MATCH(C185,($F$27:$F$36)*($D$27:$D$36&lt;&gt;0),0)),IF(OR(AND(D185=0,B185=0,B186&lt;&gt;0),AND(D185*D184&lt;0,B185&lt;&gt;0)),IF(D185=0,C185,C185*(1-ABS(D185)/(ABS(D185)+ABS(D184)))+C184*(1-ABS(D184)/(ABS(D185)+ABS(D184)))),"")))</f>
        <v>#NAME?</v>
      </c>
    </row>
    <row r="186" spans="2:5" x14ac:dyDescent="0.25">
      <c r="B186" t="e">
        <f t="shared" ca="1" si="7"/>
        <v>#NAME?</v>
      </c>
      <c r="C186">
        <v>143</v>
      </c>
      <c r="D186" t="e">
        <f t="shared" ca="1" si="6"/>
        <v>#NAME?</v>
      </c>
      <c r="E186" s="115" t="e">
        <f t="array" aca="1" ref="E186" ca="1">IF(OR(C185=0,AND(B187=0,C187=0)),"",IFERROR(INDEX($F$27:$F$36,MATCH(C186,($F$27:$F$36)*($D$27:$D$36&lt;&gt;0),0)),IF(OR(AND(D186=0,B186=0,B187&lt;&gt;0),AND(D186*D185&lt;0,B186&lt;&gt;0)),IF(D186=0,C186,C186*(1-ABS(D186)/(ABS(D186)+ABS(D185)))+C185*(1-ABS(D185)/(ABS(D186)+ABS(D185)))),"")))</f>
        <v>#NAME?</v>
      </c>
    </row>
    <row r="187" spans="2:5" x14ac:dyDescent="0.25">
      <c r="B187" t="e">
        <f t="shared" ca="1" si="7"/>
        <v>#NAME?</v>
      </c>
      <c r="C187">
        <v>144</v>
      </c>
      <c r="D187" t="e">
        <f t="shared" ca="1" si="6"/>
        <v>#NAME?</v>
      </c>
      <c r="E187" s="115" t="e">
        <f t="array" aca="1" ref="E187" ca="1">IF(OR(C186=0,AND(B188=0,C188=0)),"",IFERROR(INDEX($F$27:$F$36,MATCH(C187,($F$27:$F$36)*($D$27:$D$36&lt;&gt;0),0)),IF(OR(AND(D187=0,B187=0,B188&lt;&gt;0),AND(D187*D186&lt;0,B187&lt;&gt;0)),IF(D187=0,C187,C187*(1-ABS(D187)/(ABS(D187)+ABS(D186)))+C186*(1-ABS(D186)/(ABS(D187)+ABS(D186)))),"")))</f>
        <v>#NAME?</v>
      </c>
    </row>
    <row r="188" spans="2:5" x14ac:dyDescent="0.25">
      <c r="B188" t="e">
        <f t="shared" ca="1" si="7"/>
        <v>#NAME?</v>
      </c>
      <c r="C188">
        <v>145</v>
      </c>
      <c r="D188" t="e">
        <f t="shared" ca="1" si="6"/>
        <v>#NAME?</v>
      </c>
      <c r="E188" s="115" t="e">
        <f t="array" aca="1" ref="E188" ca="1">IF(OR(C187=0,AND(B189=0,C189=0)),"",IFERROR(INDEX($F$27:$F$36,MATCH(C188,($F$27:$F$36)*($D$27:$D$36&lt;&gt;0),0)),IF(OR(AND(D188=0,B188=0,B189&lt;&gt;0),AND(D188*D187&lt;0,B188&lt;&gt;0)),IF(D188=0,C188,C188*(1-ABS(D188)/(ABS(D188)+ABS(D187)))+C187*(1-ABS(D187)/(ABS(D188)+ABS(D187)))),"")))</f>
        <v>#NAME?</v>
      </c>
    </row>
    <row r="189" spans="2:5" x14ac:dyDescent="0.25">
      <c r="B189" t="e">
        <f t="shared" ca="1" si="7"/>
        <v>#NAME?</v>
      </c>
      <c r="C189">
        <v>146</v>
      </c>
      <c r="D189" t="e">
        <f t="shared" ca="1" si="6"/>
        <v>#NAME?</v>
      </c>
      <c r="E189" s="115" t="e">
        <f t="array" aca="1" ref="E189" ca="1">IF(OR(C188=0,AND(B190=0,C190=0)),"",IFERROR(INDEX($F$27:$F$36,MATCH(C189,($F$27:$F$36)*($D$27:$D$36&lt;&gt;0),0)),IF(OR(AND(D189=0,B189=0,B190&lt;&gt;0),AND(D189*D188&lt;0,B189&lt;&gt;0)),IF(D189=0,C189,C189*(1-ABS(D189)/(ABS(D189)+ABS(D188)))+C188*(1-ABS(D188)/(ABS(D189)+ABS(D188)))),"")))</f>
        <v>#NAME?</v>
      </c>
    </row>
    <row r="190" spans="2:5" x14ac:dyDescent="0.25">
      <c r="B190" t="e">
        <f t="shared" ca="1" si="7"/>
        <v>#NAME?</v>
      </c>
      <c r="C190">
        <v>147</v>
      </c>
      <c r="D190" t="e">
        <f t="shared" ca="1" si="6"/>
        <v>#NAME?</v>
      </c>
      <c r="E190" s="115" t="e">
        <f t="array" aca="1" ref="E190" ca="1">IF(OR(C189=0,AND(B191=0,C191=0)),"",IFERROR(INDEX($F$27:$F$36,MATCH(C190,($F$27:$F$36)*($D$27:$D$36&lt;&gt;0),0)),IF(OR(AND(D190=0,B190=0,B191&lt;&gt;0),AND(D190*D189&lt;0,B190&lt;&gt;0)),IF(D190=0,C190,C190*(1-ABS(D190)/(ABS(D190)+ABS(D189)))+C189*(1-ABS(D189)/(ABS(D190)+ABS(D189)))),"")))</f>
        <v>#NAME?</v>
      </c>
    </row>
    <row r="191" spans="2:5" x14ac:dyDescent="0.25">
      <c r="B191" t="e">
        <f t="shared" ca="1" si="7"/>
        <v>#NAME?</v>
      </c>
      <c r="C191">
        <v>148</v>
      </c>
      <c r="D191" t="e">
        <f t="shared" ca="1" si="6"/>
        <v>#NAME?</v>
      </c>
      <c r="E191" s="115" t="e">
        <f t="array" aca="1" ref="E191" ca="1">IF(OR(C190=0,AND(B192=0,C192=0)),"",IFERROR(INDEX($F$27:$F$36,MATCH(C191,($F$27:$F$36)*($D$27:$D$36&lt;&gt;0),0)),IF(OR(AND(D191=0,B191=0,B192&lt;&gt;0),AND(D191*D190&lt;0,B191&lt;&gt;0)),IF(D191=0,C191,C191*(1-ABS(D191)/(ABS(D191)+ABS(D190)))+C190*(1-ABS(D190)/(ABS(D191)+ABS(D190)))),"")))</f>
        <v>#NAME?</v>
      </c>
    </row>
    <row r="192" spans="2:5" x14ac:dyDescent="0.25">
      <c r="B192" t="e">
        <f t="shared" ca="1" si="7"/>
        <v>#NAME?</v>
      </c>
      <c r="C192">
        <v>149</v>
      </c>
      <c r="D192" t="e">
        <f t="shared" ca="1" si="6"/>
        <v>#NAME?</v>
      </c>
      <c r="E192" s="115" t="e">
        <f t="array" aca="1" ref="E192" ca="1">IF(OR(C191=0,AND(B193=0,C193=0)),"",IFERROR(INDEX($F$27:$F$36,MATCH(C192,($F$27:$F$36)*($D$27:$D$36&lt;&gt;0),0)),IF(OR(AND(D192=0,B192=0,B193&lt;&gt;0),AND(D192*D191&lt;0,B192&lt;&gt;0)),IF(D192=0,C192,C192*(1-ABS(D192)/(ABS(D192)+ABS(D191)))+C191*(1-ABS(D191)/(ABS(D192)+ABS(D191)))),"")))</f>
        <v>#NAME?</v>
      </c>
    </row>
    <row r="193" spans="2:5" x14ac:dyDescent="0.25">
      <c r="B193" t="e">
        <f t="shared" ca="1" si="7"/>
        <v>#NAME?</v>
      </c>
      <c r="C193">
        <v>150</v>
      </c>
      <c r="D193" t="e">
        <f t="shared" ca="1" si="6"/>
        <v>#NAME?</v>
      </c>
      <c r="E193" s="115" t="e">
        <f t="array" aca="1" ref="E193" ca="1">IF(OR(C192=0,AND(B194=0,C194=0)),"",IFERROR(INDEX($F$27:$F$36,MATCH(C193,($F$27:$F$36)*($D$27:$D$36&lt;&gt;0),0)),IF(OR(AND(D193=0,B193=0,B194&lt;&gt;0),AND(D193*D192&lt;0,B193&lt;&gt;0)),IF(D193=0,C193,C193*(1-ABS(D193)/(ABS(D193)+ABS(D192)))+C192*(1-ABS(D192)/(ABS(D193)+ABS(D192)))),"")))</f>
        <v>#NAME?</v>
      </c>
    </row>
    <row r="194" spans="2:5" x14ac:dyDescent="0.25">
      <c r="B194" t="e">
        <f t="shared" ca="1" si="7"/>
        <v>#NAME?</v>
      </c>
      <c r="C194">
        <v>151</v>
      </c>
      <c r="D194" t="e">
        <f t="shared" ca="1" si="6"/>
        <v>#NAME?</v>
      </c>
      <c r="E194" s="115" t="e">
        <f t="array" aca="1" ref="E194" ca="1">IF(OR(C193=0,AND(B195=0,C195=0)),"",IFERROR(INDEX($F$27:$F$36,MATCH(C194,($F$27:$F$36)*($D$27:$D$36&lt;&gt;0),0)),IF(OR(AND(D194=0,B194=0,B195&lt;&gt;0),AND(D194*D193&lt;0,B194&lt;&gt;0)),IF(D194=0,C194,C194*(1-ABS(D194)/(ABS(D194)+ABS(D193)))+C193*(1-ABS(D193)/(ABS(D194)+ABS(D193)))),"")))</f>
        <v>#NAME?</v>
      </c>
    </row>
    <row r="195" spans="2:5" x14ac:dyDescent="0.25">
      <c r="B195" t="e">
        <f t="shared" ca="1" si="7"/>
        <v>#NAME?</v>
      </c>
      <c r="C195">
        <v>152</v>
      </c>
      <c r="D195" t="e">
        <f t="shared" ca="1" si="6"/>
        <v>#NAME?</v>
      </c>
      <c r="E195" s="115" t="e">
        <f t="array" aca="1" ref="E195" ca="1">IF(OR(C194=0,AND(B196=0,C196=0)),"",IFERROR(INDEX($F$27:$F$36,MATCH(C195,($F$27:$F$36)*($D$27:$D$36&lt;&gt;0),0)),IF(OR(AND(D195=0,B195=0,B196&lt;&gt;0),AND(D195*D194&lt;0,B195&lt;&gt;0)),IF(D195=0,C195,C195*(1-ABS(D195)/(ABS(D195)+ABS(D194)))+C194*(1-ABS(D194)/(ABS(D195)+ABS(D194)))),"")))</f>
        <v>#NAME?</v>
      </c>
    </row>
    <row r="196" spans="2:5" x14ac:dyDescent="0.25">
      <c r="B196" t="e">
        <f t="shared" ca="1" si="7"/>
        <v>#NAME?</v>
      </c>
      <c r="C196">
        <v>153</v>
      </c>
      <c r="D196" t="e">
        <f t="shared" ca="1" si="6"/>
        <v>#NAME?</v>
      </c>
      <c r="E196" s="115" t="e">
        <f t="array" aca="1" ref="E196" ca="1">IF(OR(C195=0,AND(B197=0,C197=0)),"",IFERROR(INDEX($F$27:$F$36,MATCH(C196,($F$27:$F$36)*($D$27:$D$36&lt;&gt;0),0)),IF(OR(AND(D196=0,B196=0,B197&lt;&gt;0),AND(D196*D195&lt;0,B196&lt;&gt;0)),IF(D196=0,C196,C196*(1-ABS(D196)/(ABS(D196)+ABS(D195)))+C195*(1-ABS(D195)/(ABS(D196)+ABS(D195)))),"")))</f>
        <v>#NAME?</v>
      </c>
    </row>
    <row r="197" spans="2:5" x14ac:dyDescent="0.25">
      <c r="B197" t="e">
        <f t="shared" ca="1" si="7"/>
        <v>#NAME?</v>
      </c>
      <c r="C197">
        <v>154</v>
      </c>
      <c r="D197" t="e">
        <f t="shared" ca="1" si="6"/>
        <v>#NAME?</v>
      </c>
      <c r="E197" s="115" t="e">
        <f t="array" aca="1" ref="E197" ca="1">IF(OR(C196=0,AND(B198=0,C198=0)),"",IFERROR(INDEX($F$27:$F$36,MATCH(C197,($F$27:$F$36)*($D$27:$D$36&lt;&gt;0),0)),IF(OR(AND(D197=0,B197=0,B198&lt;&gt;0),AND(D197*D196&lt;0,B197&lt;&gt;0)),IF(D197=0,C197,C197*(1-ABS(D197)/(ABS(D197)+ABS(D196)))+C196*(1-ABS(D196)/(ABS(D197)+ABS(D196)))),"")))</f>
        <v>#NAME?</v>
      </c>
    </row>
    <row r="198" spans="2:5" x14ac:dyDescent="0.25">
      <c r="B198" t="e">
        <f t="shared" ca="1" si="7"/>
        <v>#NAME?</v>
      </c>
      <c r="C198">
        <v>155</v>
      </c>
      <c r="D198" t="e">
        <f t="shared" ca="1" si="6"/>
        <v>#NAME?</v>
      </c>
      <c r="E198" s="115" t="e">
        <f t="array" aca="1" ref="E198" ca="1">IF(OR(C197=0,AND(B199=0,C199=0)),"",IFERROR(INDEX($F$27:$F$36,MATCH(C198,($F$27:$F$36)*($D$27:$D$36&lt;&gt;0),0)),IF(OR(AND(D198=0,B198=0,B199&lt;&gt;0),AND(D198*D197&lt;0,B198&lt;&gt;0)),IF(D198=0,C198,C198*(1-ABS(D198)/(ABS(D198)+ABS(D197)))+C197*(1-ABS(D197)/(ABS(D198)+ABS(D197)))),"")))</f>
        <v>#NAME?</v>
      </c>
    </row>
    <row r="199" spans="2:5" x14ac:dyDescent="0.25">
      <c r="B199" t="e">
        <f t="shared" ca="1" si="7"/>
        <v>#NAME?</v>
      </c>
      <c r="C199">
        <v>156</v>
      </c>
      <c r="D199" t="e">
        <f t="shared" ca="1" si="6"/>
        <v>#NAME?</v>
      </c>
      <c r="E199" s="115" t="e">
        <f t="array" aca="1" ref="E199" ca="1">IF(OR(C198=0,AND(B200=0,C200=0)),"",IFERROR(INDEX($F$27:$F$36,MATCH(C199,($F$27:$F$36)*($D$27:$D$36&lt;&gt;0),0)),IF(OR(AND(D199=0,B199=0,B200&lt;&gt;0),AND(D199*D198&lt;0,B199&lt;&gt;0)),IF(D199=0,C199,C199*(1-ABS(D199)/(ABS(D199)+ABS(D198)))+C198*(1-ABS(D198)/(ABS(D199)+ABS(D198)))),"")))</f>
        <v>#NAME?</v>
      </c>
    </row>
    <row r="200" spans="2:5" x14ac:dyDescent="0.25">
      <c r="B200" t="e">
        <f t="shared" ca="1" si="7"/>
        <v>#NAME?</v>
      </c>
      <c r="C200">
        <v>157</v>
      </c>
      <c r="D200" t="e">
        <f t="shared" ca="1" si="6"/>
        <v>#NAME?</v>
      </c>
      <c r="E200" s="115" t="e">
        <f t="array" aca="1" ref="E200" ca="1">IF(OR(C199=0,AND(B201=0,C201=0)),"",IFERROR(INDEX($F$27:$F$36,MATCH(C200,($F$27:$F$36)*($D$27:$D$36&lt;&gt;0),0)),IF(OR(AND(D200=0,B200=0,B201&lt;&gt;0),AND(D200*D199&lt;0,B200&lt;&gt;0)),IF(D200=0,C200,C200*(1-ABS(D200)/(ABS(D200)+ABS(D199)))+C199*(1-ABS(D199)/(ABS(D200)+ABS(D199)))),"")))</f>
        <v>#NAME?</v>
      </c>
    </row>
    <row r="201" spans="2:5" x14ac:dyDescent="0.25">
      <c r="B201" t="e">
        <f t="shared" ca="1" si="7"/>
        <v>#NAME?</v>
      </c>
      <c r="C201">
        <v>158</v>
      </c>
      <c r="D201" t="e">
        <f t="shared" ca="1" si="6"/>
        <v>#NAME?</v>
      </c>
      <c r="E201" s="115" t="e">
        <f t="array" aca="1" ref="E201" ca="1">IF(OR(C200=0,AND(B202=0,C202=0)),"",IFERROR(INDEX($F$27:$F$36,MATCH(C201,($F$27:$F$36)*($D$27:$D$36&lt;&gt;0),0)),IF(OR(AND(D201=0,B201=0,B202&lt;&gt;0),AND(D201*D200&lt;0,B201&lt;&gt;0)),IF(D201=0,C201,C201*(1-ABS(D201)/(ABS(D201)+ABS(D200)))+C200*(1-ABS(D200)/(ABS(D201)+ABS(D200)))),"")))</f>
        <v>#NAME?</v>
      </c>
    </row>
    <row r="202" spans="2:5" x14ac:dyDescent="0.25">
      <c r="B202" t="e">
        <f t="shared" ca="1" si="7"/>
        <v>#NAME?</v>
      </c>
      <c r="C202">
        <v>159</v>
      </c>
      <c r="D202" t="e">
        <f t="shared" ca="1" si="6"/>
        <v>#NAME?</v>
      </c>
      <c r="E202" s="115" t="e">
        <f t="array" aca="1" ref="E202" ca="1">IF(OR(C201=0,AND(B203=0,C203=0)),"",IFERROR(INDEX($F$27:$F$36,MATCH(C202,($F$27:$F$36)*($D$27:$D$36&lt;&gt;0),0)),IF(OR(AND(D202=0,B202=0,B203&lt;&gt;0),AND(D202*D201&lt;0,B202&lt;&gt;0)),IF(D202=0,C202,C202*(1-ABS(D202)/(ABS(D202)+ABS(D201)))+C201*(1-ABS(D201)/(ABS(D202)+ABS(D201)))),"")))</f>
        <v>#NAME?</v>
      </c>
    </row>
    <row r="203" spans="2:5" x14ac:dyDescent="0.25">
      <c r="B203" t="e">
        <f t="shared" ca="1" si="7"/>
        <v>#NAME?</v>
      </c>
      <c r="C203">
        <v>160</v>
      </c>
      <c r="D203" t="e">
        <f t="shared" ca="1" si="6"/>
        <v>#NAME?</v>
      </c>
      <c r="E203" s="115" t="e">
        <f t="array" aca="1" ref="E203" ca="1">IF(OR(C202=0,AND(B204=0,C204=0)),"",IFERROR(INDEX($F$27:$F$36,MATCH(C203,($F$27:$F$36)*($D$27:$D$36&lt;&gt;0),0)),IF(OR(AND(D203=0,B203=0,B204&lt;&gt;0),AND(D203*D202&lt;0,B203&lt;&gt;0)),IF(D203=0,C203,C203*(1-ABS(D203)/(ABS(D203)+ABS(D202)))+C202*(1-ABS(D202)/(ABS(D203)+ABS(D202)))),"")))</f>
        <v>#NAME?</v>
      </c>
    </row>
    <row r="204" spans="2:5" x14ac:dyDescent="0.25">
      <c r="B204" t="e">
        <f t="shared" ca="1" si="7"/>
        <v>#NAME?</v>
      </c>
      <c r="C204">
        <v>161</v>
      </c>
      <c r="D204" t="e">
        <f t="shared" ca="1" si="6"/>
        <v>#NAME?</v>
      </c>
      <c r="E204" s="115" t="e">
        <f t="array" aca="1" ref="E204" ca="1">IF(OR(C203=0,AND(B205=0,C205=0)),"",IFERROR(INDEX($F$27:$F$36,MATCH(C204,($F$27:$F$36)*($D$27:$D$36&lt;&gt;0),0)),IF(OR(AND(D204=0,B204=0,B205&lt;&gt;0),AND(D204*D203&lt;0,B204&lt;&gt;0)),IF(D204=0,C204,C204*(1-ABS(D204)/(ABS(D204)+ABS(D203)))+C203*(1-ABS(D203)/(ABS(D204)+ABS(D203)))),"")))</f>
        <v>#NAME?</v>
      </c>
    </row>
    <row r="205" spans="2:5" x14ac:dyDescent="0.25">
      <c r="B205" t="e">
        <f t="shared" ca="1" si="7"/>
        <v>#NAME?</v>
      </c>
      <c r="C205">
        <v>162</v>
      </c>
      <c r="D205" t="e">
        <f t="shared" ca="1" si="6"/>
        <v>#NAME?</v>
      </c>
      <c r="E205" s="115" t="e">
        <f t="array" aca="1" ref="E205" ca="1">IF(OR(C204=0,AND(B206=0,C206=0)),"",IFERROR(INDEX($F$27:$F$36,MATCH(C205,($F$27:$F$36)*($D$27:$D$36&lt;&gt;0),0)),IF(OR(AND(D205=0,B205=0,B206&lt;&gt;0),AND(D205*D204&lt;0,B205&lt;&gt;0)),IF(D205=0,C205,C205*(1-ABS(D205)/(ABS(D205)+ABS(D204)))+C204*(1-ABS(D204)/(ABS(D205)+ABS(D204)))),"")))</f>
        <v>#NAME?</v>
      </c>
    </row>
    <row r="206" spans="2:5" x14ac:dyDescent="0.25">
      <c r="B206" t="e">
        <f t="shared" ca="1" si="7"/>
        <v>#NAME?</v>
      </c>
      <c r="C206">
        <v>163</v>
      </c>
      <c r="D206" t="e">
        <f t="shared" ca="1" si="6"/>
        <v>#NAME?</v>
      </c>
      <c r="E206" s="115" t="e">
        <f t="array" aca="1" ref="E206" ca="1">IF(OR(C205=0,AND(B207=0,C207=0)),"",IFERROR(INDEX($F$27:$F$36,MATCH(C206,($F$27:$F$36)*($D$27:$D$36&lt;&gt;0),0)),IF(OR(AND(D206=0,B206=0,B207&lt;&gt;0),AND(D206*D205&lt;0,B206&lt;&gt;0)),IF(D206=0,C206,C206*(1-ABS(D206)/(ABS(D206)+ABS(D205)))+C205*(1-ABS(D205)/(ABS(D206)+ABS(D205)))),"")))</f>
        <v>#NAME?</v>
      </c>
    </row>
    <row r="207" spans="2:5" x14ac:dyDescent="0.25">
      <c r="B207" t="e">
        <f t="shared" ca="1" si="7"/>
        <v>#NAME?</v>
      </c>
      <c r="C207">
        <v>164</v>
      </c>
      <c r="D207" t="e">
        <f t="shared" ca="1" si="6"/>
        <v>#NAME?</v>
      </c>
      <c r="E207" s="115" t="e">
        <f t="array" aca="1" ref="E207" ca="1">IF(OR(C206=0,AND(B208=0,C208=0)),"",IFERROR(INDEX($F$27:$F$36,MATCH(C207,($F$27:$F$36)*($D$27:$D$36&lt;&gt;0),0)),IF(OR(AND(D207=0,B207=0,B208&lt;&gt;0),AND(D207*D206&lt;0,B207&lt;&gt;0)),IF(D207=0,C207,C207*(1-ABS(D207)/(ABS(D207)+ABS(D206)))+C206*(1-ABS(D206)/(ABS(D207)+ABS(D206)))),"")))</f>
        <v>#NAME?</v>
      </c>
    </row>
    <row r="208" spans="2:5" x14ac:dyDescent="0.25">
      <c r="B208" t="e">
        <f t="shared" ca="1" si="7"/>
        <v>#NAME?</v>
      </c>
      <c r="C208">
        <v>165</v>
      </c>
      <c r="D208" t="e">
        <f t="shared" ca="1" si="6"/>
        <v>#NAME?</v>
      </c>
      <c r="E208" s="115" t="e">
        <f t="array" aca="1" ref="E208" ca="1">IF(OR(C207=0,AND(B209=0,C209=0)),"",IFERROR(INDEX($F$27:$F$36,MATCH(C208,($F$27:$F$36)*($D$27:$D$36&lt;&gt;0),0)),IF(OR(AND(D208=0,B208=0,B209&lt;&gt;0),AND(D208*D207&lt;0,B208&lt;&gt;0)),IF(D208=0,C208,C208*(1-ABS(D208)/(ABS(D208)+ABS(D207)))+C207*(1-ABS(D207)/(ABS(D208)+ABS(D207)))),"")))</f>
        <v>#NAME?</v>
      </c>
    </row>
    <row r="209" spans="2:5" x14ac:dyDescent="0.25">
      <c r="B209" t="e">
        <f t="shared" ca="1" si="7"/>
        <v>#NAME?</v>
      </c>
      <c r="C209">
        <v>166</v>
      </c>
      <c r="D209" t="e">
        <f t="shared" ca="1" si="6"/>
        <v>#NAME?</v>
      </c>
      <c r="E209" s="115" t="e">
        <f t="array" aca="1" ref="E209" ca="1">IF(OR(C208=0,AND(B210=0,C210=0)),"",IFERROR(INDEX($F$27:$F$36,MATCH(C209,($F$27:$F$36)*($D$27:$D$36&lt;&gt;0),0)),IF(OR(AND(D209=0,B209=0,B210&lt;&gt;0),AND(D209*D208&lt;0,B209&lt;&gt;0)),IF(D209=0,C209,C209*(1-ABS(D209)/(ABS(D209)+ABS(D208)))+C208*(1-ABS(D208)/(ABS(D209)+ABS(D208)))),"")))</f>
        <v>#NAME?</v>
      </c>
    </row>
    <row r="210" spans="2:5" x14ac:dyDescent="0.25">
      <c r="B210" t="e">
        <f t="shared" ca="1" si="7"/>
        <v>#NAME?</v>
      </c>
      <c r="C210">
        <v>167</v>
      </c>
      <c r="D210" t="e">
        <f t="shared" ca="1" si="6"/>
        <v>#NAME?</v>
      </c>
      <c r="E210" s="115" t="e">
        <f t="array" aca="1" ref="E210" ca="1">IF(OR(C209=0,AND(B211=0,C211=0)),"",IFERROR(INDEX($F$27:$F$36,MATCH(C210,($F$27:$F$36)*($D$27:$D$36&lt;&gt;0),0)),IF(OR(AND(D210=0,B210=0,B211&lt;&gt;0),AND(D210*D209&lt;0,B210&lt;&gt;0)),IF(D210=0,C210,C210*(1-ABS(D210)/(ABS(D210)+ABS(D209)))+C209*(1-ABS(D209)/(ABS(D210)+ABS(D209)))),"")))</f>
        <v>#NAME?</v>
      </c>
    </row>
    <row r="211" spans="2:5" x14ac:dyDescent="0.25">
      <c r="B211" t="e">
        <f t="shared" ca="1" si="7"/>
        <v>#NAME?</v>
      </c>
      <c r="C211">
        <v>168</v>
      </c>
      <c r="D211" t="e">
        <f t="shared" ca="1" si="6"/>
        <v>#NAME?</v>
      </c>
      <c r="E211" s="115" t="e">
        <f t="array" aca="1" ref="E211" ca="1">IF(OR(C210=0,AND(B212=0,C212=0)),"",IFERROR(INDEX($F$27:$F$36,MATCH(C211,($F$27:$F$36)*($D$27:$D$36&lt;&gt;0),0)),IF(OR(AND(D211=0,B211=0,B212&lt;&gt;0),AND(D211*D210&lt;0,B211&lt;&gt;0)),IF(D211=0,C211,C211*(1-ABS(D211)/(ABS(D211)+ABS(D210)))+C210*(1-ABS(D210)/(ABS(D211)+ABS(D210)))),"")))</f>
        <v>#NAME?</v>
      </c>
    </row>
    <row r="212" spans="2:5" x14ac:dyDescent="0.25">
      <c r="B212" t="e">
        <f t="shared" ca="1" si="7"/>
        <v>#NAME?</v>
      </c>
      <c r="C212">
        <v>169</v>
      </c>
      <c r="D212" t="e">
        <f t="shared" ca="1" si="6"/>
        <v>#NAME?</v>
      </c>
      <c r="E212" s="115" t="e">
        <f t="array" aca="1" ref="E212" ca="1">IF(OR(C211=0,AND(B213=0,C213=0)),"",IFERROR(INDEX($F$27:$F$36,MATCH(C212,($F$27:$F$36)*($D$27:$D$36&lt;&gt;0),0)),IF(OR(AND(D212=0,B212=0,B213&lt;&gt;0),AND(D212*D211&lt;0,B212&lt;&gt;0)),IF(D212=0,C212,C212*(1-ABS(D212)/(ABS(D212)+ABS(D211)))+C211*(1-ABS(D211)/(ABS(D212)+ABS(D211)))),"")))</f>
        <v>#NAME?</v>
      </c>
    </row>
    <row r="213" spans="2:5" x14ac:dyDescent="0.25">
      <c r="B213" t="e">
        <f t="shared" ca="1" si="7"/>
        <v>#NAME?</v>
      </c>
      <c r="C213">
        <v>170</v>
      </c>
      <c r="D213" t="e">
        <f t="shared" ca="1" si="6"/>
        <v>#NAME?</v>
      </c>
      <c r="E213" s="115" t="e">
        <f t="array" aca="1" ref="E213" ca="1">IF(OR(C212=0,AND(B214=0,C214=0)),"",IFERROR(INDEX($F$27:$F$36,MATCH(C213,($F$27:$F$36)*($D$27:$D$36&lt;&gt;0),0)),IF(OR(AND(D213=0,B213=0,B214&lt;&gt;0),AND(D213*D212&lt;0,B213&lt;&gt;0)),IF(D213=0,C213,C213*(1-ABS(D213)/(ABS(D213)+ABS(D212)))+C212*(1-ABS(D212)/(ABS(D213)+ABS(D212)))),"")))</f>
        <v>#NAME?</v>
      </c>
    </row>
    <row r="214" spans="2:5" x14ac:dyDescent="0.25">
      <c r="B214" t="e">
        <f t="shared" ca="1" si="7"/>
        <v>#NAME?</v>
      </c>
      <c r="C214">
        <v>171</v>
      </c>
      <c r="D214" t="e">
        <f t="shared" ca="1" si="6"/>
        <v>#NAME?</v>
      </c>
      <c r="E214" s="115" t="e">
        <f t="array" aca="1" ref="E214" ca="1">IF(OR(C213=0,AND(B215=0,C215=0)),"",IFERROR(INDEX($F$27:$F$36,MATCH(C214,($F$27:$F$36)*($D$27:$D$36&lt;&gt;0),0)),IF(OR(AND(D214=0,B214=0,B215&lt;&gt;0),AND(D214*D213&lt;0,B214&lt;&gt;0)),IF(D214=0,C214,C214*(1-ABS(D214)/(ABS(D214)+ABS(D213)))+C213*(1-ABS(D213)/(ABS(D214)+ABS(D213)))),"")))</f>
        <v>#NAME?</v>
      </c>
    </row>
    <row r="215" spans="2:5" x14ac:dyDescent="0.25">
      <c r="B215" t="e">
        <f t="shared" ca="1" si="7"/>
        <v>#NAME?</v>
      </c>
      <c r="C215">
        <v>172</v>
      </c>
      <c r="D215" t="e">
        <f t="shared" ca="1" si="6"/>
        <v>#NAME?</v>
      </c>
      <c r="E215" s="115" t="e">
        <f t="array" aca="1" ref="E215" ca="1">IF(OR(C214=0,AND(B216=0,C216=0)),"",IFERROR(INDEX($F$27:$F$36,MATCH(C215,($F$27:$F$36)*($D$27:$D$36&lt;&gt;0),0)),IF(OR(AND(D215=0,B215=0,B216&lt;&gt;0),AND(D215*D214&lt;0,B215&lt;&gt;0)),IF(D215=0,C215,C215*(1-ABS(D215)/(ABS(D215)+ABS(D214)))+C214*(1-ABS(D214)/(ABS(D215)+ABS(D214)))),"")))</f>
        <v>#NAME?</v>
      </c>
    </row>
    <row r="216" spans="2:5" x14ac:dyDescent="0.25">
      <c r="B216" t="e">
        <f t="shared" ca="1" si="7"/>
        <v>#NAME?</v>
      </c>
      <c r="C216">
        <v>173</v>
      </c>
      <c r="D216" t="e">
        <f t="shared" ca="1" si="6"/>
        <v>#NAME?</v>
      </c>
      <c r="E216" s="115" t="e">
        <f t="array" aca="1" ref="E216" ca="1">IF(OR(C215=0,AND(B217=0,C217=0)),"",IFERROR(INDEX($F$27:$F$36,MATCH(C216,($F$27:$F$36)*($D$27:$D$36&lt;&gt;0),0)),IF(OR(AND(D216=0,B216=0,B217&lt;&gt;0),AND(D216*D215&lt;0,B216&lt;&gt;0)),IF(D216=0,C216,C216*(1-ABS(D216)/(ABS(D216)+ABS(D215)))+C215*(1-ABS(D215)/(ABS(D216)+ABS(D215)))),"")))</f>
        <v>#NAME?</v>
      </c>
    </row>
    <row r="217" spans="2:5" x14ac:dyDescent="0.25">
      <c r="B217" t="e">
        <f t="shared" ca="1" si="7"/>
        <v>#NAME?</v>
      </c>
      <c r="C217">
        <v>174</v>
      </c>
      <c r="D217" t="e">
        <f t="shared" ca="1" si="6"/>
        <v>#NAME?</v>
      </c>
      <c r="E217" s="115" t="e">
        <f t="array" aca="1" ref="E217" ca="1">IF(OR(C216=0,AND(B218=0,C218=0)),"",IFERROR(INDEX($F$27:$F$36,MATCH(C217,($F$27:$F$36)*($D$27:$D$36&lt;&gt;0),0)),IF(OR(AND(D217=0,B217=0,B218&lt;&gt;0),AND(D217*D216&lt;0,B217&lt;&gt;0)),IF(D217=0,C217,C217*(1-ABS(D217)/(ABS(D217)+ABS(D216)))+C216*(1-ABS(D216)/(ABS(D217)+ABS(D216)))),"")))</f>
        <v>#NAME?</v>
      </c>
    </row>
    <row r="218" spans="2:5" x14ac:dyDescent="0.25">
      <c r="B218" t="e">
        <f t="shared" ca="1" si="7"/>
        <v>#NAME?</v>
      </c>
      <c r="C218">
        <v>175</v>
      </c>
      <c r="D218" t="e">
        <f t="shared" ca="1" si="6"/>
        <v>#NAME?</v>
      </c>
      <c r="E218" s="115" t="e">
        <f t="array" aca="1" ref="E218" ca="1">IF(OR(C217=0,AND(B219=0,C219=0)),"",IFERROR(INDEX($F$27:$F$36,MATCH(C218,($F$27:$F$36)*($D$27:$D$36&lt;&gt;0),0)),IF(OR(AND(D218=0,B218=0,B219&lt;&gt;0),AND(D218*D217&lt;0,B218&lt;&gt;0)),IF(D218=0,C218,C218*(1-ABS(D218)/(ABS(D218)+ABS(D217)))+C217*(1-ABS(D217)/(ABS(D218)+ABS(D217)))),"")))</f>
        <v>#NAME?</v>
      </c>
    </row>
    <row r="219" spans="2:5" x14ac:dyDescent="0.25">
      <c r="B219" t="e">
        <f t="shared" ca="1" si="7"/>
        <v>#NAME?</v>
      </c>
      <c r="C219">
        <v>176</v>
      </c>
      <c r="D219" t="e">
        <f t="shared" ca="1" si="6"/>
        <v>#NAME?</v>
      </c>
      <c r="E219" s="115" t="e">
        <f t="array" aca="1" ref="E219" ca="1">IF(OR(C218=0,AND(B220=0,C220=0)),"",IFERROR(INDEX($F$27:$F$36,MATCH(C219,($F$27:$F$36)*($D$27:$D$36&lt;&gt;0),0)),IF(OR(AND(D219=0,B219=0,B220&lt;&gt;0),AND(D219*D218&lt;0,B219&lt;&gt;0)),IF(D219=0,C219,C219*(1-ABS(D219)/(ABS(D219)+ABS(D218)))+C218*(1-ABS(D218)/(ABS(D219)+ABS(D218)))),"")))</f>
        <v>#NAME?</v>
      </c>
    </row>
    <row r="220" spans="2:5" x14ac:dyDescent="0.25">
      <c r="B220" t="e">
        <f t="shared" ca="1" si="7"/>
        <v>#NAME?</v>
      </c>
      <c r="C220">
        <v>177</v>
      </c>
      <c r="D220" t="e">
        <f t="shared" ca="1" si="6"/>
        <v>#NAME?</v>
      </c>
      <c r="E220" s="115" t="e">
        <f t="array" aca="1" ref="E220" ca="1">IF(OR(C219=0,AND(B221=0,C221=0)),"",IFERROR(INDEX($F$27:$F$36,MATCH(C220,($F$27:$F$36)*($D$27:$D$36&lt;&gt;0),0)),IF(OR(AND(D220=0,B220=0,B221&lt;&gt;0),AND(D220*D219&lt;0,B220&lt;&gt;0)),IF(D220=0,C220,C220*(1-ABS(D220)/(ABS(D220)+ABS(D219)))+C219*(1-ABS(D219)/(ABS(D220)+ABS(D219)))),"")))</f>
        <v>#NAME?</v>
      </c>
    </row>
    <row r="221" spans="2:5" x14ac:dyDescent="0.25">
      <c r="B221" t="e">
        <f t="shared" ca="1" si="7"/>
        <v>#NAME?</v>
      </c>
      <c r="C221">
        <v>178</v>
      </c>
      <c r="D221" t="e">
        <f t="shared" ca="1" si="6"/>
        <v>#NAME?</v>
      </c>
      <c r="E221" s="115" t="e">
        <f t="array" aca="1" ref="E221" ca="1">IF(OR(C220=0,AND(B222=0,C222=0)),"",IFERROR(INDEX($F$27:$F$36,MATCH(C221,($F$27:$F$36)*($D$27:$D$36&lt;&gt;0),0)),IF(OR(AND(D221=0,B221=0,B222&lt;&gt;0),AND(D221*D220&lt;0,B221&lt;&gt;0)),IF(D221=0,C221,C221*(1-ABS(D221)/(ABS(D221)+ABS(D220)))+C220*(1-ABS(D220)/(ABS(D221)+ABS(D220)))),"")))</f>
        <v>#NAME?</v>
      </c>
    </row>
    <row r="222" spans="2:5" x14ac:dyDescent="0.25">
      <c r="B222" t="e">
        <f t="shared" ca="1" si="7"/>
        <v>#NAME?</v>
      </c>
      <c r="C222">
        <v>179</v>
      </c>
      <c r="D222" t="e">
        <f t="shared" ca="1" si="6"/>
        <v>#NAME?</v>
      </c>
      <c r="E222" s="115" t="e">
        <f t="array" aca="1" ref="E222" ca="1">IF(OR(C221=0,AND(B223=0,C223=0)),"",IFERROR(INDEX($F$27:$F$36,MATCH(C222,($F$27:$F$36)*($D$27:$D$36&lt;&gt;0),0)),IF(OR(AND(D222=0,B222=0,B223&lt;&gt;0),AND(D222*D221&lt;0,B222&lt;&gt;0)),IF(D222=0,C222,C222*(1-ABS(D222)/(ABS(D222)+ABS(D221)))+C221*(1-ABS(D221)/(ABS(D222)+ABS(D221)))),"")))</f>
        <v>#NAME?</v>
      </c>
    </row>
    <row r="223" spans="2:5" x14ac:dyDescent="0.25">
      <c r="B223" t="e">
        <f t="shared" ca="1" si="7"/>
        <v>#NAME?</v>
      </c>
      <c r="C223">
        <v>180</v>
      </c>
      <c r="D223" t="e">
        <f t="shared" ca="1" si="6"/>
        <v>#NAME?</v>
      </c>
      <c r="E223" s="115" t="e">
        <f t="array" aca="1" ref="E223" ca="1">IF(OR(C222=0,AND(B224=0,C224=0)),"",IFERROR(INDEX($F$27:$F$36,MATCH(C223,($F$27:$F$36)*($D$27:$D$36&lt;&gt;0),0)),IF(OR(AND(D223=0,B223=0,B224&lt;&gt;0),AND(D223*D222&lt;0,B223&lt;&gt;0)),IF(D223=0,C223,C223*(1-ABS(D223)/(ABS(D223)+ABS(D222)))+C222*(1-ABS(D222)/(ABS(D223)+ABS(D222)))),"")))</f>
        <v>#NAME?</v>
      </c>
    </row>
    <row r="224" spans="2:5" x14ac:dyDescent="0.25">
      <c r="B224" t="e">
        <f t="shared" ca="1" si="7"/>
        <v>#NAME?</v>
      </c>
      <c r="C224">
        <v>181</v>
      </c>
      <c r="D224" t="e">
        <f t="shared" ca="1" si="6"/>
        <v>#NAME?</v>
      </c>
      <c r="E224" s="115" t="e">
        <f t="array" aca="1" ref="E224" ca="1">IF(OR(C223=0,AND(B225=0,C225=0)),"",IFERROR(INDEX($F$27:$F$36,MATCH(C224,($F$27:$F$36)*($D$27:$D$36&lt;&gt;0),0)),IF(OR(AND(D224=0,B224=0,B225&lt;&gt;0),AND(D224*D223&lt;0,B224&lt;&gt;0)),IF(D224=0,C224,C224*(1-ABS(D224)/(ABS(D224)+ABS(D223)))+C223*(1-ABS(D223)/(ABS(D224)+ABS(D223)))),"")))</f>
        <v>#NAME?</v>
      </c>
    </row>
    <row r="225" spans="2:5" x14ac:dyDescent="0.25">
      <c r="B225" t="e">
        <f t="shared" ca="1" si="7"/>
        <v>#NAME?</v>
      </c>
      <c r="C225">
        <v>182</v>
      </c>
      <c r="D225" t="e">
        <f t="shared" ca="1" si="6"/>
        <v>#NAME?</v>
      </c>
      <c r="E225" s="115" t="e">
        <f t="array" aca="1" ref="E225" ca="1">IF(OR(C224=0,AND(B226=0,C226=0)),"",IFERROR(INDEX($F$27:$F$36,MATCH(C225,($F$27:$F$36)*($D$27:$D$36&lt;&gt;0),0)),IF(OR(AND(D225=0,B225=0,B226&lt;&gt;0),AND(D225*D224&lt;0,B225&lt;&gt;0)),IF(D225=0,C225,C225*(1-ABS(D225)/(ABS(D225)+ABS(D224)))+C224*(1-ABS(D224)/(ABS(D225)+ABS(D224)))),"")))</f>
        <v>#NAME?</v>
      </c>
    </row>
    <row r="226" spans="2:5" x14ac:dyDescent="0.25">
      <c r="B226" t="e">
        <f t="shared" ca="1" si="7"/>
        <v>#NAME?</v>
      </c>
      <c r="C226">
        <v>183</v>
      </c>
      <c r="D226" t="e">
        <f t="shared" ca="1" si="6"/>
        <v>#NAME?</v>
      </c>
      <c r="E226" s="115" t="e">
        <f t="array" aca="1" ref="E226" ca="1">IF(OR(C225=0,AND(B227=0,C227=0)),"",IFERROR(INDEX($F$27:$F$36,MATCH(C226,($F$27:$F$36)*($D$27:$D$36&lt;&gt;0),0)),IF(OR(AND(D226=0,B226=0,B227&lt;&gt;0),AND(D226*D225&lt;0,B226&lt;&gt;0)),IF(D226=0,C226,C226*(1-ABS(D226)/(ABS(D226)+ABS(D225)))+C225*(1-ABS(D225)/(ABS(D226)+ABS(D225)))),"")))</f>
        <v>#NAME?</v>
      </c>
    </row>
    <row r="227" spans="2:5" x14ac:dyDescent="0.25">
      <c r="B227" t="e">
        <f t="shared" ca="1" si="7"/>
        <v>#NAME?</v>
      </c>
      <c r="C227">
        <v>184</v>
      </c>
      <c r="D227" t="e">
        <f t="shared" ca="1" si="6"/>
        <v>#NAME?</v>
      </c>
      <c r="E227" s="115" t="e">
        <f t="array" aca="1" ref="E227" ca="1">IF(OR(C226=0,AND(B228=0,C228=0)),"",IFERROR(INDEX($F$27:$F$36,MATCH(C227,($F$27:$F$36)*($D$27:$D$36&lt;&gt;0),0)),IF(OR(AND(D227=0,B227=0,B228&lt;&gt;0),AND(D227*D226&lt;0,B227&lt;&gt;0)),IF(D227=0,C227,C227*(1-ABS(D227)/(ABS(D227)+ABS(D226)))+C226*(1-ABS(D226)/(ABS(D227)+ABS(D226)))),"")))</f>
        <v>#NAME?</v>
      </c>
    </row>
    <row r="228" spans="2:5" x14ac:dyDescent="0.25">
      <c r="B228" t="e">
        <f t="shared" ca="1" si="7"/>
        <v>#NAME?</v>
      </c>
      <c r="C228">
        <v>185</v>
      </c>
      <c r="D228" t="e">
        <f t="shared" ca="1" si="6"/>
        <v>#NAME?</v>
      </c>
      <c r="E228" s="115" t="e">
        <f t="array" aca="1" ref="E228" ca="1">IF(OR(C227=0,AND(B229=0,C229=0)),"",IFERROR(INDEX($F$27:$F$36,MATCH(C228,($F$27:$F$36)*($D$27:$D$36&lt;&gt;0),0)),IF(OR(AND(D228=0,B228=0,B229&lt;&gt;0),AND(D228*D227&lt;0,B228&lt;&gt;0)),IF(D228=0,C228,C228*(1-ABS(D228)/(ABS(D228)+ABS(D227)))+C227*(1-ABS(D227)/(ABS(D228)+ABS(D227)))),"")))</f>
        <v>#NAME?</v>
      </c>
    </row>
    <row r="229" spans="2:5" x14ac:dyDescent="0.25">
      <c r="B229" t="e">
        <f t="shared" ca="1" si="7"/>
        <v>#NAME?</v>
      </c>
      <c r="C229">
        <v>186</v>
      </c>
      <c r="D229" t="e">
        <f t="shared" ca="1" si="6"/>
        <v>#NAME?</v>
      </c>
      <c r="E229" s="115" t="e">
        <f t="array" aca="1" ref="E229" ca="1">IF(OR(C228=0,AND(B230=0,C230=0)),"",IFERROR(INDEX($F$27:$F$36,MATCH(C229,($F$27:$F$36)*($D$27:$D$36&lt;&gt;0),0)),IF(OR(AND(D229=0,B229=0,B230&lt;&gt;0),AND(D229*D228&lt;0,B229&lt;&gt;0)),IF(D229=0,C229,C229*(1-ABS(D229)/(ABS(D229)+ABS(D228)))+C228*(1-ABS(D228)/(ABS(D229)+ABS(D228)))),"")))</f>
        <v>#NAME?</v>
      </c>
    </row>
    <row r="230" spans="2:5" x14ac:dyDescent="0.25">
      <c r="B230" t="e">
        <f t="shared" ca="1" si="7"/>
        <v>#NAME?</v>
      </c>
      <c r="C230">
        <v>187</v>
      </c>
      <c r="D230" t="e">
        <f t="shared" ca="1" si="6"/>
        <v>#NAME?</v>
      </c>
      <c r="E230" s="115" t="e">
        <f t="array" aca="1" ref="E230" ca="1">IF(OR(C229=0,AND(B231=0,C231=0)),"",IFERROR(INDEX($F$27:$F$36,MATCH(C230,($F$27:$F$36)*($D$27:$D$36&lt;&gt;0),0)),IF(OR(AND(D230=0,B230=0,B231&lt;&gt;0),AND(D230*D229&lt;0,B230&lt;&gt;0)),IF(D230=0,C230,C230*(1-ABS(D230)/(ABS(D230)+ABS(D229)))+C229*(1-ABS(D229)/(ABS(D230)+ABS(D229)))),"")))</f>
        <v>#NAME?</v>
      </c>
    </row>
    <row r="231" spans="2:5" x14ac:dyDescent="0.25">
      <c r="B231" t="e">
        <f t="shared" ca="1" si="7"/>
        <v>#NAME?</v>
      </c>
      <c r="C231">
        <v>188</v>
      </c>
      <c r="D231" t="e">
        <f t="shared" ca="1" si="6"/>
        <v>#NAME?</v>
      </c>
      <c r="E231" s="115" t="e">
        <f t="array" aca="1" ref="E231" ca="1">IF(OR(C230=0,AND(B232=0,C232=0)),"",IFERROR(INDEX($F$27:$F$36,MATCH(C231,($F$27:$F$36)*($D$27:$D$36&lt;&gt;0),0)),IF(OR(AND(D231=0,B231=0,B232&lt;&gt;0),AND(D231*D230&lt;0,B231&lt;&gt;0)),IF(D231=0,C231,C231*(1-ABS(D231)/(ABS(D231)+ABS(D230)))+C230*(1-ABS(D230)/(ABS(D231)+ABS(D230)))),"")))</f>
        <v>#NAME?</v>
      </c>
    </row>
    <row r="232" spans="2:5" x14ac:dyDescent="0.25">
      <c r="B232" t="e">
        <f t="shared" ca="1" si="7"/>
        <v>#NAME?</v>
      </c>
      <c r="C232">
        <v>189</v>
      </c>
      <c r="D232" t="e">
        <f t="shared" ca="1" si="6"/>
        <v>#NAME?</v>
      </c>
      <c r="E232" s="115" t="e">
        <f t="array" aca="1" ref="E232" ca="1">IF(OR(C231=0,AND(B233=0,C233=0)),"",IFERROR(INDEX($F$27:$F$36,MATCH(C232,($F$27:$F$36)*($D$27:$D$36&lt;&gt;0),0)),IF(OR(AND(D232=0,B232=0,B233&lt;&gt;0),AND(D232*D231&lt;0,B232&lt;&gt;0)),IF(D232=0,C232,C232*(1-ABS(D232)/(ABS(D232)+ABS(D231)))+C231*(1-ABS(D231)/(ABS(D232)+ABS(D231)))),"")))</f>
        <v>#NAME?</v>
      </c>
    </row>
    <row r="233" spans="2:5" x14ac:dyDescent="0.25">
      <c r="B233" t="e">
        <f t="shared" ca="1" si="7"/>
        <v>#NAME?</v>
      </c>
      <c r="C233">
        <v>190</v>
      </c>
      <c r="D233" t="e">
        <f t="shared" ca="1" si="6"/>
        <v>#NAME?</v>
      </c>
      <c r="E233" s="115" t="e">
        <f t="array" aca="1" ref="E233" ca="1">IF(OR(C232=0,AND(B234=0,C234=0)),"",IFERROR(INDEX($F$27:$F$36,MATCH(C233,($F$27:$F$36)*($D$27:$D$36&lt;&gt;0),0)),IF(OR(AND(D233=0,B233=0,B234&lt;&gt;0),AND(D233*D232&lt;0,B233&lt;&gt;0)),IF(D233=0,C233,C233*(1-ABS(D233)/(ABS(D233)+ABS(D232)))+C232*(1-ABS(D232)/(ABS(D233)+ABS(D232)))),"")))</f>
        <v>#NAME?</v>
      </c>
    </row>
    <row r="234" spans="2:5" x14ac:dyDescent="0.25">
      <c r="B234" t="e">
        <f t="shared" ca="1" si="7"/>
        <v>#NAME?</v>
      </c>
      <c r="C234">
        <v>191</v>
      </c>
      <c r="D234" t="e">
        <f t="shared" ca="1" si="6"/>
        <v>#NAME?</v>
      </c>
      <c r="E234" s="115" t="e">
        <f t="array" aca="1" ref="E234" ca="1">IF(OR(C233=0,AND(B235=0,C235=0)),"",IFERROR(INDEX($F$27:$F$36,MATCH(C234,($F$27:$F$36)*($D$27:$D$36&lt;&gt;0),0)),IF(OR(AND(D234=0,B234=0,B235&lt;&gt;0),AND(D234*D233&lt;0,B234&lt;&gt;0)),IF(D234=0,C234,C234*(1-ABS(D234)/(ABS(D234)+ABS(D233)))+C233*(1-ABS(D233)/(ABS(D234)+ABS(D233)))),"")))</f>
        <v>#NAME?</v>
      </c>
    </row>
    <row r="235" spans="2:5" x14ac:dyDescent="0.25">
      <c r="B235" t="e">
        <f t="shared" ca="1" si="7"/>
        <v>#NAME?</v>
      </c>
      <c r="C235">
        <v>192</v>
      </c>
      <c r="D235" t="e">
        <f t="shared" ref="D235:D298" ca="1" si="8">SUMPRODUCT(--($J$27:$J$37&gt;0),--($C235-$F$27:$F$37&gt;0),($D$27:$D$37),($C235-$F$27:$F$37))+SUMPRODUCT(--($J$27:$J$37&lt;0),--($F$27:$F$37-$C235&gt;0),($D$27:$D$37),($F$27:$F$37-$C235))-SUMPRODUCT($D$27:$D$37,$E$27:$E$37)</f>
        <v>#NAME?</v>
      </c>
      <c r="E235" s="115" t="e">
        <f t="array" aca="1" ref="E235" ca="1">IF(OR(C234=0,AND(B236=0,C236=0)),"",IFERROR(INDEX($F$27:$F$36,MATCH(C235,($F$27:$F$36)*($D$27:$D$36&lt;&gt;0),0)),IF(OR(AND(D235=0,B235=0,B236&lt;&gt;0),AND(D235*D234&lt;0,B235&lt;&gt;0)),IF(D235=0,C235,C235*(1-ABS(D235)/(ABS(D235)+ABS(D234)))+C234*(1-ABS(D234)/(ABS(D235)+ABS(D234)))),"")))</f>
        <v>#NAME?</v>
      </c>
    </row>
    <row r="236" spans="2:5" x14ac:dyDescent="0.25">
      <c r="B236" t="e">
        <f t="shared" ref="B236:B299" ca="1" si="9">ROUND((D236-D235)/(C236-C235),12)</f>
        <v>#NAME?</v>
      </c>
      <c r="C236">
        <v>193</v>
      </c>
      <c r="D236" t="e">
        <f t="shared" ca="1" si="8"/>
        <v>#NAME?</v>
      </c>
      <c r="E236" s="115" t="e">
        <f t="array" aca="1" ref="E236" ca="1">IF(OR(C235=0,AND(B237=0,C237=0)),"",IFERROR(INDEX($F$27:$F$36,MATCH(C236,($F$27:$F$36)*($D$27:$D$36&lt;&gt;0),0)),IF(OR(AND(D236=0,B236=0,B237&lt;&gt;0),AND(D236*D235&lt;0,B236&lt;&gt;0)),IF(D236=0,C236,C236*(1-ABS(D236)/(ABS(D236)+ABS(D235)))+C235*(1-ABS(D235)/(ABS(D236)+ABS(D235)))),"")))</f>
        <v>#NAME?</v>
      </c>
    </row>
    <row r="237" spans="2:5" x14ac:dyDescent="0.25">
      <c r="B237" t="e">
        <f t="shared" ca="1" si="9"/>
        <v>#NAME?</v>
      </c>
      <c r="C237">
        <v>194</v>
      </c>
      <c r="D237" t="e">
        <f t="shared" ca="1" si="8"/>
        <v>#NAME?</v>
      </c>
      <c r="E237" s="115" t="e">
        <f t="array" aca="1" ref="E237" ca="1">IF(OR(C236=0,AND(B238=0,C238=0)),"",IFERROR(INDEX($F$27:$F$36,MATCH(C237,($F$27:$F$36)*($D$27:$D$36&lt;&gt;0),0)),IF(OR(AND(D237=0,B237=0,B238&lt;&gt;0),AND(D237*D236&lt;0,B237&lt;&gt;0)),IF(D237=0,C237,C237*(1-ABS(D237)/(ABS(D237)+ABS(D236)))+C236*(1-ABS(D236)/(ABS(D237)+ABS(D236)))),"")))</f>
        <v>#NAME?</v>
      </c>
    </row>
    <row r="238" spans="2:5" x14ac:dyDescent="0.25">
      <c r="B238" t="e">
        <f t="shared" ca="1" si="9"/>
        <v>#NAME?</v>
      </c>
      <c r="C238">
        <v>195</v>
      </c>
      <c r="D238" t="e">
        <f t="shared" ca="1" si="8"/>
        <v>#NAME?</v>
      </c>
      <c r="E238" s="115" t="e">
        <f t="array" aca="1" ref="E238" ca="1">IF(OR(C237=0,AND(B239=0,C239=0)),"",IFERROR(INDEX($F$27:$F$36,MATCH(C238,($F$27:$F$36)*($D$27:$D$36&lt;&gt;0),0)),IF(OR(AND(D238=0,B238=0,B239&lt;&gt;0),AND(D238*D237&lt;0,B238&lt;&gt;0)),IF(D238=0,C238,C238*(1-ABS(D238)/(ABS(D238)+ABS(D237)))+C237*(1-ABS(D237)/(ABS(D238)+ABS(D237)))),"")))</f>
        <v>#NAME?</v>
      </c>
    </row>
    <row r="239" spans="2:5" x14ac:dyDescent="0.25">
      <c r="B239" t="e">
        <f t="shared" ca="1" si="9"/>
        <v>#NAME?</v>
      </c>
      <c r="C239">
        <v>196</v>
      </c>
      <c r="D239" t="e">
        <f t="shared" ca="1" si="8"/>
        <v>#NAME?</v>
      </c>
      <c r="E239" s="115" t="e">
        <f t="array" aca="1" ref="E239" ca="1">IF(OR(C238=0,AND(B240=0,C240=0)),"",IFERROR(INDEX($F$27:$F$36,MATCH(C239,($F$27:$F$36)*($D$27:$D$36&lt;&gt;0),0)),IF(OR(AND(D239=0,B239=0,B240&lt;&gt;0),AND(D239*D238&lt;0,B239&lt;&gt;0)),IF(D239=0,C239,C239*(1-ABS(D239)/(ABS(D239)+ABS(D238)))+C238*(1-ABS(D238)/(ABS(D239)+ABS(D238)))),"")))</f>
        <v>#NAME?</v>
      </c>
    </row>
    <row r="240" spans="2:5" x14ac:dyDescent="0.25">
      <c r="B240" t="e">
        <f t="shared" ca="1" si="9"/>
        <v>#NAME?</v>
      </c>
      <c r="C240">
        <v>197</v>
      </c>
      <c r="D240" t="e">
        <f t="shared" ca="1" si="8"/>
        <v>#NAME?</v>
      </c>
      <c r="E240" s="115" t="e">
        <f t="array" aca="1" ref="E240" ca="1">IF(OR(C239=0,AND(B241=0,C241=0)),"",IFERROR(INDEX($F$27:$F$36,MATCH(C240,($F$27:$F$36)*($D$27:$D$36&lt;&gt;0),0)),IF(OR(AND(D240=0,B240=0,B241&lt;&gt;0),AND(D240*D239&lt;0,B240&lt;&gt;0)),IF(D240=0,C240,C240*(1-ABS(D240)/(ABS(D240)+ABS(D239)))+C239*(1-ABS(D239)/(ABS(D240)+ABS(D239)))),"")))</f>
        <v>#NAME?</v>
      </c>
    </row>
    <row r="241" spans="2:5" x14ac:dyDescent="0.25">
      <c r="B241" t="e">
        <f t="shared" ca="1" si="9"/>
        <v>#NAME?</v>
      </c>
      <c r="C241">
        <v>198</v>
      </c>
      <c r="D241" t="e">
        <f t="shared" ca="1" si="8"/>
        <v>#NAME?</v>
      </c>
      <c r="E241" s="115" t="e">
        <f t="array" aca="1" ref="E241" ca="1">IF(OR(C240=0,AND(B242=0,C242=0)),"",IFERROR(INDEX($F$27:$F$36,MATCH(C241,($F$27:$F$36)*($D$27:$D$36&lt;&gt;0),0)),IF(OR(AND(D241=0,B241=0,B242&lt;&gt;0),AND(D241*D240&lt;0,B241&lt;&gt;0)),IF(D241=0,C241,C241*(1-ABS(D241)/(ABS(D241)+ABS(D240)))+C240*(1-ABS(D240)/(ABS(D241)+ABS(D240)))),"")))</f>
        <v>#NAME?</v>
      </c>
    </row>
    <row r="242" spans="2:5" x14ac:dyDescent="0.25">
      <c r="B242" t="e">
        <f t="shared" ca="1" si="9"/>
        <v>#NAME?</v>
      </c>
      <c r="C242">
        <v>199</v>
      </c>
      <c r="D242" t="e">
        <f t="shared" ca="1" si="8"/>
        <v>#NAME?</v>
      </c>
      <c r="E242" s="115" t="e">
        <f t="array" aca="1" ref="E242" ca="1">IF(OR(C241=0,AND(B243=0,C243=0)),"",IFERROR(INDEX($F$27:$F$36,MATCH(C242,($F$27:$F$36)*($D$27:$D$36&lt;&gt;0),0)),IF(OR(AND(D242=0,B242=0,B243&lt;&gt;0),AND(D242*D241&lt;0,B242&lt;&gt;0)),IF(D242=0,C242,C242*(1-ABS(D242)/(ABS(D242)+ABS(D241)))+C241*(1-ABS(D241)/(ABS(D242)+ABS(D241)))),"")))</f>
        <v>#NAME?</v>
      </c>
    </row>
    <row r="243" spans="2:5" x14ac:dyDescent="0.25">
      <c r="B243" t="e">
        <f t="shared" ca="1" si="9"/>
        <v>#NAME?</v>
      </c>
      <c r="C243">
        <v>200</v>
      </c>
      <c r="D243" t="e">
        <f t="shared" ca="1" si="8"/>
        <v>#NAME?</v>
      </c>
      <c r="E243" s="115" t="e">
        <f t="array" aca="1" ref="E243" ca="1">IF(OR(C242=0,AND(B244=0,C244=0)),"",IFERROR(INDEX($F$27:$F$36,MATCH(C243,($F$27:$F$36)*($D$27:$D$36&lt;&gt;0),0)),IF(OR(AND(D243=0,B243=0,B244&lt;&gt;0),AND(D243*D242&lt;0,B243&lt;&gt;0)),IF(D243=0,C243,C243*(1-ABS(D243)/(ABS(D243)+ABS(D242)))+C242*(1-ABS(D242)/(ABS(D243)+ABS(D242)))),"")))</f>
        <v>#NAME?</v>
      </c>
    </row>
    <row r="244" spans="2:5" x14ac:dyDescent="0.25">
      <c r="B244" t="e">
        <f t="shared" ca="1" si="9"/>
        <v>#NAME?</v>
      </c>
      <c r="C244">
        <v>201</v>
      </c>
      <c r="D244" t="e">
        <f t="shared" ca="1" si="8"/>
        <v>#NAME?</v>
      </c>
      <c r="E244" s="115" t="e">
        <f t="array" aca="1" ref="E244" ca="1">IF(OR(C243=0,AND(B245=0,C245=0)),"",IFERROR(INDEX($F$27:$F$36,MATCH(C244,($F$27:$F$36)*($D$27:$D$36&lt;&gt;0),0)),IF(OR(AND(D244=0,B244=0,B245&lt;&gt;0),AND(D244*D243&lt;0,B244&lt;&gt;0)),IF(D244=0,C244,C244*(1-ABS(D244)/(ABS(D244)+ABS(D243)))+C243*(1-ABS(D243)/(ABS(D244)+ABS(D243)))),"")))</f>
        <v>#NAME?</v>
      </c>
    </row>
    <row r="245" spans="2:5" x14ac:dyDescent="0.25">
      <c r="B245" t="e">
        <f t="shared" ca="1" si="9"/>
        <v>#NAME?</v>
      </c>
      <c r="C245">
        <v>202</v>
      </c>
      <c r="D245" t="e">
        <f t="shared" ca="1" si="8"/>
        <v>#NAME?</v>
      </c>
      <c r="E245" s="115" t="e">
        <f t="array" aca="1" ref="E245" ca="1">IF(OR(C244=0,AND(B246=0,C246=0)),"",IFERROR(INDEX($F$27:$F$36,MATCH(C245,($F$27:$F$36)*($D$27:$D$36&lt;&gt;0),0)),IF(OR(AND(D245=0,B245=0,B246&lt;&gt;0),AND(D245*D244&lt;0,B245&lt;&gt;0)),IF(D245=0,C245,C245*(1-ABS(D245)/(ABS(D245)+ABS(D244)))+C244*(1-ABS(D244)/(ABS(D245)+ABS(D244)))),"")))</f>
        <v>#NAME?</v>
      </c>
    </row>
    <row r="246" spans="2:5" x14ac:dyDescent="0.25">
      <c r="B246" t="e">
        <f t="shared" ca="1" si="9"/>
        <v>#NAME?</v>
      </c>
      <c r="C246">
        <v>203</v>
      </c>
      <c r="D246" t="e">
        <f t="shared" ca="1" si="8"/>
        <v>#NAME?</v>
      </c>
      <c r="E246" s="115" t="e">
        <f t="array" aca="1" ref="E246" ca="1">IF(OR(C245=0,AND(B247=0,C247=0)),"",IFERROR(INDEX($F$27:$F$36,MATCH(C246,($F$27:$F$36)*($D$27:$D$36&lt;&gt;0),0)),IF(OR(AND(D246=0,B246=0,B247&lt;&gt;0),AND(D246*D245&lt;0,B246&lt;&gt;0)),IF(D246=0,C246,C246*(1-ABS(D246)/(ABS(D246)+ABS(D245)))+C245*(1-ABS(D245)/(ABS(D246)+ABS(D245)))),"")))</f>
        <v>#NAME?</v>
      </c>
    </row>
    <row r="247" spans="2:5" x14ac:dyDescent="0.25">
      <c r="B247" t="e">
        <f t="shared" ca="1" si="9"/>
        <v>#NAME?</v>
      </c>
      <c r="C247">
        <v>204</v>
      </c>
      <c r="D247" t="e">
        <f t="shared" ca="1" si="8"/>
        <v>#NAME?</v>
      </c>
      <c r="E247" s="115" t="e">
        <f t="array" aca="1" ref="E247" ca="1">IF(OR(C246=0,AND(B248=0,C248=0)),"",IFERROR(INDEX($F$27:$F$36,MATCH(C247,($F$27:$F$36)*($D$27:$D$36&lt;&gt;0),0)),IF(OR(AND(D247=0,B247=0,B248&lt;&gt;0),AND(D247*D246&lt;0,B247&lt;&gt;0)),IF(D247=0,C247,C247*(1-ABS(D247)/(ABS(D247)+ABS(D246)))+C246*(1-ABS(D246)/(ABS(D247)+ABS(D246)))),"")))</f>
        <v>#NAME?</v>
      </c>
    </row>
    <row r="248" spans="2:5" x14ac:dyDescent="0.25">
      <c r="B248" t="e">
        <f t="shared" ca="1" si="9"/>
        <v>#NAME?</v>
      </c>
      <c r="C248">
        <v>205</v>
      </c>
      <c r="D248" t="e">
        <f t="shared" ca="1" si="8"/>
        <v>#NAME?</v>
      </c>
      <c r="E248" s="115" t="e">
        <f t="array" aca="1" ref="E248" ca="1">IF(OR(C247=0,AND(B249=0,C249=0)),"",IFERROR(INDEX($F$27:$F$36,MATCH(C248,($F$27:$F$36)*($D$27:$D$36&lt;&gt;0),0)),IF(OR(AND(D248=0,B248=0,B249&lt;&gt;0),AND(D248*D247&lt;0,B248&lt;&gt;0)),IF(D248=0,C248,C248*(1-ABS(D248)/(ABS(D248)+ABS(D247)))+C247*(1-ABS(D247)/(ABS(D248)+ABS(D247)))),"")))</f>
        <v>#NAME?</v>
      </c>
    </row>
    <row r="249" spans="2:5" x14ac:dyDescent="0.25">
      <c r="B249" t="e">
        <f t="shared" ca="1" si="9"/>
        <v>#NAME?</v>
      </c>
      <c r="C249">
        <v>206</v>
      </c>
      <c r="D249" t="e">
        <f t="shared" ca="1" si="8"/>
        <v>#NAME?</v>
      </c>
      <c r="E249" s="115" t="e">
        <f t="array" aca="1" ref="E249" ca="1">IF(OR(C248=0,AND(B250=0,C250=0)),"",IFERROR(INDEX($F$27:$F$36,MATCH(C249,($F$27:$F$36)*($D$27:$D$36&lt;&gt;0),0)),IF(OR(AND(D249=0,B249=0,B250&lt;&gt;0),AND(D249*D248&lt;0,B249&lt;&gt;0)),IF(D249=0,C249,C249*(1-ABS(D249)/(ABS(D249)+ABS(D248)))+C248*(1-ABS(D248)/(ABS(D249)+ABS(D248)))),"")))</f>
        <v>#NAME?</v>
      </c>
    </row>
    <row r="250" spans="2:5" x14ac:dyDescent="0.25">
      <c r="B250" t="e">
        <f t="shared" ca="1" si="9"/>
        <v>#NAME?</v>
      </c>
      <c r="C250">
        <v>207</v>
      </c>
      <c r="D250" t="e">
        <f t="shared" ca="1" si="8"/>
        <v>#NAME?</v>
      </c>
      <c r="E250" s="115" t="e">
        <f t="array" aca="1" ref="E250" ca="1">IF(OR(C249=0,AND(B251=0,C251=0)),"",IFERROR(INDEX($F$27:$F$36,MATCH(C250,($F$27:$F$36)*($D$27:$D$36&lt;&gt;0),0)),IF(OR(AND(D250=0,B250=0,B251&lt;&gt;0),AND(D250*D249&lt;0,B250&lt;&gt;0)),IF(D250=0,C250,C250*(1-ABS(D250)/(ABS(D250)+ABS(D249)))+C249*(1-ABS(D249)/(ABS(D250)+ABS(D249)))),"")))</f>
        <v>#NAME?</v>
      </c>
    </row>
    <row r="251" spans="2:5" x14ac:dyDescent="0.25">
      <c r="B251" t="e">
        <f t="shared" ca="1" si="9"/>
        <v>#NAME?</v>
      </c>
      <c r="C251">
        <v>208</v>
      </c>
      <c r="D251" t="e">
        <f t="shared" ca="1" si="8"/>
        <v>#NAME?</v>
      </c>
      <c r="E251" s="115" t="e">
        <f t="array" aca="1" ref="E251" ca="1">IF(OR(C250=0,AND(B252=0,C252=0)),"",IFERROR(INDEX($F$27:$F$36,MATCH(C251,($F$27:$F$36)*($D$27:$D$36&lt;&gt;0),0)),IF(OR(AND(D251=0,B251=0,B252&lt;&gt;0),AND(D251*D250&lt;0,B251&lt;&gt;0)),IF(D251=0,C251,C251*(1-ABS(D251)/(ABS(D251)+ABS(D250)))+C250*(1-ABS(D250)/(ABS(D251)+ABS(D250)))),"")))</f>
        <v>#NAME?</v>
      </c>
    </row>
    <row r="252" spans="2:5" x14ac:dyDescent="0.25">
      <c r="B252" t="e">
        <f t="shared" ca="1" si="9"/>
        <v>#NAME?</v>
      </c>
      <c r="C252">
        <v>209</v>
      </c>
      <c r="D252" t="e">
        <f t="shared" ca="1" si="8"/>
        <v>#NAME?</v>
      </c>
      <c r="E252" s="115" t="e">
        <f t="array" aca="1" ref="E252" ca="1">IF(OR(C251=0,AND(B253=0,C253=0)),"",IFERROR(INDEX($F$27:$F$36,MATCH(C252,($F$27:$F$36)*($D$27:$D$36&lt;&gt;0),0)),IF(OR(AND(D252=0,B252=0,B253&lt;&gt;0),AND(D252*D251&lt;0,B252&lt;&gt;0)),IF(D252=0,C252,C252*(1-ABS(D252)/(ABS(D252)+ABS(D251)))+C251*(1-ABS(D251)/(ABS(D252)+ABS(D251)))),"")))</f>
        <v>#NAME?</v>
      </c>
    </row>
    <row r="253" spans="2:5" x14ac:dyDescent="0.25">
      <c r="B253" t="e">
        <f t="shared" ca="1" si="9"/>
        <v>#NAME?</v>
      </c>
      <c r="C253">
        <v>210</v>
      </c>
      <c r="D253" t="e">
        <f t="shared" ca="1" si="8"/>
        <v>#NAME?</v>
      </c>
      <c r="E253" s="115" t="e">
        <f t="array" aca="1" ref="E253" ca="1">IF(OR(C252=0,AND(B254=0,C254=0)),"",IFERROR(INDEX($F$27:$F$36,MATCH(C253,($F$27:$F$36)*($D$27:$D$36&lt;&gt;0),0)),IF(OR(AND(D253=0,B253=0,B254&lt;&gt;0),AND(D253*D252&lt;0,B253&lt;&gt;0)),IF(D253=0,C253,C253*(1-ABS(D253)/(ABS(D253)+ABS(D252)))+C252*(1-ABS(D252)/(ABS(D253)+ABS(D252)))),"")))</f>
        <v>#NAME?</v>
      </c>
    </row>
    <row r="254" spans="2:5" x14ac:dyDescent="0.25">
      <c r="B254" t="e">
        <f t="shared" ca="1" si="9"/>
        <v>#NAME?</v>
      </c>
      <c r="C254">
        <v>211</v>
      </c>
      <c r="D254" t="e">
        <f t="shared" ca="1" si="8"/>
        <v>#NAME?</v>
      </c>
      <c r="E254" s="115" t="e">
        <f t="array" aca="1" ref="E254" ca="1">IF(OR(C253=0,AND(B255=0,C255=0)),"",IFERROR(INDEX($F$27:$F$36,MATCH(C254,($F$27:$F$36)*($D$27:$D$36&lt;&gt;0),0)),IF(OR(AND(D254=0,B254=0,B255&lt;&gt;0),AND(D254*D253&lt;0,B254&lt;&gt;0)),IF(D254=0,C254,C254*(1-ABS(D254)/(ABS(D254)+ABS(D253)))+C253*(1-ABS(D253)/(ABS(D254)+ABS(D253)))),"")))</f>
        <v>#NAME?</v>
      </c>
    </row>
    <row r="255" spans="2:5" x14ac:dyDescent="0.25">
      <c r="B255" t="e">
        <f t="shared" ca="1" si="9"/>
        <v>#NAME?</v>
      </c>
      <c r="C255">
        <v>212</v>
      </c>
      <c r="D255" t="e">
        <f t="shared" ca="1" si="8"/>
        <v>#NAME?</v>
      </c>
      <c r="E255" s="115" t="e">
        <f t="array" aca="1" ref="E255" ca="1">IF(OR(C254=0,AND(B256=0,C256=0)),"",IFERROR(INDEX($F$27:$F$36,MATCH(C255,($F$27:$F$36)*($D$27:$D$36&lt;&gt;0),0)),IF(OR(AND(D255=0,B255=0,B256&lt;&gt;0),AND(D255*D254&lt;0,B255&lt;&gt;0)),IF(D255=0,C255,C255*(1-ABS(D255)/(ABS(D255)+ABS(D254)))+C254*(1-ABS(D254)/(ABS(D255)+ABS(D254)))),"")))</f>
        <v>#NAME?</v>
      </c>
    </row>
    <row r="256" spans="2:5" x14ac:dyDescent="0.25">
      <c r="B256" t="e">
        <f t="shared" ca="1" si="9"/>
        <v>#NAME?</v>
      </c>
      <c r="C256">
        <v>213</v>
      </c>
      <c r="D256" t="e">
        <f t="shared" ca="1" si="8"/>
        <v>#NAME?</v>
      </c>
      <c r="E256" s="115" t="e">
        <f t="array" aca="1" ref="E256" ca="1">IF(OR(C255=0,AND(B257=0,C257=0)),"",IFERROR(INDEX($F$27:$F$36,MATCH(C256,($F$27:$F$36)*($D$27:$D$36&lt;&gt;0),0)),IF(OR(AND(D256=0,B256=0,B257&lt;&gt;0),AND(D256*D255&lt;0,B256&lt;&gt;0)),IF(D256=0,C256,C256*(1-ABS(D256)/(ABS(D256)+ABS(D255)))+C255*(1-ABS(D255)/(ABS(D256)+ABS(D255)))),"")))</f>
        <v>#NAME?</v>
      </c>
    </row>
    <row r="257" spans="2:5" x14ac:dyDescent="0.25">
      <c r="B257" t="e">
        <f t="shared" ca="1" si="9"/>
        <v>#NAME?</v>
      </c>
      <c r="C257">
        <v>214</v>
      </c>
      <c r="D257" t="e">
        <f t="shared" ca="1" si="8"/>
        <v>#NAME?</v>
      </c>
      <c r="E257" s="115" t="e">
        <f t="array" aca="1" ref="E257" ca="1">IF(OR(C256=0,AND(B258=0,C258=0)),"",IFERROR(INDEX($F$27:$F$36,MATCH(C257,($F$27:$F$36)*($D$27:$D$36&lt;&gt;0),0)),IF(OR(AND(D257=0,B257=0,B258&lt;&gt;0),AND(D257*D256&lt;0,B257&lt;&gt;0)),IF(D257=0,C257,C257*(1-ABS(D257)/(ABS(D257)+ABS(D256)))+C256*(1-ABS(D256)/(ABS(D257)+ABS(D256)))),"")))</f>
        <v>#NAME?</v>
      </c>
    </row>
    <row r="258" spans="2:5" x14ac:dyDescent="0.25">
      <c r="B258" t="e">
        <f t="shared" ca="1" si="9"/>
        <v>#NAME?</v>
      </c>
      <c r="C258">
        <v>215</v>
      </c>
      <c r="D258" t="e">
        <f t="shared" ca="1" si="8"/>
        <v>#NAME?</v>
      </c>
      <c r="E258" s="115" t="e">
        <f t="array" aca="1" ref="E258" ca="1">IF(OR(C257=0,AND(B259=0,C259=0)),"",IFERROR(INDEX($F$27:$F$36,MATCH(C258,($F$27:$F$36)*($D$27:$D$36&lt;&gt;0),0)),IF(OR(AND(D258=0,B258=0,B259&lt;&gt;0),AND(D258*D257&lt;0,B258&lt;&gt;0)),IF(D258=0,C258,C258*(1-ABS(D258)/(ABS(D258)+ABS(D257)))+C257*(1-ABS(D257)/(ABS(D258)+ABS(D257)))),"")))</f>
        <v>#NAME?</v>
      </c>
    </row>
    <row r="259" spans="2:5" x14ac:dyDescent="0.25">
      <c r="B259" t="e">
        <f t="shared" ca="1" si="9"/>
        <v>#NAME?</v>
      </c>
      <c r="C259">
        <v>216</v>
      </c>
      <c r="D259" t="e">
        <f t="shared" ca="1" si="8"/>
        <v>#NAME?</v>
      </c>
      <c r="E259" s="115" t="e">
        <f t="array" aca="1" ref="E259" ca="1">IF(OR(C258=0,AND(B260=0,C260=0)),"",IFERROR(INDEX($F$27:$F$36,MATCH(C259,($F$27:$F$36)*($D$27:$D$36&lt;&gt;0),0)),IF(OR(AND(D259=0,B259=0,B260&lt;&gt;0),AND(D259*D258&lt;0,B259&lt;&gt;0)),IF(D259=0,C259,C259*(1-ABS(D259)/(ABS(D259)+ABS(D258)))+C258*(1-ABS(D258)/(ABS(D259)+ABS(D258)))),"")))</f>
        <v>#NAME?</v>
      </c>
    </row>
    <row r="260" spans="2:5" x14ac:dyDescent="0.25">
      <c r="B260" t="e">
        <f t="shared" ca="1" si="9"/>
        <v>#NAME?</v>
      </c>
      <c r="C260">
        <v>217</v>
      </c>
      <c r="D260" t="e">
        <f t="shared" ca="1" si="8"/>
        <v>#NAME?</v>
      </c>
      <c r="E260" s="115" t="e">
        <f t="array" aca="1" ref="E260" ca="1">IF(OR(C259=0,AND(B261=0,C261=0)),"",IFERROR(INDEX($F$27:$F$36,MATCH(C260,($F$27:$F$36)*($D$27:$D$36&lt;&gt;0),0)),IF(OR(AND(D260=0,B260=0,B261&lt;&gt;0),AND(D260*D259&lt;0,B260&lt;&gt;0)),IF(D260=0,C260,C260*(1-ABS(D260)/(ABS(D260)+ABS(D259)))+C259*(1-ABS(D259)/(ABS(D260)+ABS(D259)))),"")))</f>
        <v>#NAME?</v>
      </c>
    </row>
    <row r="261" spans="2:5" x14ac:dyDescent="0.25">
      <c r="B261" t="e">
        <f t="shared" ca="1" si="9"/>
        <v>#NAME?</v>
      </c>
      <c r="C261">
        <v>218</v>
      </c>
      <c r="D261" t="e">
        <f t="shared" ca="1" si="8"/>
        <v>#NAME?</v>
      </c>
      <c r="E261" s="115" t="e">
        <f t="array" aca="1" ref="E261" ca="1">IF(OR(C260=0,AND(B262=0,C262=0)),"",IFERROR(INDEX($F$27:$F$36,MATCH(C261,($F$27:$F$36)*($D$27:$D$36&lt;&gt;0),0)),IF(OR(AND(D261=0,B261=0,B262&lt;&gt;0),AND(D261*D260&lt;0,B261&lt;&gt;0)),IF(D261=0,C261,C261*(1-ABS(D261)/(ABS(D261)+ABS(D260)))+C260*(1-ABS(D260)/(ABS(D261)+ABS(D260)))),"")))</f>
        <v>#NAME?</v>
      </c>
    </row>
    <row r="262" spans="2:5" x14ac:dyDescent="0.25">
      <c r="B262" t="e">
        <f t="shared" ca="1" si="9"/>
        <v>#NAME?</v>
      </c>
      <c r="C262">
        <v>219</v>
      </c>
      <c r="D262" t="e">
        <f t="shared" ca="1" si="8"/>
        <v>#NAME?</v>
      </c>
      <c r="E262" s="115" t="e">
        <f t="array" aca="1" ref="E262" ca="1">IF(OR(C261=0,AND(B263=0,C263=0)),"",IFERROR(INDEX($F$27:$F$36,MATCH(C262,($F$27:$F$36)*($D$27:$D$36&lt;&gt;0),0)),IF(OR(AND(D262=0,B262=0,B263&lt;&gt;0),AND(D262*D261&lt;0,B262&lt;&gt;0)),IF(D262=0,C262,C262*(1-ABS(D262)/(ABS(D262)+ABS(D261)))+C261*(1-ABS(D261)/(ABS(D262)+ABS(D261)))),"")))</f>
        <v>#NAME?</v>
      </c>
    </row>
    <row r="263" spans="2:5" x14ac:dyDescent="0.25">
      <c r="B263" t="e">
        <f t="shared" ca="1" si="9"/>
        <v>#NAME?</v>
      </c>
      <c r="C263">
        <v>220</v>
      </c>
      <c r="D263" t="e">
        <f t="shared" ca="1" si="8"/>
        <v>#NAME?</v>
      </c>
      <c r="E263" s="115" t="e">
        <f t="array" aca="1" ref="E263" ca="1">IF(OR(C262=0,AND(B264=0,C264=0)),"",IFERROR(INDEX($F$27:$F$36,MATCH(C263,($F$27:$F$36)*($D$27:$D$36&lt;&gt;0),0)),IF(OR(AND(D263=0,B263=0,B264&lt;&gt;0),AND(D263*D262&lt;0,B263&lt;&gt;0)),IF(D263=0,C263,C263*(1-ABS(D263)/(ABS(D263)+ABS(D262)))+C262*(1-ABS(D262)/(ABS(D263)+ABS(D262)))),"")))</f>
        <v>#NAME?</v>
      </c>
    </row>
    <row r="264" spans="2:5" x14ac:dyDescent="0.25">
      <c r="B264" t="e">
        <f t="shared" ca="1" si="9"/>
        <v>#NAME?</v>
      </c>
      <c r="C264">
        <v>221</v>
      </c>
      <c r="D264" t="e">
        <f t="shared" ca="1" si="8"/>
        <v>#NAME?</v>
      </c>
      <c r="E264" s="115" t="e">
        <f t="array" aca="1" ref="E264" ca="1">IF(OR(C263=0,AND(B265=0,C265=0)),"",IFERROR(INDEX($F$27:$F$36,MATCH(C264,($F$27:$F$36)*($D$27:$D$36&lt;&gt;0),0)),IF(OR(AND(D264=0,B264=0,B265&lt;&gt;0),AND(D264*D263&lt;0,B264&lt;&gt;0)),IF(D264=0,C264,C264*(1-ABS(D264)/(ABS(D264)+ABS(D263)))+C263*(1-ABS(D263)/(ABS(D264)+ABS(D263)))),"")))</f>
        <v>#NAME?</v>
      </c>
    </row>
    <row r="265" spans="2:5" x14ac:dyDescent="0.25">
      <c r="B265" t="e">
        <f t="shared" ca="1" si="9"/>
        <v>#NAME?</v>
      </c>
      <c r="C265">
        <v>222</v>
      </c>
      <c r="D265" t="e">
        <f t="shared" ca="1" si="8"/>
        <v>#NAME?</v>
      </c>
      <c r="E265" s="115" t="e">
        <f t="array" aca="1" ref="E265" ca="1">IF(OR(C264=0,AND(B266=0,C266=0)),"",IFERROR(INDEX($F$27:$F$36,MATCH(C265,($F$27:$F$36)*($D$27:$D$36&lt;&gt;0),0)),IF(OR(AND(D265=0,B265=0,B266&lt;&gt;0),AND(D265*D264&lt;0,B265&lt;&gt;0)),IF(D265=0,C265,C265*(1-ABS(D265)/(ABS(D265)+ABS(D264)))+C264*(1-ABS(D264)/(ABS(D265)+ABS(D264)))),"")))</f>
        <v>#NAME?</v>
      </c>
    </row>
    <row r="266" spans="2:5" x14ac:dyDescent="0.25">
      <c r="B266" t="e">
        <f t="shared" ca="1" si="9"/>
        <v>#NAME?</v>
      </c>
      <c r="C266">
        <v>223</v>
      </c>
      <c r="D266" t="e">
        <f t="shared" ca="1" si="8"/>
        <v>#NAME?</v>
      </c>
      <c r="E266" s="115" t="e">
        <f t="array" aca="1" ref="E266" ca="1">IF(OR(C265=0,AND(B267=0,C267=0)),"",IFERROR(INDEX($F$27:$F$36,MATCH(C266,($F$27:$F$36)*($D$27:$D$36&lt;&gt;0),0)),IF(OR(AND(D266=0,B266=0,B267&lt;&gt;0),AND(D266*D265&lt;0,B266&lt;&gt;0)),IF(D266=0,C266,C266*(1-ABS(D266)/(ABS(D266)+ABS(D265)))+C265*(1-ABS(D265)/(ABS(D266)+ABS(D265)))),"")))</f>
        <v>#NAME?</v>
      </c>
    </row>
    <row r="267" spans="2:5" x14ac:dyDescent="0.25">
      <c r="B267" t="e">
        <f t="shared" ca="1" si="9"/>
        <v>#NAME?</v>
      </c>
      <c r="C267">
        <v>224</v>
      </c>
      <c r="D267" t="e">
        <f t="shared" ca="1" si="8"/>
        <v>#NAME?</v>
      </c>
      <c r="E267" s="115" t="e">
        <f t="array" aca="1" ref="E267" ca="1">IF(OR(C266=0,AND(B268=0,C268=0)),"",IFERROR(INDEX($F$27:$F$36,MATCH(C267,($F$27:$F$36)*($D$27:$D$36&lt;&gt;0),0)),IF(OR(AND(D267=0,B267=0,B268&lt;&gt;0),AND(D267*D266&lt;0,B267&lt;&gt;0)),IF(D267=0,C267,C267*(1-ABS(D267)/(ABS(D267)+ABS(D266)))+C266*(1-ABS(D266)/(ABS(D267)+ABS(D266)))),"")))</f>
        <v>#NAME?</v>
      </c>
    </row>
    <row r="268" spans="2:5" x14ac:dyDescent="0.25">
      <c r="B268" t="e">
        <f t="shared" ca="1" si="9"/>
        <v>#NAME?</v>
      </c>
      <c r="C268">
        <v>225</v>
      </c>
      <c r="D268" t="e">
        <f t="shared" ca="1" si="8"/>
        <v>#NAME?</v>
      </c>
      <c r="E268" s="115" t="e">
        <f t="array" aca="1" ref="E268" ca="1">IF(OR(C267=0,AND(B269=0,C269=0)),"",IFERROR(INDEX($F$27:$F$36,MATCH(C268,($F$27:$F$36)*($D$27:$D$36&lt;&gt;0),0)),IF(OR(AND(D268=0,B268=0,B269&lt;&gt;0),AND(D268*D267&lt;0,B268&lt;&gt;0)),IF(D268=0,C268,C268*(1-ABS(D268)/(ABS(D268)+ABS(D267)))+C267*(1-ABS(D267)/(ABS(D268)+ABS(D267)))),"")))</f>
        <v>#NAME?</v>
      </c>
    </row>
    <row r="269" spans="2:5" x14ac:dyDescent="0.25">
      <c r="B269" t="e">
        <f t="shared" ca="1" si="9"/>
        <v>#NAME?</v>
      </c>
      <c r="C269">
        <v>226</v>
      </c>
      <c r="D269" t="e">
        <f t="shared" ca="1" si="8"/>
        <v>#NAME?</v>
      </c>
      <c r="E269" s="115" t="e">
        <f t="array" aca="1" ref="E269" ca="1">IF(OR(C268=0,AND(B270=0,C270=0)),"",IFERROR(INDEX($F$27:$F$36,MATCH(C269,($F$27:$F$36)*($D$27:$D$36&lt;&gt;0),0)),IF(OR(AND(D269=0,B269=0,B270&lt;&gt;0),AND(D269*D268&lt;0,B269&lt;&gt;0)),IF(D269=0,C269,C269*(1-ABS(D269)/(ABS(D269)+ABS(D268)))+C268*(1-ABS(D268)/(ABS(D269)+ABS(D268)))),"")))</f>
        <v>#NAME?</v>
      </c>
    </row>
    <row r="270" spans="2:5" x14ac:dyDescent="0.25">
      <c r="B270" t="e">
        <f t="shared" ca="1" si="9"/>
        <v>#NAME?</v>
      </c>
      <c r="C270">
        <v>227</v>
      </c>
      <c r="D270" t="e">
        <f t="shared" ca="1" si="8"/>
        <v>#NAME?</v>
      </c>
      <c r="E270" s="115" t="e">
        <f t="array" aca="1" ref="E270" ca="1">IF(OR(C269=0,AND(B271=0,C271=0)),"",IFERROR(INDEX($F$27:$F$36,MATCH(C270,($F$27:$F$36)*($D$27:$D$36&lt;&gt;0),0)),IF(OR(AND(D270=0,B270=0,B271&lt;&gt;0),AND(D270*D269&lt;0,B270&lt;&gt;0)),IF(D270=0,C270,C270*(1-ABS(D270)/(ABS(D270)+ABS(D269)))+C269*(1-ABS(D269)/(ABS(D270)+ABS(D269)))),"")))</f>
        <v>#NAME?</v>
      </c>
    </row>
    <row r="271" spans="2:5" x14ac:dyDescent="0.25">
      <c r="B271" t="e">
        <f t="shared" ca="1" si="9"/>
        <v>#NAME?</v>
      </c>
      <c r="C271">
        <v>228</v>
      </c>
      <c r="D271" t="e">
        <f t="shared" ca="1" si="8"/>
        <v>#NAME?</v>
      </c>
      <c r="E271" s="115" t="e">
        <f t="array" aca="1" ref="E271" ca="1">IF(OR(C270=0,AND(B272=0,C272=0)),"",IFERROR(INDEX($F$27:$F$36,MATCH(C271,($F$27:$F$36)*($D$27:$D$36&lt;&gt;0),0)),IF(OR(AND(D271=0,B271=0,B272&lt;&gt;0),AND(D271*D270&lt;0,B271&lt;&gt;0)),IF(D271=0,C271,C271*(1-ABS(D271)/(ABS(D271)+ABS(D270)))+C270*(1-ABS(D270)/(ABS(D271)+ABS(D270)))),"")))</f>
        <v>#NAME?</v>
      </c>
    </row>
    <row r="272" spans="2:5" x14ac:dyDescent="0.25">
      <c r="B272" t="e">
        <f t="shared" ca="1" si="9"/>
        <v>#NAME?</v>
      </c>
      <c r="C272">
        <v>229</v>
      </c>
      <c r="D272" t="e">
        <f t="shared" ca="1" si="8"/>
        <v>#NAME?</v>
      </c>
      <c r="E272" s="115" t="e">
        <f t="array" aca="1" ref="E272" ca="1">IF(OR(C271=0,AND(B273=0,C273=0)),"",IFERROR(INDEX($F$27:$F$36,MATCH(C272,($F$27:$F$36)*($D$27:$D$36&lt;&gt;0),0)),IF(OR(AND(D272=0,B272=0,B273&lt;&gt;0),AND(D272*D271&lt;0,B272&lt;&gt;0)),IF(D272=0,C272,C272*(1-ABS(D272)/(ABS(D272)+ABS(D271)))+C271*(1-ABS(D271)/(ABS(D272)+ABS(D271)))),"")))</f>
        <v>#NAME?</v>
      </c>
    </row>
    <row r="273" spans="2:5" x14ac:dyDescent="0.25">
      <c r="B273" t="e">
        <f t="shared" ca="1" si="9"/>
        <v>#NAME?</v>
      </c>
      <c r="C273">
        <v>230</v>
      </c>
      <c r="D273" t="e">
        <f t="shared" ca="1" si="8"/>
        <v>#NAME?</v>
      </c>
      <c r="E273" s="115" t="e">
        <f t="array" aca="1" ref="E273" ca="1">IF(OR(C272=0,AND(B274=0,C274=0)),"",IFERROR(INDEX($F$27:$F$36,MATCH(C273,($F$27:$F$36)*($D$27:$D$36&lt;&gt;0),0)),IF(OR(AND(D273=0,B273=0,B274&lt;&gt;0),AND(D273*D272&lt;0,B273&lt;&gt;0)),IF(D273=0,C273,C273*(1-ABS(D273)/(ABS(D273)+ABS(D272)))+C272*(1-ABS(D272)/(ABS(D273)+ABS(D272)))),"")))</f>
        <v>#NAME?</v>
      </c>
    </row>
    <row r="274" spans="2:5" x14ac:dyDescent="0.25">
      <c r="B274" t="e">
        <f t="shared" ca="1" si="9"/>
        <v>#NAME?</v>
      </c>
      <c r="C274">
        <v>231</v>
      </c>
      <c r="D274" t="e">
        <f t="shared" ca="1" si="8"/>
        <v>#NAME?</v>
      </c>
      <c r="E274" s="115" t="e">
        <f t="array" aca="1" ref="E274" ca="1">IF(OR(C273=0,AND(B275=0,C275=0)),"",IFERROR(INDEX($F$27:$F$36,MATCH(C274,($F$27:$F$36)*($D$27:$D$36&lt;&gt;0),0)),IF(OR(AND(D274=0,B274=0,B275&lt;&gt;0),AND(D274*D273&lt;0,B274&lt;&gt;0)),IF(D274=0,C274,C274*(1-ABS(D274)/(ABS(D274)+ABS(D273)))+C273*(1-ABS(D273)/(ABS(D274)+ABS(D273)))),"")))</f>
        <v>#NAME?</v>
      </c>
    </row>
    <row r="275" spans="2:5" x14ac:dyDescent="0.25">
      <c r="B275" t="e">
        <f t="shared" ca="1" si="9"/>
        <v>#NAME?</v>
      </c>
      <c r="C275">
        <v>232</v>
      </c>
      <c r="D275" t="e">
        <f t="shared" ca="1" si="8"/>
        <v>#NAME?</v>
      </c>
      <c r="E275" s="115" t="e">
        <f t="array" aca="1" ref="E275" ca="1">IF(OR(C274=0,AND(B276=0,C276=0)),"",IFERROR(INDEX($F$27:$F$36,MATCH(C275,($F$27:$F$36)*($D$27:$D$36&lt;&gt;0),0)),IF(OR(AND(D275=0,B275=0,B276&lt;&gt;0),AND(D275*D274&lt;0,B275&lt;&gt;0)),IF(D275=0,C275,C275*(1-ABS(D275)/(ABS(D275)+ABS(D274)))+C274*(1-ABS(D274)/(ABS(D275)+ABS(D274)))),"")))</f>
        <v>#NAME?</v>
      </c>
    </row>
    <row r="276" spans="2:5" x14ac:dyDescent="0.25">
      <c r="B276" t="e">
        <f t="shared" ca="1" si="9"/>
        <v>#NAME?</v>
      </c>
      <c r="C276">
        <v>233</v>
      </c>
      <c r="D276" t="e">
        <f t="shared" ca="1" si="8"/>
        <v>#NAME?</v>
      </c>
      <c r="E276" s="115" t="e">
        <f t="array" aca="1" ref="E276" ca="1">IF(OR(C275=0,AND(B277=0,C277=0)),"",IFERROR(INDEX($F$27:$F$36,MATCH(C276,($F$27:$F$36)*($D$27:$D$36&lt;&gt;0),0)),IF(OR(AND(D276=0,B276=0,B277&lt;&gt;0),AND(D276*D275&lt;0,B276&lt;&gt;0)),IF(D276=0,C276,C276*(1-ABS(D276)/(ABS(D276)+ABS(D275)))+C275*(1-ABS(D275)/(ABS(D276)+ABS(D275)))),"")))</f>
        <v>#NAME?</v>
      </c>
    </row>
    <row r="277" spans="2:5" x14ac:dyDescent="0.25">
      <c r="B277" t="e">
        <f t="shared" ca="1" si="9"/>
        <v>#NAME?</v>
      </c>
      <c r="C277">
        <v>234</v>
      </c>
      <c r="D277" t="e">
        <f t="shared" ca="1" si="8"/>
        <v>#NAME?</v>
      </c>
      <c r="E277" s="115" t="e">
        <f t="array" aca="1" ref="E277" ca="1">IF(OR(C276=0,AND(B278=0,C278=0)),"",IFERROR(INDEX($F$27:$F$36,MATCH(C277,($F$27:$F$36)*($D$27:$D$36&lt;&gt;0),0)),IF(OR(AND(D277=0,B277=0,B278&lt;&gt;0),AND(D277*D276&lt;0,B277&lt;&gt;0)),IF(D277=0,C277,C277*(1-ABS(D277)/(ABS(D277)+ABS(D276)))+C276*(1-ABS(D276)/(ABS(D277)+ABS(D276)))),"")))</f>
        <v>#NAME?</v>
      </c>
    </row>
    <row r="278" spans="2:5" x14ac:dyDescent="0.25">
      <c r="B278" t="e">
        <f t="shared" ca="1" si="9"/>
        <v>#NAME?</v>
      </c>
      <c r="C278">
        <v>235</v>
      </c>
      <c r="D278" t="e">
        <f t="shared" ca="1" si="8"/>
        <v>#NAME?</v>
      </c>
      <c r="E278" s="115" t="e">
        <f t="array" aca="1" ref="E278" ca="1">IF(OR(C277=0,AND(B279=0,C279=0)),"",IFERROR(INDEX($F$27:$F$36,MATCH(C278,($F$27:$F$36)*($D$27:$D$36&lt;&gt;0),0)),IF(OR(AND(D278=0,B278=0,B279&lt;&gt;0),AND(D278*D277&lt;0,B278&lt;&gt;0)),IF(D278=0,C278,C278*(1-ABS(D278)/(ABS(D278)+ABS(D277)))+C277*(1-ABS(D277)/(ABS(D278)+ABS(D277)))),"")))</f>
        <v>#NAME?</v>
      </c>
    </row>
    <row r="279" spans="2:5" x14ac:dyDescent="0.25">
      <c r="B279" t="e">
        <f t="shared" ca="1" si="9"/>
        <v>#NAME?</v>
      </c>
      <c r="C279">
        <v>236</v>
      </c>
      <c r="D279" t="e">
        <f t="shared" ca="1" si="8"/>
        <v>#NAME?</v>
      </c>
      <c r="E279" s="115" t="e">
        <f t="array" aca="1" ref="E279" ca="1">IF(OR(C278=0,AND(B280=0,C280=0)),"",IFERROR(INDEX($F$27:$F$36,MATCH(C279,($F$27:$F$36)*($D$27:$D$36&lt;&gt;0),0)),IF(OR(AND(D279=0,B279=0,B280&lt;&gt;0),AND(D279*D278&lt;0,B279&lt;&gt;0)),IF(D279=0,C279,C279*(1-ABS(D279)/(ABS(D279)+ABS(D278)))+C278*(1-ABS(D278)/(ABS(D279)+ABS(D278)))),"")))</f>
        <v>#NAME?</v>
      </c>
    </row>
    <row r="280" spans="2:5" x14ac:dyDescent="0.25">
      <c r="B280" t="e">
        <f t="shared" ca="1" si="9"/>
        <v>#NAME?</v>
      </c>
      <c r="C280">
        <v>237</v>
      </c>
      <c r="D280" t="e">
        <f t="shared" ca="1" si="8"/>
        <v>#NAME?</v>
      </c>
      <c r="E280" s="115" t="e">
        <f t="array" aca="1" ref="E280" ca="1">IF(OR(C279=0,AND(B281=0,C281=0)),"",IFERROR(INDEX($F$27:$F$36,MATCH(C280,($F$27:$F$36)*($D$27:$D$36&lt;&gt;0),0)),IF(OR(AND(D280=0,B280=0,B281&lt;&gt;0),AND(D280*D279&lt;0,B280&lt;&gt;0)),IF(D280=0,C280,C280*(1-ABS(D280)/(ABS(D280)+ABS(D279)))+C279*(1-ABS(D279)/(ABS(D280)+ABS(D279)))),"")))</f>
        <v>#NAME?</v>
      </c>
    </row>
    <row r="281" spans="2:5" x14ac:dyDescent="0.25">
      <c r="B281" t="e">
        <f t="shared" ca="1" si="9"/>
        <v>#NAME?</v>
      </c>
      <c r="C281">
        <v>238</v>
      </c>
      <c r="D281" t="e">
        <f t="shared" ca="1" si="8"/>
        <v>#NAME?</v>
      </c>
      <c r="E281" s="115" t="e">
        <f t="array" aca="1" ref="E281" ca="1">IF(OR(C280=0,AND(B282=0,C282=0)),"",IFERROR(INDEX($F$27:$F$36,MATCH(C281,($F$27:$F$36)*($D$27:$D$36&lt;&gt;0),0)),IF(OR(AND(D281=0,B281=0,B282&lt;&gt;0),AND(D281*D280&lt;0,B281&lt;&gt;0)),IF(D281=0,C281,C281*(1-ABS(D281)/(ABS(D281)+ABS(D280)))+C280*(1-ABS(D280)/(ABS(D281)+ABS(D280)))),"")))</f>
        <v>#NAME?</v>
      </c>
    </row>
    <row r="282" spans="2:5" x14ac:dyDescent="0.25">
      <c r="B282" t="e">
        <f t="shared" ca="1" si="9"/>
        <v>#NAME?</v>
      </c>
      <c r="C282">
        <v>239</v>
      </c>
      <c r="D282" t="e">
        <f t="shared" ca="1" si="8"/>
        <v>#NAME?</v>
      </c>
      <c r="E282" s="115" t="e">
        <f t="array" aca="1" ref="E282" ca="1">IF(OR(C281=0,AND(B283=0,C283=0)),"",IFERROR(INDEX($F$27:$F$36,MATCH(C282,($F$27:$F$36)*($D$27:$D$36&lt;&gt;0),0)),IF(OR(AND(D282=0,B282=0,B283&lt;&gt;0),AND(D282*D281&lt;0,B282&lt;&gt;0)),IF(D282=0,C282,C282*(1-ABS(D282)/(ABS(D282)+ABS(D281)))+C281*(1-ABS(D281)/(ABS(D282)+ABS(D281)))),"")))</f>
        <v>#NAME?</v>
      </c>
    </row>
    <row r="283" spans="2:5" x14ac:dyDescent="0.25">
      <c r="B283" t="e">
        <f t="shared" ca="1" si="9"/>
        <v>#NAME?</v>
      </c>
      <c r="C283">
        <v>240</v>
      </c>
      <c r="D283" t="e">
        <f t="shared" ca="1" si="8"/>
        <v>#NAME?</v>
      </c>
      <c r="E283" s="115" t="e">
        <f t="array" aca="1" ref="E283" ca="1">IF(OR(C282=0,AND(B284=0,C284=0)),"",IFERROR(INDEX($F$27:$F$36,MATCH(C283,($F$27:$F$36)*($D$27:$D$36&lt;&gt;0),0)),IF(OR(AND(D283=0,B283=0,B284&lt;&gt;0),AND(D283*D282&lt;0,B283&lt;&gt;0)),IF(D283=0,C283,C283*(1-ABS(D283)/(ABS(D283)+ABS(D282)))+C282*(1-ABS(D282)/(ABS(D283)+ABS(D282)))),"")))</f>
        <v>#NAME?</v>
      </c>
    </row>
    <row r="284" spans="2:5" x14ac:dyDescent="0.25">
      <c r="B284" t="e">
        <f t="shared" ca="1" si="9"/>
        <v>#NAME?</v>
      </c>
      <c r="C284">
        <v>241</v>
      </c>
      <c r="D284" t="e">
        <f t="shared" ca="1" si="8"/>
        <v>#NAME?</v>
      </c>
      <c r="E284" s="115" t="e">
        <f t="array" aca="1" ref="E284" ca="1">IF(OR(C283=0,AND(B285=0,C285=0)),"",IFERROR(INDEX($F$27:$F$36,MATCH(C284,($F$27:$F$36)*($D$27:$D$36&lt;&gt;0),0)),IF(OR(AND(D284=0,B284=0,B285&lt;&gt;0),AND(D284*D283&lt;0,B284&lt;&gt;0)),IF(D284=0,C284,C284*(1-ABS(D284)/(ABS(D284)+ABS(D283)))+C283*(1-ABS(D283)/(ABS(D284)+ABS(D283)))),"")))</f>
        <v>#NAME?</v>
      </c>
    </row>
    <row r="285" spans="2:5" x14ac:dyDescent="0.25">
      <c r="B285" t="e">
        <f t="shared" ca="1" si="9"/>
        <v>#NAME?</v>
      </c>
      <c r="C285">
        <v>242</v>
      </c>
      <c r="D285" t="e">
        <f t="shared" ca="1" si="8"/>
        <v>#NAME?</v>
      </c>
      <c r="E285" s="115" t="e">
        <f t="array" aca="1" ref="E285" ca="1">IF(OR(C284=0,AND(B286=0,C286=0)),"",IFERROR(INDEX($F$27:$F$36,MATCH(C285,($F$27:$F$36)*($D$27:$D$36&lt;&gt;0),0)),IF(OR(AND(D285=0,B285=0,B286&lt;&gt;0),AND(D285*D284&lt;0,B285&lt;&gt;0)),IF(D285=0,C285,C285*(1-ABS(D285)/(ABS(D285)+ABS(D284)))+C284*(1-ABS(D284)/(ABS(D285)+ABS(D284)))),"")))</f>
        <v>#NAME?</v>
      </c>
    </row>
    <row r="286" spans="2:5" x14ac:dyDescent="0.25">
      <c r="B286" t="e">
        <f t="shared" ca="1" si="9"/>
        <v>#NAME?</v>
      </c>
      <c r="C286">
        <v>243</v>
      </c>
      <c r="D286" t="e">
        <f t="shared" ca="1" si="8"/>
        <v>#NAME?</v>
      </c>
      <c r="E286" s="115" t="e">
        <f t="array" aca="1" ref="E286" ca="1">IF(OR(C285=0,AND(B287=0,C287=0)),"",IFERROR(INDEX($F$27:$F$36,MATCH(C286,($F$27:$F$36)*($D$27:$D$36&lt;&gt;0),0)),IF(OR(AND(D286=0,B286=0,B287&lt;&gt;0),AND(D286*D285&lt;0,B286&lt;&gt;0)),IF(D286=0,C286,C286*(1-ABS(D286)/(ABS(D286)+ABS(D285)))+C285*(1-ABS(D285)/(ABS(D286)+ABS(D285)))),"")))</f>
        <v>#NAME?</v>
      </c>
    </row>
    <row r="287" spans="2:5" x14ac:dyDescent="0.25">
      <c r="B287" t="e">
        <f t="shared" ca="1" si="9"/>
        <v>#NAME?</v>
      </c>
      <c r="C287">
        <v>244</v>
      </c>
      <c r="D287" t="e">
        <f t="shared" ca="1" si="8"/>
        <v>#NAME?</v>
      </c>
      <c r="E287" s="115" t="e">
        <f t="array" aca="1" ref="E287" ca="1">IF(OR(C286=0,AND(B288=0,C288=0)),"",IFERROR(INDEX($F$27:$F$36,MATCH(C287,($F$27:$F$36)*($D$27:$D$36&lt;&gt;0),0)),IF(OR(AND(D287=0,B287=0,B288&lt;&gt;0),AND(D287*D286&lt;0,B287&lt;&gt;0)),IF(D287=0,C287,C287*(1-ABS(D287)/(ABS(D287)+ABS(D286)))+C286*(1-ABS(D286)/(ABS(D287)+ABS(D286)))),"")))</f>
        <v>#NAME?</v>
      </c>
    </row>
    <row r="288" spans="2:5" x14ac:dyDescent="0.25">
      <c r="B288" t="e">
        <f t="shared" ca="1" si="9"/>
        <v>#NAME?</v>
      </c>
      <c r="C288">
        <v>245</v>
      </c>
      <c r="D288" t="e">
        <f t="shared" ca="1" si="8"/>
        <v>#NAME?</v>
      </c>
      <c r="E288" s="115" t="e">
        <f t="array" aca="1" ref="E288" ca="1">IF(OR(C287=0,AND(B289=0,C289=0)),"",IFERROR(INDEX($F$27:$F$36,MATCH(C288,($F$27:$F$36)*($D$27:$D$36&lt;&gt;0),0)),IF(OR(AND(D288=0,B288=0,B289&lt;&gt;0),AND(D288*D287&lt;0,B288&lt;&gt;0)),IF(D288=0,C288,C288*(1-ABS(D288)/(ABS(D288)+ABS(D287)))+C287*(1-ABS(D287)/(ABS(D288)+ABS(D287)))),"")))</f>
        <v>#NAME?</v>
      </c>
    </row>
    <row r="289" spans="2:5" x14ac:dyDescent="0.25">
      <c r="B289" t="e">
        <f t="shared" ca="1" si="9"/>
        <v>#NAME?</v>
      </c>
      <c r="C289">
        <v>246</v>
      </c>
      <c r="D289" t="e">
        <f t="shared" ca="1" si="8"/>
        <v>#NAME?</v>
      </c>
      <c r="E289" s="115" t="e">
        <f t="array" aca="1" ref="E289" ca="1">IF(OR(C288=0,AND(B290=0,C290=0)),"",IFERROR(INDEX($F$27:$F$36,MATCH(C289,($F$27:$F$36)*($D$27:$D$36&lt;&gt;0),0)),IF(OR(AND(D289=0,B289=0,B290&lt;&gt;0),AND(D289*D288&lt;0,B289&lt;&gt;0)),IF(D289=0,C289,C289*(1-ABS(D289)/(ABS(D289)+ABS(D288)))+C288*(1-ABS(D288)/(ABS(D289)+ABS(D288)))),"")))</f>
        <v>#NAME?</v>
      </c>
    </row>
    <row r="290" spans="2:5" x14ac:dyDescent="0.25">
      <c r="B290" t="e">
        <f t="shared" ca="1" si="9"/>
        <v>#NAME?</v>
      </c>
      <c r="C290">
        <v>247</v>
      </c>
      <c r="D290" t="e">
        <f t="shared" ca="1" si="8"/>
        <v>#NAME?</v>
      </c>
      <c r="E290" s="115" t="e">
        <f t="array" aca="1" ref="E290" ca="1">IF(OR(C289=0,AND(B291=0,C291=0)),"",IFERROR(INDEX($F$27:$F$36,MATCH(C290,($F$27:$F$36)*($D$27:$D$36&lt;&gt;0),0)),IF(OR(AND(D290=0,B290=0,B291&lt;&gt;0),AND(D290*D289&lt;0,B290&lt;&gt;0)),IF(D290=0,C290,C290*(1-ABS(D290)/(ABS(D290)+ABS(D289)))+C289*(1-ABS(D289)/(ABS(D290)+ABS(D289)))),"")))</f>
        <v>#NAME?</v>
      </c>
    </row>
    <row r="291" spans="2:5" x14ac:dyDescent="0.25">
      <c r="B291" t="e">
        <f t="shared" ca="1" si="9"/>
        <v>#NAME?</v>
      </c>
      <c r="C291">
        <v>248</v>
      </c>
      <c r="D291" t="e">
        <f t="shared" ca="1" si="8"/>
        <v>#NAME?</v>
      </c>
      <c r="E291" s="115" t="e">
        <f t="array" aca="1" ref="E291" ca="1">IF(OR(C290=0,AND(B292=0,C292=0)),"",IFERROR(INDEX($F$27:$F$36,MATCH(C291,($F$27:$F$36)*($D$27:$D$36&lt;&gt;0),0)),IF(OR(AND(D291=0,B291=0,B292&lt;&gt;0),AND(D291*D290&lt;0,B291&lt;&gt;0)),IF(D291=0,C291,C291*(1-ABS(D291)/(ABS(D291)+ABS(D290)))+C290*(1-ABS(D290)/(ABS(D291)+ABS(D290)))),"")))</f>
        <v>#NAME?</v>
      </c>
    </row>
    <row r="292" spans="2:5" x14ac:dyDescent="0.25">
      <c r="B292" t="e">
        <f t="shared" ca="1" si="9"/>
        <v>#NAME?</v>
      </c>
      <c r="C292">
        <v>249</v>
      </c>
      <c r="D292" t="e">
        <f t="shared" ca="1" si="8"/>
        <v>#NAME?</v>
      </c>
      <c r="E292" s="115" t="e">
        <f t="array" aca="1" ref="E292" ca="1">IF(OR(C291=0,AND(B293=0,C293=0)),"",IFERROR(INDEX($F$27:$F$36,MATCH(C292,($F$27:$F$36)*($D$27:$D$36&lt;&gt;0),0)),IF(OR(AND(D292=0,B292=0,B293&lt;&gt;0),AND(D292*D291&lt;0,B292&lt;&gt;0)),IF(D292=0,C292,C292*(1-ABS(D292)/(ABS(D292)+ABS(D291)))+C291*(1-ABS(D291)/(ABS(D292)+ABS(D291)))),"")))</f>
        <v>#NAME?</v>
      </c>
    </row>
    <row r="293" spans="2:5" x14ac:dyDescent="0.25">
      <c r="B293" t="e">
        <f t="shared" ca="1" si="9"/>
        <v>#NAME?</v>
      </c>
      <c r="C293">
        <v>250</v>
      </c>
      <c r="D293" t="e">
        <f t="shared" ca="1" si="8"/>
        <v>#NAME?</v>
      </c>
      <c r="E293" s="115" t="e">
        <f t="array" aca="1" ref="E293" ca="1">IF(OR(C292=0,AND(B294=0,C294=0)),"",IFERROR(INDEX($F$27:$F$36,MATCH(C293,($F$27:$F$36)*($D$27:$D$36&lt;&gt;0),0)),IF(OR(AND(D293=0,B293=0,B294&lt;&gt;0),AND(D293*D292&lt;0,B293&lt;&gt;0)),IF(D293=0,C293,C293*(1-ABS(D293)/(ABS(D293)+ABS(D292)))+C292*(1-ABS(D292)/(ABS(D293)+ABS(D292)))),"")))</f>
        <v>#NAME?</v>
      </c>
    </row>
    <row r="294" spans="2:5" x14ac:dyDescent="0.25">
      <c r="B294" t="e">
        <f t="shared" ca="1" si="9"/>
        <v>#NAME?</v>
      </c>
      <c r="C294">
        <v>251</v>
      </c>
      <c r="D294" t="e">
        <f t="shared" ca="1" si="8"/>
        <v>#NAME?</v>
      </c>
      <c r="E294" s="115" t="e">
        <f t="array" aca="1" ref="E294" ca="1">IF(OR(C293=0,AND(B295=0,C295=0)),"",IFERROR(INDEX($F$27:$F$36,MATCH(C294,($F$27:$F$36)*($D$27:$D$36&lt;&gt;0),0)),IF(OR(AND(D294=0,B294=0,B295&lt;&gt;0),AND(D294*D293&lt;0,B294&lt;&gt;0)),IF(D294=0,C294,C294*(1-ABS(D294)/(ABS(D294)+ABS(D293)))+C293*(1-ABS(D293)/(ABS(D294)+ABS(D293)))),"")))</f>
        <v>#NAME?</v>
      </c>
    </row>
    <row r="295" spans="2:5" x14ac:dyDescent="0.25">
      <c r="B295" t="e">
        <f t="shared" ca="1" si="9"/>
        <v>#NAME?</v>
      </c>
      <c r="C295">
        <v>252</v>
      </c>
      <c r="D295" t="e">
        <f t="shared" ca="1" si="8"/>
        <v>#NAME?</v>
      </c>
      <c r="E295" s="115" t="e">
        <f t="array" aca="1" ref="E295" ca="1">IF(OR(C294=0,AND(B296=0,C296=0)),"",IFERROR(INDEX($F$27:$F$36,MATCH(C295,($F$27:$F$36)*($D$27:$D$36&lt;&gt;0),0)),IF(OR(AND(D295=0,B295=0,B296&lt;&gt;0),AND(D295*D294&lt;0,B295&lt;&gt;0)),IF(D295=0,C295,C295*(1-ABS(D295)/(ABS(D295)+ABS(D294)))+C294*(1-ABS(D294)/(ABS(D295)+ABS(D294)))),"")))</f>
        <v>#NAME?</v>
      </c>
    </row>
    <row r="296" spans="2:5" x14ac:dyDescent="0.25">
      <c r="B296" t="e">
        <f t="shared" ca="1" si="9"/>
        <v>#NAME?</v>
      </c>
      <c r="C296">
        <v>253</v>
      </c>
      <c r="D296" t="e">
        <f t="shared" ca="1" si="8"/>
        <v>#NAME?</v>
      </c>
      <c r="E296" s="115" t="e">
        <f t="array" aca="1" ref="E296" ca="1">IF(OR(C295=0,AND(B297=0,C297=0)),"",IFERROR(INDEX($F$27:$F$36,MATCH(C296,($F$27:$F$36)*($D$27:$D$36&lt;&gt;0),0)),IF(OR(AND(D296=0,B296=0,B297&lt;&gt;0),AND(D296*D295&lt;0,B296&lt;&gt;0)),IF(D296=0,C296,C296*(1-ABS(D296)/(ABS(D296)+ABS(D295)))+C295*(1-ABS(D295)/(ABS(D296)+ABS(D295)))),"")))</f>
        <v>#NAME?</v>
      </c>
    </row>
    <row r="297" spans="2:5" x14ac:dyDescent="0.25">
      <c r="B297" t="e">
        <f t="shared" ca="1" si="9"/>
        <v>#NAME?</v>
      </c>
      <c r="C297">
        <v>254</v>
      </c>
      <c r="D297" t="e">
        <f t="shared" ca="1" si="8"/>
        <v>#NAME?</v>
      </c>
      <c r="E297" s="115" t="e">
        <f t="array" aca="1" ref="E297" ca="1">IF(OR(C296=0,AND(B298=0,C298=0)),"",IFERROR(INDEX($F$27:$F$36,MATCH(C297,($F$27:$F$36)*($D$27:$D$36&lt;&gt;0),0)),IF(OR(AND(D297=0,B297=0,B298&lt;&gt;0),AND(D297*D296&lt;0,B297&lt;&gt;0)),IF(D297=0,C297,C297*(1-ABS(D297)/(ABS(D297)+ABS(D296)))+C296*(1-ABS(D296)/(ABS(D297)+ABS(D296)))),"")))</f>
        <v>#NAME?</v>
      </c>
    </row>
    <row r="298" spans="2:5" x14ac:dyDescent="0.25">
      <c r="B298" t="e">
        <f t="shared" ca="1" si="9"/>
        <v>#NAME?</v>
      </c>
      <c r="C298">
        <v>255</v>
      </c>
      <c r="D298" t="e">
        <f t="shared" ca="1" si="8"/>
        <v>#NAME?</v>
      </c>
      <c r="E298" s="115" t="e">
        <f t="array" aca="1" ref="E298" ca="1">IF(OR(C297=0,AND(B299=0,C299=0)),"",IFERROR(INDEX($F$27:$F$36,MATCH(C298,($F$27:$F$36)*($D$27:$D$36&lt;&gt;0),0)),IF(OR(AND(D298=0,B298=0,B299&lt;&gt;0),AND(D298*D297&lt;0,B298&lt;&gt;0)),IF(D298=0,C298,C298*(1-ABS(D298)/(ABS(D298)+ABS(D297)))+C297*(1-ABS(D297)/(ABS(D298)+ABS(D297)))),"")))</f>
        <v>#NAME?</v>
      </c>
    </row>
    <row r="299" spans="2:5" x14ac:dyDescent="0.25">
      <c r="B299" t="e">
        <f t="shared" ca="1" si="9"/>
        <v>#NAME?</v>
      </c>
      <c r="C299">
        <v>256</v>
      </c>
      <c r="D299" t="e">
        <f t="shared" ref="D299:D362" ca="1" si="10">SUMPRODUCT(--($J$27:$J$37&gt;0),--($C299-$F$27:$F$37&gt;0),($D$27:$D$37),($C299-$F$27:$F$37))+SUMPRODUCT(--($J$27:$J$37&lt;0),--($F$27:$F$37-$C299&gt;0),($D$27:$D$37),($F$27:$F$37-$C299))-SUMPRODUCT($D$27:$D$37,$E$27:$E$37)</f>
        <v>#NAME?</v>
      </c>
      <c r="E299" s="115" t="e">
        <f t="array" aca="1" ref="E299" ca="1">IF(OR(C298=0,AND(B300=0,C300=0)),"",IFERROR(INDEX($F$27:$F$36,MATCH(C299,($F$27:$F$36)*($D$27:$D$36&lt;&gt;0),0)),IF(OR(AND(D299=0,B299=0,B300&lt;&gt;0),AND(D299*D298&lt;0,B299&lt;&gt;0)),IF(D299=0,C299,C299*(1-ABS(D299)/(ABS(D299)+ABS(D298)))+C298*(1-ABS(D298)/(ABS(D299)+ABS(D298)))),"")))</f>
        <v>#NAME?</v>
      </c>
    </row>
    <row r="300" spans="2:5" x14ac:dyDescent="0.25">
      <c r="B300" t="e">
        <f t="shared" ref="B300:B363" ca="1" si="11">ROUND((D300-D299)/(C300-C299),12)</f>
        <v>#NAME?</v>
      </c>
      <c r="C300">
        <v>257</v>
      </c>
      <c r="D300" t="e">
        <f t="shared" ca="1" si="10"/>
        <v>#NAME?</v>
      </c>
      <c r="E300" s="115" t="e">
        <f t="array" aca="1" ref="E300" ca="1">IF(OR(C299=0,AND(B301=0,C301=0)),"",IFERROR(INDEX($F$27:$F$36,MATCH(C300,($F$27:$F$36)*($D$27:$D$36&lt;&gt;0),0)),IF(OR(AND(D300=0,B300=0,B301&lt;&gt;0),AND(D300*D299&lt;0,B300&lt;&gt;0)),IF(D300=0,C300,C300*(1-ABS(D300)/(ABS(D300)+ABS(D299)))+C299*(1-ABS(D299)/(ABS(D300)+ABS(D299)))),"")))</f>
        <v>#NAME?</v>
      </c>
    </row>
    <row r="301" spans="2:5" x14ac:dyDescent="0.25">
      <c r="B301" t="e">
        <f t="shared" ca="1" si="11"/>
        <v>#NAME?</v>
      </c>
      <c r="C301">
        <v>258</v>
      </c>
      <c r="D301" t="e">
        <f t="shared" ca="1" si="10"/>
        <v>#NAME?</v>
      </c>
      <c r="E301" s="115" t="e">
        <f t="array" aca="1" ref="E301" ca="1">IF(OR(C300=0,AND(B302=0,C302=0)),"",IFERROR(INDEX($F$27:$F$36,MATCH(C301,($F$27:$F$36)*($D$27:$D$36&lt;&gt;0),0)),IF(OR(AND(D301=0,B301=0,B302&lt;&gt;0),AND(D301*D300&lt;0,B301&lt;&gt;0)),IF(D301=0,C301,C301*(1-ABS(D301)/(ABS(D301)+ABS(D300)))+C300*(1-ABS(D300)/(ABS(D301)+ABS(D300)))),"")))</f>
        <v>#NAME?</v>
      </c>
    </row>
    <row r="302" spans="2:5" x14ac:dyDescent="0.25">
      <c r="B302" t="e">
        <f t="shared" ca="1" si="11"/>
        <v>#NAME?</v>
      </c>
      <c r="C302">
        <v>259</v>
      </c>
      <c r="D302" t="e">
        <f t="shared" ca="1" si="10"/>
        <v>#NAME?</v>
      </c>
      <c r="E302" s="115" t="e">
        <f t="array" aca="1" ref="E302" ca="1">IF(OR(C301=0,AND(B303=0,C303=0)),"",IFERROR(INDEX($F$27:$F$36,MATCH(C302,($F$27:$F$36)*($D$27:$D$36&lt;&gt;0),0)),IF(OR(AND(D302=0,B302=0,B303&lt;&gt;0),AND(D302*D301&lt;0,B302&lt;&gt;0)),IF(D302=0,C302,C302*(1-ABS(D302)/(ABS(D302)+ABS(D301)))+C301*(1-ABS(D301)/(ABS(D302)+ABS(D301)))),"")))</f>
        <v>#NAME?</v>
      </c>
    </row>
    <row r="303" spans="2:5" x14ac:dyDescent="0.25">
      <c r="B303" t="e">
        <f t="shared" ca="1" si="11"/>
        <v>#NAME?</v>
      </c>
      <c r="C303">
        <v>260</v>
      </c>
      <c r="D303" t="e">
        <f t="shared" ca="1" si="10"/>
        <v>#NAME?</v>
      </c>
      <c r="E303" s="115" t="e">
        <f t="array" aca="1" ref="E303" ca="1">IF(OR(C302=0,AND(B304=0,C304=0)),"",IFERROR(INDEX($F$27:$F$36,MATCH(C303,($F$27:$F$36)*($D$27:$D$36&lt;&gt;0),0)),IF(OR(AND(D303=0,B303=0,B304&lt;&gt;0),AND(D303*D302&lt;0,B303&lt;&gt;0)),IF(D303=0,C303,C303*(1-ABS(D303)/(ABS(D303)+ABS(D302)))+C302*(1-ABS(D302)/(ABS(D303)+ABS(D302)))),"")))</f>
        <v>#NAME?</v>
      </c>
    </row>
    <row r="304" spans="2:5" x14ac:dyDescent="0.25">
      <c r="B304" t="e">
        <f t="shared" ca="1" si="11"/>
        <v>#NAME?</v>
      </c>
      <c r="C304">
        <v>261</v>
      </c>
      <c r="D304" t="e">
        <f t="shared" ca="1" si="10"/>
        <v>#NAME?</v>
      </c>
      <c r="E304" s="115" t="e">
        <f t="array" aca="1" ref="E304" ca="1">IF(OR(C303=0,AND(B305=0,C305=0)),"",IFERROR(INDEX($F$27:$F$36,MATCH(C304,($F$27:$F$36)*($D$27:$D$36&lt;&gt;0),0)),IF(OR(AND(D304=0,B304=0,B305&lt;&gt;0),AND(D304*D303&lt;0,B304&lt;&gt;0)),IF(D304=0,C304,C304*(1-ABS(D304)/(ABS(D304)+ABS(D303)))+C303*(1-ABS(D303)/(ABS(D304)+ABS(D303)))),"")))</f>
        <v>#NAME?</v>
      </c>
    </row>
    <row r="305" spans="2:5" x14ac:dyDescent="0.25">
      <c r="B305" t="e">
        <f t="shared" ca="1" si="11"/>
        <v>#NAME?</v>
      </c>
      <c r="C305">
        <v>262</v>
      </c>
      <c r="D305" t="e">
        <f t="shared" ca="1" si="10"/>
        <v>#NAME?</v>
      </c>
      <c r="E305" s="115" t="e">
        <f t="array" aca="1" ref="E305" ca="1">IF(OR(C304=0,AND(B306=0,C306=0)),"",IFERROR(INDEX($F$27:$F$36,MATCH(C305,($F$27:$F$36)*($D$27:$D$36&lt;&gt;0),0)),IF(OR(AND(D305=0,B305=0,B306&lt;&gt;0),AND(D305*D304&lt;0,B305&lt;&gt;0)),IF(D305=0,C305,C305*(1-ABS(D305)/(ABS(D305)+ABS(D304)))+C304*(1-ABS(D304)/(ABS(D305)+ABS(D304)))),"")))</f>
        <v>#NAME?</v>
      </c>
    </row>
    <row r="306" spans="2:5" x14ac:dyDescent="0.25">
      <c r="B306" t="e">
        <f t="shared" ca="1" si="11"/>
        <v>#NAME?</v>
      </c>
      <c r="C306">
        <v>263</v>
      </c>
      <c r="D306" t="e">
        <f t="shared" ca="1" si="10"/>
        <v>#NAME?</v>
      </c>
      <c r="E306" s="115" t="e">
        <f t="array" aca="1" ref="E306" ca="1">IF(OR(C305=0,AND(B307=0,C307=0)),"",IFERROR(INDEX($F$27:$F$36,MATCH(C306,($F$27:$F$36)*($D$27:$D$36&lt;&gt;0),0)),IF(OR(AND(D306=0,B306=0,B307&lt;&gt;0),AND(D306*D305&lt;0,B306&lt;&gt;0)),IF(D306=0,C306,C306*(1-ABS(D306)/(ABS(D306)+ABS(D305)))+C305*(1-ABS(D305)/(ABS(D306)+ABS(D305)))),"")))</f>
        <v>#NAME?</v>
      </c>
    </row>
    <row r="307" spans="2:5" x14ac:dyDescent="0.25">
      <c r="B307" t="e">
        <f t="shared" ca="1" si="11"/>
        <v>#NAME?</v>
      </c>
      <c r="C307">
        <v>264</v>
      </c>
      <c r="D307" t="e">
        <f t="shared" ca="1" si="10"/>
        <v>#NAME?</v>
      </c>
      <c r="E307" s="115" t="e">
        <f t="array" aca="1" ref="E307" ca="1">IF(OR(C306=0,AND(B308=0,C308=0)),"",IFERROR(INDEX($F$27:$F$36,MATCH(C307,($F$27:$F$36)*($D$27:$D$36&lt;&gt;0),0)),IF(OR(AND(D307=0,B307=0,B308&lt;&gt;0),AND(D307*D306&lt;0,B307&lt;&gt;0)),IF(D307=0,C307,C307*(1-ABS(D307)/(ABS(D307)+ABS(D306)))+C306*(1-ABS(D306)/(ABS(D307)+ABS(D306)))),"")))</f>
        <v>#NAME?</v>
      </c>
    </row>
    <row r="308" spans="2:5" x14ac:dyDescent="0.25">
      <c r="B308" t="e">
        <f t="shared" ca="1" si="11"/>
        <v>#NAME?</v>
      </c>
      <c r="C308">
        <v>265</v>
      </c>
      <c r="D308" t="e">
        <f t="shared" ca="1" si="10"/>
        <v>#NAME?</v>
      </c>
      <c r="E308" s="115" t="e">
        <f t="array" aca="1" ref="E308" ca="1">IF(OR(C307=0,AND(B309=0,C309=0)),"",IFERROR(INDEX($F$27:$F$36,MATCH(C308,($F$27:$F$36)*($D$27:$D$36&lt;&gt;0),0)),IF(OR(AND(D308=0,B308=0,B309&lt;&gt;0),AND(D308*D307&lt;0,B308&lt;&gt;0)),IF(D308=0,C308,C308*(1-ABS(D308)/(ABS(D308)+ABS(D307)))+C307*(1-ABS(D307)/(ABS(D308)+ABS(D307)))),"")))</f>
        <v>#NAME?</v>
      </c>
    </row>
    <row r="309" spans="2:5" x14ac:dyDescent="0.25">
      <c r="B309" t="e">
        <f t="shared" ca="1" si="11"/>
        <v>#NAME?</v>
      </c>
      <c r="C309">
        <v>266</v>
      </c>
      <c r="D309" t="e">
        <f t="shared" ca="1" si="10"/>
        <v>#NAME?</v>
      </c>
      <c r="E309" s="115" t="e">
        <f t="array" aca="1" ref="E309" ca="1">IF(OR(C308=0,AND(B310=0,C310=0)),"",IFERROR(INDEX($F$27:$F$36,MATCH(C309,($F$27:$F$36)*($D$27:$D$36&lt;&gt;0),0)),IF(OR(AND(D309=0,B309=0,B310&lt;&gt;0),AND(D309*D308&lt;0,B309&lt;&gt;0)),IF(D309=0,C309,C309*(1-ABS(D309)/(ABS(D309)+ABS(D308)))+C308*(1-ABS(D308)/(ABS(D309)+ABS(D308)))),"")))</f>
        <v>#NAME?</v>
      </c>
    </row>
    <row r="310" spans="2:5" x14ac:dyDescent="0.25">
      <c r="B310" t="e">
        <f t="shared" ca="1" si="11"/>
        <v>#NAME?</v>
      </c>
      <c r="C310">
        <v>267</v>
      </c>
      <c r="D310" t="e">
        <f t="shared" ca="1" si="10"/>
        <v>#NAME?</v>
      </c>
      <c r="E310" s="115" t="e">
        <f t="array" aca="1" ref="E310" ca="1">IF(OR(C309=0,AND(B311=0,C311=0)),"",IFERROR(INDEX($F$27:$F$36,MATCH(C310,($F$27:$F$36)*($D$27:$D$36&lt;&gt;0),0)),IF(OR(AND(D310=0,B310=0,B311&lt;&gt;0),AND(D310*D309&lt;0,B310&lt;&gt;0)),IF(D310=0,C310,C310*(1-ABS(D310)/(ABS(D310)+ABS(D309)))+C309*(1-ABS(D309)/(ABS(D310)+ABS(D309)))),"")))</f>
        <v>#NAME?</v>
      </c>
    </row>
    <row r="311" spans="2:5" x14ac:dyDescent="0.25">
      <c r="B311" t="e">
        <f t="shared" ca="1" si="11"/>
        <v>#NAME?</v>
      </c>
      <c r="C311">
        <v>268</v>
      </c>
      <c r="D311" t="e">
        <f t="shared" ca="1" si="10"/>
        <v>#NAME?</v>
      </c>
      <c r="E311" s="115" t="e">
        <f t="array" aca="1" ref="E311" ca="1">IF(OR(C310=0,AND(B312=0,C312=0)),"",IFERROR(INDEX($F$27:$F$36,MATCH(C311,($F$27:$F$36)*($D$27:$D$36&lt;&gt;0),0)),IF(OR(AND(D311=0,B311=0,B312&lt;&gt;0),AND(D311*D310&lt;0,B311&lt;&gt;0)),IF(D311=0,C311,C311*(1-ABS(D311)/(ABS(D311)+ABS(D310)))+C310*(1-ABS(D310)/(ABS(D311)+ABS(D310)))),"")))</f>
        <v>#NAME?</v>
      </c>
    </row>
    <row r="312" spans="2:5" x14ac:dyDescent="0.25">
      <c r="B312" t="e">
        <f t="shared" ca="1" si="11"/>
        <v>#NAME?</v>
      </c>
      <c r="C312">
        <v>269</v>
      </c>
      <c r="D312" t="e">
        <f t="shared" ca="1" si="10"/>
        <v>#NAME?</v>
      </c>
      <c r="E312" s="115" t="e">
        <f t="array" aca="1" ref="E312" ca="1">IF(OR(C311=0,AND(B313=0,C313=0)),"",IFERROR(INDEX($F$27:$F$36,MATCH(C312,($F$27:$F$36)*($D$27:$D$36&lt;&gt;0),0)),IF(OR(AND(D312=0,B312=0,B313&lt;&gt;0),AND(D312*D311&lt;0,B312&lt;&gt;0)),IF(D312=0,C312,C312*(1-ABS(D312)/(ABS(D312)+ABS(D311)))+C311*(1-ABS(D311)/(ABS(D312)+ABS(D311)))),"")))</f>
        <v>#NAME?</v>
      </c>
    </row>
    <row r="313" spans="2:5" x14ac:dyDescent="0.25">
      <c r="B313" t="e">
        <f t="shared" ca="1" si="11"/>
        <v>#NAME?</v>
      </c>
      <c r="C313">
        <v>270</v>
      </c>
      <c r="D313" t="e">
        <f t="shared" ca="1" si="10"/>
        <v>#NAME?</v>
      </c>
      <c r="E313" s="115" t="e">
        <f t="array" aca="1" ref="E313" ca="1">IF(OR(C312=0,AND(B314=0,C314=0)),"",IFERROR(INDEX($F$27:$F$36,MATCH(C313,($F$27:$F$36)*($D$27:$D$36&lt;&gt;0),0)),IF(OR(AND(D313=0,B313=0,B314&lt;&gt;0),AND(D313*D312&lt;0,B313&lt;&gt;0)),IF(D313=0,C313,C313*(1-ABS(D313)/(ABS(D313)+ABS(D312)))+C312*(1-ABS(D312)/(ABS(D313)+ABS(D312)))),"")))</f>
        <v>#NAME?</v>
      </c>
    </row>
    <row r="314" spans="2:5" x14ac:dyDescent="0.25">
      <c r="B314" t="e">
        <f t="shared" ca="1" si="11"/>
        <v>#NAME?</v>
      </c>
      <c r="C314">
        <v>271</v>
      </c>
      <c r="D314" t="e">
        <f t="shared" ca="1" si="10"/>
        <v>#NAME?</v>
      </c>
      <c r="E314" s="115" t="e">
        <f t="array" aca="1" ref="E314" ca="1">IF(OR(C313=0,AND(B315=0,C315=0)),"",IFERROR(INDEX($F$27:$F$36,MATCH(C314,($F$27:$F$36)*($D$27:$D$36&lt;&gt;0),0)),IF(OR(AND(D314=0,B314=0,B315&lt;&gt;0),AND(D314*D313&lt;0,B314&lt;&gt;0)),IF(D314=0,C314,C314*(1-ABS(D314)/(ABS(D314)+ABS(D313)))+C313*(1-ABS(D313)/(ABS(D314)+ABS(D313)))),"")))</f>
        <v>#NAME?</v>
      </c>
    </row>
    <row r="315" spans="2:5" x14ac:dyDescent="0.25">
      <c r="B315" t="e">
        <f t="shared" ca="1" si="11"/>
        <v>#NAME?</v>
      </c>
      <c r="C315">
        <v>272</v>
      </c>
      <c r="D315" t="e">
        <f t="shared" ca="1" si="10"/>
        <v>#NAME?</v>
      </c>
      <c r="E315" s="115" t="e">
        <f t="array" aca="1" ref="E315" ca="1">IF(OR(C314=0,AND(B316=0,C316=0)),"",IFERROR(INDEX($F$27:$F$36,MATCH(C315,($F$27:$F$36)*($D$27:$D$36&lt;&gt;0),0)),IF(OR(AND(D315=0,B315=0,B316&lt;&gt;0),AND(D315*D314&lt;0,B315&lt;&gt;0)),IF(D315=0,C315,C315*(1-ABS(D315)/(ABS(D315)+ABS(D314)))+C314*(1-ABS(D314)/(ABS(D315)+ABS(D314)))),"")))</f>
        <v>#NAME?</v>
      </c>
    </row>
    <row r="316" spans="2:5" x14ac:dyDescent="0.25">
      <c r="B316" t="e">
        <f t="shared" ca="1" si="11"/>
        <v>#NAME?</v>
      </c>
      <c r="C316">
        <v>273</v>
      </c>
      <c r="D316" t="e">
        <f t="shared" ca="1" si="10"/>
        <v>#NAME?</v>
      </c>
      <c r="E316" s="115" t="e">
        <f t="array" aca="1" ref="E316" ca="1">IF(OR(C315=0,AND(B317=0,C317=0)),"",IFERROR(INDEX($F$27:$F$36,MATCH(C316,($F$27:$F$36)*($D$27:$D$36&lt;&gt;0),0)),IF(OR(AND(D316=0,B316=0,B317&lt;&gt;0),AND(D316*D315&lt;0,B316&lt;&gt;0)),IF(D316=0,C316,C316*(1-ABS(D316)/(ABS(D316)+ABS(D315)))+C315*(1-ABS(D315)/(ABS(D316)+ABS(D315)))),"")))</f>
        <v>#NAME?</v>
      </c>
    </row>
    <row r="317" spans="2:5" x14ac:dyDescent="0.25">
      <c r="B317" t="e">
        <f t="shared" ca="1" si="11"/>
        <v>#NAME?</v>
      </c>
      <c r="C317">
        <v>274</v>
      </c>
      <c r="D317" t="e">
        <f t="shared" ca="1" si="10"/>
        <v>#NAME?</v>
      </c>
      <c r="E317" s="115" t="e">
        <f t="array" aca="1" ref="E317" ca="1">IF(OR(C316=0,AND(B318=0,C318=0)),"",IFERROR(INDEX($F$27:$F$36,MATCH(C317,($F$27:$F$36)*($D$27:$D$36&lt;&gt;0),0)),IF(OR(AND(D317=0,B317=0,B318&lt;&gt;0),AND(D317*D316&lt;0,B317&lt;&gt;0)),IF(D317=0,C317,C317*(1-ABS(D317)/(ABS(D317)+ABS(D316)))+C316*(1-ABS(D316)/(ABS(D317)+ABS(D316)))),"")))</f>
        <v>#NAME?</v>
      </c>
    </row>
    <row r="318" spans="2:5" x14ac:dyDescent="0.25">
      <c r="B318" t="e">
        <f t="shared" ca="1" si="11"/>
        <v>#NAME?</v>
      </c>
      <c r="C318">
        <v>275</v>
      </c>
      <c r="D318" t="e">
        <f t="shared" ca="1" si="10"/>
        <v>#NAME?</v>
      </c>
      <c r="E318" s="115" t="e">
        <f t="array" aca="1" ref="E318" ca="1">IF(OR(C317=0,AND(B319=0,C319=0)),"",IFERROR(INDEX($F$27:$F$36,MATCH(C318,($F$27:$F$36)*($D$27:$D$36&lt;&gt;0),0)),IF(OR(AND(D318=0,B318=0,B319&lt;&gt;0),AND(D318*D317&lt;0,B318&lt;&gt;0)),IF(D318=0,C318,C318*(1-ABS(D318)/(ABS(D318)+ABS(D317)))+C317*(1-ABS(D317)/(ABS(D318)+ABS(D317)))),"")))</f>
        <v>#NAME?</v>
      </c>
    </row>
    <row r="319" spans="2:5" x14ac:dyDescent="0.25">
      <c r="B319" t="e">
        <f t="shared" ca="1" si="11"/>
        <v>#NAME?</v>
      </c>
      <c r="C319">
        <v>276</v>
      </c>
      <c r="D319" t="e">
        <f t="shared" ca="1" si="10"/>
        <v>#NAME?</v>
      </c>
      <c r="E319" s="115" t="e">
        <f t="array" aca="1" ref="E319" ca="1">IF(OR(C318=0,AND(B320=0,C320=0)),"",IFERROR(INDEX($F$27:$F$36,MATCH(C319,($F$27:$F$36)*($D$27:$D$36&lt;&gt;0),0)),IF(OR(AND(D319=0,B319=0,B320&lt;&gt;0),AND(D319*D318&lt;0,B319&lt;&gt;0)),IF(D319=0,C319,C319*(1-ABS(D319)/(ABS(D319)+ABS(D318)))+C318*(1-ABS(D318)/(ABS(D319)+ABS(D318)))),"")))</f>
        <v>#NAME?</v>
      </c>
    </row>
    <row r="320" spans="2:5" x14ac:dyDescent="0.25">
      <c r="B320" t="e">
        <f t="shared" ca="1" si="11"/>
        <v>#NAME?</v>
      </c>
      <c r="C320">
        <v>277</v>
      </c>
      <c r="D320" t="e">
        <f t="shared" ca="1" si="10"/>
        <v>#NAME?</v>
      </c>
      <c r="E320" s="115" t="e">
        <f t="array" aca="1" ref="E320" ca="1">IF(OR(C319=0,AND(B321=0,C321=0)),"",IFERROR(INDEX($F$27:$F$36,MATCH(C320,($F$27:$F$36)*($D$27:$D$36&lt;&gt;0),0)),IF(OR(AND(D320=0,B320=0,B321&lt;&gt;0),AND(D320*D319&lt;0,B320&lt;&gt;0)),IF(D320=0,C320,C320*(1-ABS(D320)/(ABS(D320)+ABS(D319)))+C319*(1-ABS(D319)/(ABS(D320)+ABS(D319)))),"")))</f>
        <v>#NAME?</v>
      </c>
    </row>
    <row r="321" spans="2:5" x14ac:dyDescent="0.25">
      <c r="B321" t="e">
        <f t="shared" ca="1" si="11"/>
        <v>#NAME?</v>
      </c>
      <c r="C321">
        <v>278</v>
      </c>
      <c r="D321" t="e">
        <f t="shared" ca="1" si="10"/>
        <v>#NAME?</v>
      </c>
      <c r="E321" s="115" t="e">
        <f t="array" aca="1" ref="E321" ca="1">IF(OR(C320=0,AND(B322=0,C322=0)),"",IFERROR(INDEX($F$27:$F$36,MATCH(C321,($F$27:$F$36)*($D$27:$D$36&lt;&gt;0),0)),IF(OR(AND(D321=0,B321=0,B322&lt;&gt;0),AND(D321*D320&lt;0,B321&lt;&gt;0)),IF(D321=0,C321,C321*(1-ABS(D321)/(ABS(D321)+ABS(D320)))+C320*(1-ABS(D320)/(ABS(D321)+ABS(D320)))),"")))</f>
        <v>#NAME?</v>
      </c>
    </row>
    <row r="322" spans="2:5" x14ac:dyDescent="0.25">
      <c r="B322" t="e">
        <f t="shared" ca="1" si="11"/>
        <v>#NAME?</v>
      </c>
      <c r="C322">
        <v>279</v>
      </c>
      <c r="D322" t="e">
        <f t="shared" ca="1" si="10"/>
        <v>#NAME?</v>
      </c>
      <c r="E322" s="115" t="e">
        <f t="array" aca="1" ref="E322" ca="1">IF(OR(C321=0,AND(B323=0,C323=0)),"",IFERROR(INDEX($F$27:$F$36,MATCH(C322,($F$27:$F$36)*($D$27:$D$36&lt;&gt;0),0)),IF(OR(AND(D322=0,B322=0,B323&lt;&gt;0),AND(D322*D321&lt;0,B322&lt;&gt;0)),IF(D322=0,C322,C322*(1-ABS(D322)/(ABS(D322)+ABS(D321)))+C321*(1-ABS(D321)/(ABS(D322)+ABS(D321)))),"")))</f>
        <v>#NAME?</v>
      </c>
    </row>
    <row r="323" spans="2:5" x14ac:dyDescent="0.25">
      <c r="B323" t="e">
        <f t="shared" ca="1" si="11"/>
        <v>#NAME?</v>
      </c>
      <c r="C323">
        <v>280</v>
      </c>
      <c r="D323" t="e">
        <f t="shared" ca="1" si="10"/>
        <v>#NAME?</v>
      </c>
      <c r="E323" s="115" t="e">
        <f t="array" aca="1" ref="E323" ca="1">IF(OR(C322=0,AND(B324=0,C324=0)),"",IFERROR(INDEX($F$27:$F$36,MATCH(C323,($F$27:$F$36)*($D$27:$D$36&lt;&gt;0),0)),IF(OR(AND(D323=0,B323=0,B324&lt;&gt;0),AND(D323*D322&lt;0,B323&lt;&gt;0)),IF(D323=0,C323,C323*(1-ABS(D323)/(ABS(D323)+ABS(D322)))+C322*(1-ABS(D322)/(ABS(D323)+ABS(D322)))),"")))</f>
        <v>#NAME?</v>
      </c>
    </row>
    <row r="324" spans="2:5" x14ac:dyDescent="0.25">
      <c r="B324" t="e">
        <f t="shared" ca="1" si="11"/>
        <v>#NAME?</v>
      </c>
      <c r="C324">
        <v>281</v>
      </c>
      <c r="D324" t="e">
        <f t="shared" ca="1" si="10"/>
        <v>#NAME?</v>
      </c>
      <c r="E324" s="115" t="e">
        <f t="array" aca="1" ref="E324" ca="1">IF(OR(C323=0,AND(B325=0,C325=0)),"",IFERROR(INDEX($F$27:$F$36,MATCH(C324,($F$27:$F$36)*($D$27:$D$36&lt;&gt;0),0)),IF(OR(AND(D324=0,B324=0,B325&lt;&gt;0),AND(D324*D323&lt;0,B324&lt;&gt;0)),IF(D324=0,C324,C324*(1-ABS(D324)/(ABS(D324)+ABS(D323)))+C323*(1-ABS(D323)/(ABS(D324)+ABS(D323)))),"")))</f>
        <v>#NAME?</v>
      </c>
    </row>
    <row r="325" spans="2:5" x14ac:dyDescent="0.25">
      <c r="B325" t="e">
        <f t="shared" ca="1" si="11"/>
        <v>#NAME?</v>
      </c>
      <c r="C325">
        <v>282</v>
      </c>
      <c r="D325" t="e">
        <f t="shared" ca="1" si="10"/>
        <v>#NAME?</v>
      </c>
      <c r="E325" s="115" t="e">
        <f t="array" aca="1" ref="E325" ca="1">IF(OR(C324=0,AND(B326=0,C326=0)),"",IFERROR(INDEX($F$27:$F$36,MATCH(C325,($F$27:$F$36)*($D$27:$D$36&lt;&gt;0),0)),IF(OR(AND(D325=0,B325=0,B326&lt;&gt;0),AND(D325*D324&lt;0,B325&lt;&gt;0)),IF(D325=0,C325,C325*(1-ABS(D325)/(ABS(D325)+ABS(D324)))+C324*(1-ABS(D324)/(ABS(D325)+ABS(D324)))),"")))</f>
        <v>#NAME?</v>
      </c>
    </row>
    <row r="326" spans="2:5" x14ac:dyDescent="0.25">
      <c r="B326" t="e">
        <f t="shared" ca="1" si="11"/>
        <v>#NAME?</v>
      </c>
      <c r="C326">
        <v>283</v>
      </c>
      <c r="D326" t="e">
        <f t="shared" ca="1" si="10"/>
        <v>#NAME?</v>
      </c>
      <c r="E326" s="115" t="e">
        <f t="array" aca="1" ref="E326" ca="1">IF(OR(C325=0,AND(B327=0,C327=0)),"",IFERROR(INDEX($F$27:$F$36,MATCH(C326,($F$27:$F$36)*($D$27:$D$36&lt;&gt;0),0)),IF(OR(AND(D326=0,B326=0,B327&lt;&gt;0),AND(D326*D325&lt;0,B326&lt;&gt;0)),IF(D326=0,C326,C326*(1-ABS(D326)/(ABS(D326)+ABS(D325)))+C325*(1-ABS(D325)/(ABS(D326)+ABS(D325)))),"")))</f>
        <v>#NAME?</v>
      </c>
    </row>
    <row r="327" spans="2:5" x14ac:dyDescent="0.25">
      <c r="B327" t="e">
        <f t="shared" ca="1" si="11"/>
        <v>#NAME?</v>
      </c>
      <c r="C327">
        <v>284</v>
      </c>
      <c r="D327" t="e">
        <f t="shared" ca="1" si="10"/>
        <v>#NAME?</v>
      </c>
      <c r="E327" s="115" t="e">
        <f t="array" aca="1" ref="E327" ca="1">IF(OR(C326=0,AND(B328=0,C328=0)),"",IFERROR(INDEX($F$27:$F$36,MATCH(C327,($F$27:$F$36)*($D$27:$D$36&lt;&gt;0),0)),IF(OR(AND(D327=0,B327=0,B328&lt;&gt;0),AND(D327*D326&lt;0,B327&lt;&gt;0)),IF(D327=0,C327,C327*(1-ABS(D327)/(ABS(D327)+ABS(D326)))+C326*(1-ABS(D326)/(ABS(D327)+ABS(D326)))),"")))</f>
        <v>#NAME?</v>
      </c>
    </row>
    <row r="328" spans="2:5" x14ac:dyDescent="0.25">
      <c r="B328" t="e">
        <f t="shared" ca="1" si="11"/>
        <v>#NAME?</v>
      </c>
      <c r="C328">
        <v>285</v>
      </c>
      <c r="D328" t="e">
        <f t="shared" ca="1" si="10"/>
        <v>#NAME?</v>
      </c>
      <c r="E328" s="115" t="e">
        <f t="array" aca="1" ref="E328" ca="1">IF(OR(C327=0,AND(B329=0,C329=0)),"",IFERROR(INDEX($F$27:$F$36,MATCH(C328,($F$27:$F$36)*($D$27:$D$36&lt;&gt;0),0)),IF(OR(AND(D328=0,B328=0,B329&lt;&gt;0),AND(D328*D327&lt;0,B328&lt;&gt;0)),IF(D328=0,C328,C328*(1-ABS(D328)/(ABS(D328)+ABS(D327)))+C327*(1-ABS(D327)/(ABS(D328)+ABS(D327)))),"")))</f>
        <v>#NAME?</v>
      </c>
    </row>
    <row r="329" spans="2:5" x14ac:dyDescent="0.25">
      <c r="B329" t="e">
        <f t="shared" ca="1" si="11"/>
        <v>#NAME?</v>
      </c>
      <c r="C329">
        <v>286</v>
      </c>
      <c r="D329" t="e">
        <f t="shared" ca="1" si="10"/>
        <v>#NAME?</v>
      </c>
      <c r="E329" s="115" t="e">
        <f t="array" aca="1" ref="E329" ca="1">IF(OR(C328=0,AND(B330=0,C330=0)),"",IFERROR(INDEX($F$27:$F$36,MATCH(C329,($F$27:$F$36)*($D$27:$D$36&lt;&gt;0),0)),IF(OR(AND(D329=0,B329=0,B330&lt;&gt;0),AND(D329*D328&lt;0,B329&lt;&gt;0)),IF(D329=0,C329,C329*(1-ABS(D329)/(ABS(D329)+ABS(D328)))+C328*(1-ABS(D328)/(ABS(D329)+ABS(D328)))),"")))</f>
        <v>#NAME?</v>
      </c>
    </row>
    <row r="330" spans="2:5" x14ac:dyDescent="0.25">
      <c r="B330" t="e">
        <f t="shared" ca="1" si="11"/>
        <v>#NAME?</v>
      </c>
      <c r="C330">
        <v>287</v>
      </c>
      <c r="D330" t="e">
        <f t="shared" ca="1" si="10"/>
        <v>#NAME?</v>
      </c>
      <c r="E330" s="115" t="e">
        <f t="array" aca="1" ref="E330" ca="1">IF(OR(C329=0,AND(B331=0,C331=0)),"",IFERROR(INDEX($F$27:$F$36,MATCH(C330,($F$27:$F$36)*($D$27:$D$36&lt;&gt;0),0)),IF(OR(AND(D330=0,B330=0,B331&lt;&gt;0),AND(D330*D329&lt;0,B330&lt;&gt;0)),IF(D330=0,C330,C330*(1-ABS(D330)/(ABS(D330)+ABS(D329)))+C329*(1-ABS(D329)/(ABS(D330)+ABS(D329)))),"")))</f>
        <v>#NAME?</v>
      </c>
    </row>
    <row r="331" spans="2:5" x14ac:dyDescent="0.25">
      <c r="B331" t="e">
        <f t="shared" ca="1" si="11"/>
        <v>#NAME?</v>
      </c>
      <c r="C331">
        <v>288</v>
      </c>
      <c r="D331" t="e">
        <f t="shared" ca="1" si="10"/>
        <v>#NAME?</v>
      </c>
      <c r="E331" s="115" t="e">
        <f t="array" aca="1" ref="E331" ca="1">IF(OR(C330=0,AND(B332=0,C332=0)),"",IFERROR(INDEX($F$27:$F$36,MATCH(C331,($F$27:$F$36)*($D$27:$D$36&lt;&gt;0),0)),IF(OR(AND(D331=0,B331=0,B332&lt;&gt;0),AND(D331*D330&lt;0,B331&lt;&gt;0)),IF(D331=0,C331,C331*(1-ABS(D331)/(ABS(D331)+ABS(D330)))+C330*(1-ABS(D330)/(ABS(D331)+ABS(D330)))),"")))</f>
        <v>#NAME?</v>
      </c>
    </row>
    <row r="332" spans="2:5" x14ac:dyDescent="0.25">
      <c r="B332" t="e">
        <f t="shared" ca="1" si="11"/>
        <v>#NAME?</v>
      </c>
      <c r="C332">
        <v>289</v>
      </c>
      <c r="D332" t="e">
        <f t="shared" ca="1" si="10"/>
        <v>#NAME?</v>
      </c>
      <c r="E332" s="115" t="e">
        <f t="array" aca="1" ref="E332" ca="1">IF(OR(C331=0,AND(B333=0,C333=0)),"",IFERROR(INDEX($F$27:$F$36,MATCH(C332,($F$27:$F$36)*($D$27:$D$36&lt;&gt;0),0)),IF(OR(AND(D332=0,B332=0,B333&lt;&gt;0),AND(D332*D331&lt;0,B332&lt;&gt;0)),IF(D332=0,C332,C332*(1-ABS(D332)/(ABS(D332)+ABS(D331)))+C331*(1-ABS(D331)/(ABS(D332)+ABS(D331)))),"")))</f>
        <v>#NAME?</v>
      </c>
    </row>
    <row r="333" spans="2:5" x14ac:dyDescent="0.25">
      <c r="B333" t="e">
        <f t="shared" ca="1" si="11"/>
        <v>#NAME?</v>
      </c>
      <c r="C333">
        <v>290</v>
      </c>
      <c r="D333" t="e">
        <f t="shared" ca="1" si="10"/>
        <v>#NAME?</v>
      </c>
      <c r="E333" s="115" t="e">
        <f t="array" aca="1" ref="E333" ca="1">IF(OR(C332=0,AND(B334=0,C334=0)),"",IFERROR(INDEX($F$27:$F$36,MATCH(C333,($F$27:$F$36)*($D$27:$D$36&lt;&gt;0),0)),IF(OR(AND(D333=0,B333=0,B334&lt;&gt;0),AND(D333*D332&lt;0,B333&lt;&gt;0)),IF(D333=0,C333,C333*(1-ABS(D333)/(ABS(D333)+ABS(D332)))+C332*(1-ABS(D332)/(ABS(D333)+ABS(D332)))),"")))</f>
        <v>#NAME?</v>
      </c>
    </row>
    <row r="334" spans="2:5" x14ac:dyDescent="0.25">
      <c r="B334" t="e">
        <f t="shared" ca="1" si="11"/>
        <v>#NAME?</v>
      </c>
      <c r="C334">
        <v>291</v>
      </c>
      <c r="D334" t="e">
        <f t="shared" ca="1" si="10"/>
        <v>#NAME?</v>
      </c>
      <c r="E334" s="115" t="e">
        <f t="array" aca="1" ref="E334" ca="1">IF(OR(C333=0,AND(B335=0,C335=0)),"",IFERROR(INDEX($F$27:$F$36,MATCH(C334,($F$27:$F$36)*($D$27:$D$36&lt;&gt;0),0)),IF(OR(AND(D334=0,B334=0,B335&lt;&gt;0),AND(D334*D333&lt;0,B334&lt;&gt;0)),IF(D334=0,C334,C334*(1-ABS(D334)/(ABS(D334)+ABS(D333)))+C333*(1-ABS(D333)/(ABS(D334)+ABS(D333)))),"")))</f>
        <v>#NAME?</v>
      </c>
    </row>
    <row r="335" spans="2:5" x14ac:dyDescent="0.25">
      <c r="B335" t="e">
        <f t="shared" ca="1" si="11"/>
        <v>#NAME?</v>
      </c>
      <c r="C335">
        <v>292</v>
      </c>
      <c r="D335" t="e">
        <f t="shared" ca="1" si="10"/>
        <v>#NAME?</v>
      </c>
      <c r="E335" s="115" t="e">
        <f t="array" aca="1" ref="E335" ca="1">IF(OR(C334=0,AND(B336=0,C336=0)),"",IFERROR(INDEX($F$27:$F$36,MATCH(C335,($F$27:$F$36)*($D$27:$D$36&lt;&gt;0),0)),IF(OR(AND(D335=0,B335=0,B336&lt;&gt;0),AND(D335*D334&lt;0,B335&lt;&gt;0)),IF(D335=0,C335,C335*(1-ABS(D335)/(ABS(D335)+ABS(D334)))+C334*(1-ABS(D334)/(ABS(D335)+ABS(D334)))),"")))</f>
        <v>#NAME?</v>
      </c>
    </row>
    <row r="336" spans="2:5" x14ac:dyDescent="0.25">
      <c r="B336" t="e">
        <f t="shared" ca="1" si="11"/>
        <v>#NAME?</v>
      </c>
      <c r="C336">
        <v>293</v>
      </c>
      <c r="D336" t="e">
        <f t="shared" ca="1" si="10"/>
        <v>#NAME?</v>
      </c>
      <c r="E336" s="115" t="e">
        <f t="array" aca="1" ref="E336" ca="1">IF(OR(C335=0,AND(B337=0,C337=0)),"",IFERROR(INDEX($F$27:$F$36,MATCH(C336,($F$27:$F$36)*($D$27:$D$36&lt;&gt;0),0)),IF(OR(AND(D336=0,B336=0,B337&lt;&gt;0),AND(D336*D335&lt;0,B336&lt;&gt;0)),IF(D336=0,C336,C336*(1-ABS(D336)/(ABS(D336)+ABS(D335)))+C335*(1-ABS(D335)/(ABS(D336)+ABS(D335)))),"")))</f>
        <v>#NAME?</v>
      </c>
    </row>
    <row r="337" spans="2:5" x14ac:dyDescent="0.25">
      <c r="B337" t="e">
        <f t="shared" ca="1" si="11"/>
        <v>#NAME?</v>
      </c>
      <c r="C337">
        <v>294</v>
      </c>
      <c r="D337" t="e">
        <f t="shared" ca="1" si="10"/>
        <v>#NAME?</v>
      </c>
      <c r="E337" s="115" t="e">
        <f t="array" aca="1" ref="E337" ca="1">IF(OR(C336=0,AND(B338=0,C338=0)),"",IFERROR(INDEX($F$27:$F$36,MATCH(C337,($F$27:$F$36)*($D$27:$D$36&lt;&gt;0),0)),IF(OR(AND(D337=0,B337=0,B338&lt;&gt;0),AND(D337*D336&lt;0,B337&lt;&gt;0)),IF(D337=0,C337,C337*(1-ABS(D337)/(ABS(D337)+ABS(D336)))+C336*(1-ABS(D336)/(ABS(D337)+ABS(D336)))),"")))</f>
        <v>#NAME?</v>
      </c>
    </row>
    <row r="338" spans="2:5" x14ac:dyDescent="0.25">
      <c r="B338" t="e">
        <f t="shared" ca="1" si="11"/>
        <v>#NAME?</v>
      </c>
      <c r="C338">
        <v>295</v>
      </c>
      <c r="D338" t="e">
        <f t="shared" ca="1" si="10"/>
        <v>#NAME?</v>
      </c>
      <c r="E338" s="115" t="e">
        <f t="array" aca="1" ref="E338" ca="1">IF(OR(C337=0,AND(B339=0,C339=0)),"",IFERROR(INDEX($F$27:$F$36,MATCH(C338,($F$27:$F$36)*($D$27:$D$36&lt;&gt;0),0)),IF(OR(AND(D338=0,B338=0,B339&lt;&gt;0),AND(D338*D337&lt;0,B338&lt;&gt;0)),IF(D338=0,C338,C338*(1-ABS(D338)/(ABS(D338)+ABS(D337)))+C337*(1-ABS(D337)/(ABS(D338)+ABS(D337)))),"")))</f>
        <v>#NAME?</v>
      </c>
    </row>
    <row r="339" spans="2:5" x14ac:dyDescent="0.25">
      <c r="B339" t="e">
        <f t="shared" ca="1" si="11"/>
        <v>#NAME?</v>
      </c>
      <c r="C339">
        <v>296</v>
      </c>
      <c r="D339" t="e">
        <f t="shared" ca="1" si="10"/>
        <v>#NAME?</v>
      </c>
      <c r="E339" s="115" t="e">
        <f t="array" aca="1" ref="E339" ca="1">IF(OR(C338=0,AND(B340=0,C340=0)),"",IFERROR(INDEX($F$27:$F$36,MATCH(C339,($F$27:$F$36)*($D$27:$D$36&lt;&gt;0),0)),IF(OR(AND(D339=0,B339=0,B340&lt;&gt;0),AND(D339*D338&lt;0,B339&lt;&gt;0)),IF(D339=0,C339,C339*(1-ABS(D339)/(ABS(D339)+ABS(D338)))+C338*(1-ABS(D338)/(ABS(D339)+ABS(D338)))),"")))</f>
        <v>#NAME?</v>
      </c>
    </row>
    <row r="340" spans="2:5" x14ac:dyDescent="0.25">
      <c r="B340" t="e">
        <f t="shared" ca="1" si="11"/>
        <v>#NAME?</v>
      </c>
      <c r="C340">
        <v>297</v>
      </c>
      <c r="D340" t="e">
        <f t="shared" ca="1" si="10"/>
        <v>#NAME?</v>
      </c>
      <c r="E340" s="115" t="e">
        <f t="array" aca="1" ref="E340" ca="1">IF(OR(C339=0,AND(B341=0,C341=0)),"",IFERROR(INDEX($F$27:$F$36,MATCH(C340,($F$27:$F$36)*($D$27:$D$36&lt;&gt;0),0)),IF(OR(AND(D340=0,B340=0,B341&lt;&gt;0),AND(D340*D339&lt;0,B340&lt;&gt;0)),IF(D340=0,C340,C340*(1-ABS(D340)/(ABS(D340)+ABS(D339)))+C339*(1-ABS(D339)/(ABS(D340)+ABS(D339)))),"")))</f>
        <v>#NAME?</v>
      </c>
    </row>
    <row r="341" spans="2:5" x14ac:dyDescent="0.25">
      <c r="B341" t="e">
        <f t="shared" ca="1" si="11"/>
        <v>#NAME?</v>
      </c>
      <c r="C341">
        <v>298</v>
      </c>
      <c r="D341" t="e">
        <f t="shared" ca="1" si="10"/>
        <v>#NAME?</v>
      </c>
      <c r="E341" s="115" t="e">
        <f t="array" aca="1" ref="E341" ca="1">IF(OR(C340=0,AND(B342=0,C342=0)),"",IFERROR(INDEX($F$27:$F$36,MATCH(C341,($F$27:$F$36)*($D$27:$D$36&lt;&gt;0),0)),IF(OR(AND(D341=0,B341=0,B342&lt;&gt;0),AND(D341*D340&lt;0,B341&lt;&gt;0)),IF(D341=0,C341,C341*(1-ABS(D341)/(ABS(D341)+ABS(D340)))+C340*(1-ABS(D340)/(ABS(D341)+ABS(D340)))),"")))</f>
        <v>#NAME?</v>
      </c>
    </row>
    <row r="342" spans="2:5" x14ac:dyDescent="0.25">
      <c r="B342" t="e">
        <f t="shared" ca="1" si="11"/>
        <v>#NAME?</v>
      </c>
      <c r="C342">
        <v>299</v>
      </c>
      <c r="D342" t="e">
        <f t="shared" ca="1" si="10"/>
        <v>#NAME?</v>
      </c>
      <c r="E342" s="115" t="e">
        <f t="array" aca="1" ref="E342" ca="1">IF(OR(C341=0,AND(B343=0,C343=0)),"",IFERROR(INDEX($F$27:$F$36,MATCH(C342,($F$27:$F$36)*($D$27:$D$36&lt;&gt;0),0)),IF(OR(AND(D342=0,B342=0,B343&lt;&gt;0),AND(D342*D341&lt;0,B342&lt;&gt;0)),IF(D342=0,C342,C342*(1-ABS(D342)/(ABS(D342)+ABS(D341)))+C341*(1-ABS(D341)/(ABS(D342)+ABS(D341)))),"")))</f>
        <v>#NAME?</v>
      </c>
    </row>
    <row r="343" spans="2:5" x14ac:dyDescent="0.25">
      <c r="B343" t="e">
        <f t="shared" ca="1" si="11"/>
        <v>#NAME?</v>
      </c>
      <c r="C343">
        <v>300</v>
      </c>
      <c r="D343" t="e">
        <f t="shared" ca="1" si="10"/>
        <v>#NAME?</v>
      </c>
      <c r="E343" s="115" t="e">
        <f t="array" aca="1" ref="E343" ca="1">IF(OR(C342=0,AND(B344=0,C344=0)),"",IFERROR(INDEX($F$27:$F$36,MATCH(C343,($F$27:$F$36)*($D$27:$D$36&lt;&gt;0),0)),IF(OR(AND(D343=0,B343=0,B344&lt;&gt;0),AND(D343*D342&lt;0,B343&lt;&gt;0)),IF(D343=0,C343,C343*(1-ABS(D343)/(ABS(D343)+ABS(D342)))+C342*(1-ABS(D342)/(ABS(D343)+ABS(D342)))),"")))</f>
        <v>#NAME?</v>
      </c>
    </row>
    <row r="344" spans="2:5" x14ac:dyDescent="0.25">
      <c r="B344" t="e">
        <f t="shared" ca="1" si="11"/>
        <v>#NAME?</v>
      </c>
      <c r="C344">
        <v>301</v>
      </c>
      <c r="D344" t="e">
        <f t="shared" ca="1" si="10"/>
        <v>#NAME?</v>
      </c>
      <c r="E344" s="115" t="e">
        <f t="array" aca="1" ref="E344" ca="1">IF(OR(C343=0,AND(B345=0,C345=0)),"",IFERROR(INDEX($F$27:$F$36,MATCH(C344,($F$27:$F$36)*($D$27:$D$36&lt;&gt;0),0)),IF(OR(AND(D344=0,B344=0,B345&lt;&gt;0),AND(D344*D343&lt;0,B344&lt;&gt;0)),IF(D344=0,C344,C344*(1-ABS(D344)/(ABS(D344)+ABS(D343)))+C343*(1-ABS(D343)/(ABS(D344)+ABS(D343)))),"")))</f>
        <v>#NAME?</v>
      </c>
    </row>
    <row r="345" spans="2:5" x14ac:dyDescent="0.25">
      <c r="B345" t="e">
        <f t="shared" ca="1" si="11"/>
        <v>#NAME?</v>
      </c>
      <c r="C345">
        <v>302</v>
      </c>
      <c r="D345" t="e">
        <f t="shared" ca="1" si="10"/>
        <v>#NAME?</v>
      </c>
      <c r="E345" s="115" t="e">
        <f t="array" aca="1" ref="E345" ca="1">IF(OR(C344=0,AND(B346=0,C346=0)),"",IFERROR(INDEX($F$27:$F$36,MATCH(C345,($F$27:$F$36)*($D$27:$D$36&lt;&gt;0),0)),IF(OR(AND(D345=0,B345=0,B346&lt;&gt;0),AND(D345*D344&lt;0,B345&lt;&gt;0)),IF(D345=0,C345,C345*(1-ABS(D345)/(ABS(D345)+ABS(D344)))+C344*(1-ABS(D344)/(ABS(D345)+ABS(D344)))),"")))</f>
        <v>#NAME?</v>
      </c>
    </row>
    <row r="346" spans="2:5" x14ac:dyDescent="0.25">
      <c r="B346" t="e">
        <f t="shared" ca="1" si="11"/>
        <v>#NAME?</v>
      </c>
      <c r="C346">
        <v>303</v>
      </c>
      <c r="D346" t="e">
        <f t="shared" ca="1" si="10"/>
        <v>#NAME?</v>
      </c>
      <c r="E346" s="115" t="e">
        <f t="array" aca="1" ref="E346" ca="1">IF(OR(C345=0,AND(B347=0,C347=0)),"",IFERROR(INDEX($F$27:$F$36,MATCH(C346,($F$27:$F$36)*($D$27:$D$36&lt;&gt;0),0)),IF(OR(AND(D346=0,B346=0,B347&lt;&gt;0),AND(D346*D345&lt;0,B346&lt;&gt;0)),IF(D346=0,C346,C346*(1-ABS(D346)/(ABS(D346)+ABS(D345)))+C345*(1-ABS(D345)/(ABS(D346)+ABS(D345)))),"")))</f>
        <v>#NAME?</v>
      </c>
    </row>
    <row r="347" spans="2:5" x14ac:dyDescent="0.25">
      <c r="B347" t="e">
        <f t="shared" ca="1" si="11"/>
        <v>#NAME?</v>
      </c>
      <c r="C347">
        <v>304</v>
      </c>
      <c r="D347" t="e">
        <f t="shared" ca="1" si="10"/>
        <v>#NAME?</v>
      </c>
      <c r="E347" s="115" t="e">
        <f t="array" aca="1" ref="E347" ca="1">IF(OR(C346=0,AND(B348=0,C348=0)),"",IFERROR(INDEX($F$27:$F$36,MATCH(C347,($F$27:$F$36)*($D$27:$D$36&lt;&gt;0),0)),IF(OR(AND(D347=0,B347=0,B348&lt;&gt;0),AND(D347*D346&lt;0,B347&lt;&gt;0)),IF(D347=0,C347,C347*(1-ABS(D347)/(ABS(D347)+ABS(D346)))+C346*(1-ABS(D346)/(ABS(D347)+ABS(D346)))),"")))</f>
        <v>#NAME?</v>
      </c>
    </row>
    <row r="348" spans="2:5" x14ac:dyDescent="0.25">
      <c r="B348" t="e">
        <f t="shared" ca="1" si="11"/>
        <v>#NAME?</v>
      </c>
      <c r="C348">
        <v>305</v>
      </c>
      <c r="D348" t="e">
        <f t="shared" ca="1" si="10"/>
        <v>#NAME?</v>
      </c>
      <c r="E348" s="115" t="e">
        <f t="array" aca="1" ref="E348" ca="1">IF(OR(C347=0,AND(B349=0,C349=0)),"",IFERROR(INDEX($F$27:$F$36,MATCH(C348,($F$27:$F$36)*($D$27:$D$36&lt;&gt;0),0)),IF(OR(AND(D348=0,B348=0,B349&lt;&gt;0),AND(D348*D347&lt;0,B348&lt;&gt;0)),IF(D348=0,C348,C348*(1-ABS(D348)/(ABS(D348)+ABS(D347)))+C347*(1-ABS(D347)/(ABS(D348)+ABS(D347)))),"")))</f>
        <v>#NAME?</v>
      </c>
    </row>
    <row r="349" spans="2:5" x14ac:dyDescent="0.25">
      <c r="B349" t="e">
        <f t="shared" ca="1" si="11"/>
        <v>#NAME?</v>
      </c>
      <c r="C349">
        <v>306</v>
      </c>
      <c r="D349" t="e">
        <f t="shared" ca="1" si="10"/>
        <v>#NAME?</v>
      </c>
      <c r="E349" s="115" t="e">
        <f t="array" aca="1" ref="E349" ca="1">IF(OR(C348=0,AND(B350=0,C350=0)),"",IFERROR(INDEX($F$27:$F$36,MATCH(C349,($F$27:$F$36)*($D$27:$D$36&lt;&gt;0),0)),IF(OR(AND(D349=0,B349=0,B350&lt;&gt;0),AND(D349*D348&lt;0,B349&lt;&gt;0)),IF(D349=0,C349,C349*(1-ABS(D349)/(ABS(D349)+ABS(D348)))+C348*(1-ABS(D348)/(ABS(D349)+ABS(D348)))),"")))</f>
        <v>#NAME?</v>
      </c>
    </row>
    <row r="350" spans="2:5" x14ac:dyDescent="0.25">
      <c r="B350" t="e">
        <f t="shared" ca="1" si="11"/>
        <v>#NAME?</v>
      </c>
      <c r="C350">
        <v>307</v>
      </c>
      <c r="D350" t="e">
        <f t="shared" ca="1" si="10"/>
        <v>#NAME?</v>
      </c>
      <c r="E350" s="115" t="e">
        <f t="array" aca="1" ref="E350" ca="1">IF(OR(C349=0,AND(B351=0,C351=0)),"",IFERROR(INDEX($F$27:$F$36,MATCH(C350,($F$27:$F$36)*($D$27:$D$36&lt;&gt;0),0)),IF(OR(AND(D350=0,B350=0,B351&lt;&gt;0),AND(D350*D349&lt;0,B350&lt;&gt;0)),IF(D350=0,C350,C350*(1-ABS(D350)/(ABS(D350)+ABS(D349)))+C349*(1-ABS(D349)/(ABS(D350)+ABS(D349)))),"")))</f>
        <v>#NAME?</v>
      </c>
    </row>
    <row r="351" spans="2:5" x14ac:dyDescent="0.25">
      <c r="B351" t="e">
        <f t="shared" ca="1" si="11"/>
        <v>#NAME?</v>
      </c>
      <c r="C351">
        <v>308</v>
      </c>
      <c r="D351" t="e">
        <f t="shared" ca="1" si="10"/>
        <v>#NAME?</v>
      </c>
      <c r="E351" s="115" t="e">
        <f t="array" aca="1" ref="E351" ca="1">IF(OR(C350=0,AND(B352=0,C352=0)),"",IFERROR(INDEX($F$27:$F$36,MATCH(C351,($F$27:$F$36)*($D$27:$D$36&lt;&gt;0),0)),IF(OR(AND(D351=0,B351=0,B352&lt;&gt;0),AND(D351*D350&lt;0,B351&lt;&gt;0)),IF(D351=0,C351,C351*(1-ABS(D351)/(ABS(D351)+ABS(D350)))+C350*(1-ABS(D350)/(ABS(D351)+ABS(D350)))),"")))</f>
        <v>#NAME?</v>
      </c>
    </row>
    <row r="352" spans="2:5" x14ac:dyDescent="0.25">
      <c r="B352" t="e">
        <f t="shared" ca="1" si="11"/>
        <v>#NAME?</v>
      </c>
      <c r="C352">
        <v>309</v>
      </c>
      <c r="D352" t="e">
        <f t="shared" ca="1" si="10"/>
        <v>#NAME?</v>
      </c>
      <c r="E352" s="115" t="e">
        <f t="array" aca="1" ref="E352" ca="1">IF(OR(C351=0,AND(B353=0,C353=0)),"",IFERROR(INDEX($F$27:$F$36,MATCH(C352,($F$27:$F$36)*($D$27:$D$36&lt;&gt;0),0)),IF(OR(AND(D352=0,B352=0,B353&lt;&gt;0),AND(D352*D351&lt;0,B352&lt;&gt;0)),IF(D352=0,C352,C352*(1-ABS(D352)/(ABS(D352)+ABS(D351)))+C351*(1-ABS(D351)/(ABS(D352)+ABS(D351)))),"")))</f>
        <v>#NAME?</v>
      </c>
    </row>
    <row r="353" spans="2:5" x14ac:dyDescent="0.25">
      <c r="B353" t="e">
        <f t="shared" ca="1" si="11"/>
        <v>#NAME?</v>
      </c>
      <c r="C353">
        <v>310</v>
      </c>
      <c r="D353" t="e">
        <f t="shared" ca="1" si="10"/>
        <v>#NAME?</v>
      </c>
      <c r="E353" s="115" t="e">
        <f t="array" aca="1" ref="E353" ca="1">IF(OR(C352=0,AND(B354=0,C354=0)),"",IFERROR(INDEX($F$27:$F$36,MATCH(C353,($F$27:$F$36)*($D$27:$D$36&lt;&gt;0),0)),IF(OR(AND(D353=0,B353=0,B354&lt;&gt;0),AND(D353*D352&lt;0,B353&lt;&gt;0)),IF(D353=0,C353,C353*(1-ABS(D353)/(ABS(D353)+ABS(D352)))+C352*(1-ABS(D352)/(ABS(D353)+ABS(D352)))),"")))</f>
        <v>#NAME?</v>
      </c>
    </row>
    <row r="354" spans="2:5" x14ac:dyDescent="0.25">
      <c r="B354" t="e">
        <f t="shared" ca="1" si="11"/>
        <v>#NAME?</v>
      </c>
      <c r="C354">
        <v>311</v>
      </c>
      <c r="D354" t="e">
        <f t="shared" ca="1" si="10"/>
        <v>#NAME?</v>
      </c>
      <c r="E354" s="115" t="e">
        <f t="array" aca="1" ref="E354" ca="1">IF(OR(C353=0,AND(B355=0,C355=0)),"",IFERROR(INDEX($F$27:$F$36,MATCH(C354,($F$27:$F$36)*($D$27:$D$36&lt;&gt;0),0)),IF(OR(AND(D354=0,B354=0,B355&lt;&gt;0),AND(D354*D353&lt;0,B354&lt;&gt;0)),IF(D354=0,C354,C354*(1-ABS(D354)/(ABS(D354)+ABS(D353)))+C353*(1-ABS(D353)/(ABS(D354)+ABS(D353)))),"")))</f>
        <v>#NAME?</v>
      </c>
    </row>
    <row r="355" spans="2:5" x14ac:dyDescent="0.25">
      <c r="B355" t="e">
        <f t="shared" ca="1" si="11"/>
        <v>#NAME?</v>
      </c>
      <c r="C355">
        <v>312</v>
      </c>
      <c r="D355" t="e">
        <f t="shared" ca="1" si="10"/>
        <v>#NAME?</v>
      </c>
      <c r="E355" s="115" t="e">
        <f t="array" aca="1" ref="E355" ca="1">IF(OR(C354=0,AND(B356=0,C356=0)),"",IFERROR(INDEX($F$27:$F$36,MATCH(C355,($F$27:$F$36)*($D$27:$D$36&lt;&gt;0),0)),IF(OR(AND(D355=0,B355=0,B356&lt;&gt;0),AND(D355*D354&lt;0,B355&lt;&gt;0)),IF(D355=0,C355,C355*(1-ABS(D355)/(ABS(D355)+ABS(D354)))+C354*(1-ABS(D354)/(ABS(D355)+ABS(D354)))),"")))</f>
        <v>#NAME?</v>
      </c>
    </row>
    <row r="356" spans="2:5" x14ac:dyDescent="0.25">
      <c r="B356" t="e">
        <f t="shared" ca="1" si="11"/>
        <v>#NAME?</v>
      </c>
      <c r="C356">
        <v>313</v>
      </c>
      <c r="D356" t="e">
        <f t="shared" ca="1" si="10"/>
        <v>#NAME?</v>
      </c>
      <c r="E356" s="115" t="e">
        <f t="array" aca="1" ref="E356" ca="1">IF(OR(C355=0,AND(B357=0,C357=0)),"",IFERROR(INDEX($F$27:$F$36,MATCH(C356,($F$27:$F$36)*($D$27:$D$36&lt;&gt;0),0)),IF(OR(AND(D356=0,B356=0,B357&lt;&gt;0),AND(D356*D355&lt;0,B356&lt;&gt;0)),IF(D356=0,C356,C356*(1-ABS(D356)/(ABS(D356)+ABS(D355)))+C355*(1-ABS(D355)/(ABS(D356)+ABS(D355)))),"")))</f>
        <v>#NAME?</v>
      </c>
    </row>
    <row r="357" spans="2:5" x14ac:dyDescent="0.25">
      <c r="B357" t="e">
        <f t="shared" ca="1" si="11"/>
        <v>#NAME?</v>
      </c>
      <c r="C357">
        <v>314</v>
      </c>
      <c r="D357" t="e">
        <f t="shared" ca="1" si="10"/>
        <v>#NAME?</v>
      </c>
      <c r="E357" s="115" t="e">
        <f t="array" aca="1" ref="E357" ca="1">IF(OR(C356=0,AND(B358=0,C358=0)),"",IFERROR(INDEX($F$27:$F$36,MATCH(C357,($F$27:$F$36)*($D$27:$D$36&lt;&gt;0),0)),IF(OR(AND(D357=0,B357=0,B358&lt;&gt;0),AND(D357*D356&lt;0,B357&lt;&gt;0)),IF(D357=0,C357,C357*(1-ABS(D357)/(ABS(D357)+ABS(D356)))+C356*(1-ABS(D356)/(ABS(D357)+ABS(D356)))),"")))</f>
        <v>#NAME?</v>
      </c>
    </row>
    <row r="358" spans="2:5" x14ac:dyDescent="0.25">
      <c r="B358" t="e">
        <f t="shared" ca="1" si="11"/>
        <v>#NAME?</v>
      </c>
      <c r="C358">
        <v>315</v>
      </c>
      <c r="D358" t="e">
        <f t="shared" ca="1" si="10"/>
        <v>#NAME?</v>
      </c>
      <c r="E358" s="115" t="e">
        <f t="array" aca="1" ref="E358" ca="1">IF(OR(C357=0,AND(B359=0,C359=0)),"",IFERROR(INDEX($F$27:$F$36,MATCH(C358,($F$27:$F$36)*($D$27:$D$36&lt;&gt;0),0)),IF(OR(AND(D358=0,B358=0,B359&lt;&gt;0),AND(D358*D357&lt;0,B358&lt;&gt;0)),IF(D358=0,C358,C358*(1-ABS(D358)/(ABS(D358)+ABS(D357)))+C357*(1-ABS(D357)/(ABS(D358)+ABS(D357)))),"")))</f>
        <v>#NAME?</v>
      </c>
    </row>
    <row r="359" spans="2:5" x14ac:dyDescent="0.25">
      <c r="B359" t="e">
        <f t="shared" ca="1" si="11"/>
        <v>#NAME?</v>
      </c>
      <c r="C359">
        <v>316</v>
      </c>
      <c r="D359" t="e">
        <f t="shared" ca="1" si="10"/>
        <v>#NAME?</v>
      </c>
      <c r="E359" s="115" t="e">
        <f t="array" aca="1" ref="E359" ca="1">IF(OR(C358=0,AND(B360=0,C360=0)),"",IFERROR(INDEX($F$27:$F$36,MATCH(C359,($F$27:$F$36)*($D$27:$D$36&lt;&gt;0),0)),IF(OR(AND(D359=0,B359=0,B360&lt;&gt;0),AND(D359*D358&lt;0,B359&lt;&gt;0)),IF(D359=0,C359,C359*(1-ABS(D359)/(ABS(D359)+ABS(D358)))+C358*(1-ABS(D358)/(ABS(D359)+ABS(D358)))),"")))</f>
        <v>#NAME?</v>
      </c>
    </row>
    <row r="360" spans="2:5" x14ac:dyDescent="0.25">
      <c r="B360" t="e">
        <f t="shared" ca="1" si="11"/>
        <v>#NAME?</v>
      </c>
      <c r="C360">
        <v>317</v>
      </c>
      <c r="D360" t="e">
        <f t="shared" ca="1" si="10"/>
        <v>#NAME?</v>
      </c>
      <c r="E360" s="115" t="e">
        <f t="array" aca="1" ref="E360" ca="1">IF(OR(C359=0,AND(B361=0,C361=0)),"",IFERROR(INDEX($F$27:$F$36,MATCH(C360,($F$27:$F$36)*($D$27:$D$36&lt;&gt;0),0)),IF(OR(AND(D360=0,B360=0,B361&lt;&gt;0),AND(D360*D359&lt;0,B360&lt;&gt;0)),IF(D360=0,C360,C360*(1-ABS(D360)/(ABS(D360)+ABS(D359)))+C359*(1-ABS(D359)/(ABS(D360)+ABS(D359)))),"")))</f>
        <v>#NAME?</v>
      </c>
    </row>
    <row r="361" spans="2:5" x14ac:dyDescent="0.25">
      <c r="B361" t="e">
        <f t="shared" ca="1" si="11"/>
        <v>#NAME?</v>
      </c>
      <c r="C361">
        <v>318</v>
      </c>
      <c r="D361" t="e">
        <f t="shared" ca="1" si="10"/>
        <v>#NAME?</v>
      </c>
      <c r="E361" s="115" t="e">
        <f t="array" aca="1" ref="E361" ca="1">IF(OR(C360=0,AND(B362=0,C362=0)),"",IFERROR(INDEX($F$27:$F$36,MATCH(C361,($F$27:$F$36)*($D$27:$D$36&lt;&gt;0),0)),IF(OR(AND(D361=0,B361=0,B362&lt;&gt;0),AND(D361*D360&lt;0,B361&lt;&gt;0)),IF(D361=0,C361,C361*(1-ABS(D361)/(ABS(D361)+ABS(D360)))+C360*(1-ABS(D360)/(ABS(D361)+ABS(D360)))),"")))</f>
        <v>#NAME?</v>
      </c>
    </row>
    <row r="362" spans="2:5" x14ac:dyDescent="0.25">
      <c r="B362" t="e">
        <f t="shared" ca="1" si="11"/>
        <v>#NAME?</v>
      </c>
      <c r="C362">
        <v>319</v>
      </c>
      <c r="D362" t="e">
        <f t="shared" ca="1" si="10"/>
        <v>#NAME?</v>
      </c>
      <c r="E362" s="115" t="e">
        <f t="array" aca="1" ref="E362" ca="1">IF(OR(C361=0,AND(B363=0,C363=0)),"",IFERROR(INDEX($F$27:$F$36,MATCH(C362,($F$27:$F$36)*($D$27:$D$36&lt;&gt;0),0)),IF(OR(AND(D362=0,B362=0,B363&lt;&gt;0),AND(D362*D361&lt;0,B362&lt;&gt;0)),IF(D362=0,C362,C362*(1-ABS(D362)/(ABS(D362)+ABS(D361)))+C361*(1-ABS(D361)/(ABS(D362)+ABS(D361)))),"")))</f>
        <v>#NAME?</v>
      </c>
    </row>
    <row r="363" spans="2:5" x14ac:dyDescent="0.25">
      <c r="B363" t="e">
        <f t="shared" ca="1" si="11"/>
        <v>#NAME?</v>
      </c>
      <c r="C363">
        <v>320</v>
      </c>
      <c r="D363" t="e">
        <f t="shared" ref="D363:D426" ca="1" si="12">SUMPRODUCT(--($J$27:$J$37&gt;0),--($C363-$F$27:$F$37&gt;0),($D$27:$D$37),($C363-$F$27:$F$37))+SUMPRODUCT(--($J$27:$J$37&lt;0),--($F$27:$F$37-$C363&gt;0),($D$27:$D$37),($F$27:$F$37-$C363))-SUMPRODUCT($D$27:$D$37,$E$27:$E$37)</f>
        <v>#NAME?</v>
      </c>
      <c r="E363" s="115" t="e">
        <f t="array" aca="1" ref="E363" ca="1">IF(OR(C362=0,AND(B364=0,C364=0)),"",IFERROR(INDEX($F$27:$F$36,MATCH(C363,($F$27:$F$36)*($D$27:$D$36&lt;&gt;0),0)),IF(OR(AND(D363=0,B363=0,B364&lt;&gt;0),AND(D363*D362&lt;0,B363&lt;&gt;0)),IF(D363=0,C363,C363*(1-ABS(D363)/(ABS(D363)+ABS(D362)))+C362*(1-ABS(D362)/(ABS(D363)+ABS(D362)))),"")))</f>
        <v>#NAME?</v>
      </c>
    </row>
    <row r="364" spans="2:5" x14ac:dyDescent="0.25">
      <c r="B364" t="e">
        <f t="shared" ref="B364:B427" ca="1" si="13">ROUND((D364-D363)/(C364-C363),12)</f>
        <v>#NAME?</v>
      </c>
      <c r="C364">
        <v>321</v>
      </c>
      <c r="D364" t="e">
        <f t="shared" ca="1" si="12"/>
        <v>#NAME?</v>
      </c>
      <c r="E364" s="115" t="e">
        <f t="array" aca="1" ref="E364" ca="1">IF(OR(C363=0,AND(B365=0,C365=0)),"",IFERROR(INDEX($F$27:$F$36,MATCH(C364,($F$27:$F$36)*($D$27:$D$36&lt;&gt;0),0)),IF(OR(AND(D364=0,B364=0,B365&lt;&gt;0),AND(D364*D363&lt;0,B364&lt;&gt;0)),IF(D364=0,C364,C364*(1-ABS(D364)/(ABS(D364)+ABS(D363)))+C363*(1-ABS(D363)/(ABS(D364)+ABS(D363)))),"")))</f>
        <v>#NAME?</v>
      </c>
    </row>
    <row r="365" spans="2:5" x14ac:dyDescent="0.25">
      <c r="B365" t="e">
        <f t="shared" ca="1" si="13"/>
        <v>#NAME?</v>
      </c>
      <c r="C365">
        <v>322</v>
      </c>
      <c r="D365" t="e">
        <f t="shared" ca="1" si="12"/>
        <v>#NAME?</v>
      </c>
      <c r="E365" s="115" t="e">
        <f t="array" aca="1" ref="E365" ca="1">IF(OR(C364=0,AND(B366=0,C366=0)),"",IFERROR(INDEX($F$27:$F$36,MATCH(C365,($F$27:$F$36)*($D$27:$D$36&lt;&gt;0),0)),IF(OR(AND(D365=0,B365=0,B366&lt;&gt;0),AND(D365*D364&lt;0,B365&lt;&gt;0)),IF(D365=0,C365,C365*(1-ABS(D365)/(ABS(D365)+ABS(D364)))+C364*(1-ABS(D364)/(ABS(D365)+ABS(D364)))),"")))</f>
        <v>#NAME?</v>
      </c>
    </row>
    <row r="366" spans="2:5" x14ac:dyDescent="0.25">
      <c r="B366" t="e">
        <f t="shared" ca="1" si="13"/>
        <v>#NAME?</v>
      </c>
      <c r="C366">
        <v>323</v>
      </c>
      <c r="D366" t="e">
        <f t="shared" ca="1" si="12"/>
        <v>#NAME?</v>
      </c>
      <c r="E366" s="115" t="e">
        <f t="array" aca="1" ref="E366" ca="1">IF(OR(C365=0,AND(B367=0,C367=0)),"",IFERROR(INDEX($F$27:$F$36,MATCH(C366,($F$27:$F$36)*($D$27:$D$36&lt;&gt;0),0)),IF(OR(AND(D366=0,B366=0,B367&lt;&gt;0),AND(D366*D365&lt;0,B366&lt;&gt;0)),IF(D366=0,C366,C366*(1-ABS(D366)/(ABS(D366)+ABS(D365)))+C365*(1-ABS(D365)/(ABS(D366)+ABS(D365)))),"")))</f>
        <v>#NAME?</v>
      </c>
    </row>
    <row r="367" spans="2:5" x14ac:dyDescent="0.25">
      <c r="B367" t="e">
        <f t="shared" ca="1" si="13"/>
        <v>#NAME?</v>
      </c>
      <c r="C367">
        <v>324</v>
      </c>
      <c r="D367" t="e">
        <f t="shared" ca="1" si="12"/>
        <v>#NAME?</v>
      </c>
      <c r="E367" s="115" t="e">
        <f t="array" aca="1" ref="E367" ca="1">IF(OR(C366=0,AND(B368=0,C368=0)),"",IFERROR(INDEX($F$27:$F$36,MATCH(C367,($F$27:$F$36)*($D$27:$D$36&lt;&gt;0),0)),IF(OR(AND(D367=0,B367=0,B368&lt;&gt;0),AND(D367*D366&lt;0,B367&lt;&gt;0)),IF(D367=0,C367,C367*(1-ABS(D367)/(ABS(D367)+ABS(D366)))+C366*(1-ABS(D366)/(ABS(D367)+ABS(D366)))),"")))</f>
        <v>#NAME?</v>
      </c>
    </row>
    <row r="368" spans="2:5" x14ac:dyDescent="0.25">
      <c r="B368" t="e">
        <f t="shared" ca="1" si="13"/>
        <v>#NAME?</v>
      </c>
      <c r="C368">
        <v>325</v>
      </c>
      <c r="D368" t="e">
        <f t="shared" ca="1" si="12"/>
        <v>#NAME?</v>
      </c>
      <c r="E368" s="115" t="e">
        <f t="array" aca="1" ref="E368" ca="1">IF(OR(C367=0,AND(B369=0,C369=0)),"",IFERROR(INDEX($F$27:$F$36,MATCH(C368,($F$27:$F$36)*($D$27:$D$36&lt;&gt;0),0)),IF(OR(AND(D368=0,B368=0,B369&lt;&gt;0),AND(D368*D367&lt;0,B368&lt;&gt;0)),IF(D368=0,C368,C368*(1-ABS(D368)/(ABS(D368)+ABS(D367)))+C367*(1-ABS(D367)/(ABS(D368)+ABS(D367)))),"")))</f>
        <v>#NAME?</v>
      </c>
    </row>
    <row r="369" spans="2:5" x14ac:dyDescent="0.25">
      <c r="B369" t="e">
        <f t="shared" ca="1" si="13"/>
        <v>#NAME?</v>
      </c>
      <c r="C369">
        <v>326</v>
      </c>
      <c r="D369" t="e">
        <f t="shared" ca="1" si="12"/>
        <v>#NAME?</v>
      </c>
      <c r="E369" s="115" t="e">
        <f t="array" aca="1" ref="E369" ca="1">IF(OR(C368=0,AND(B370=0,C370=0)),"",IFERROR(INDEX($F$27:$F$36,MATCH(C369,($F$27:$F$36)*($D$27:$D$36&lt;&gt;0),0)),IF(OR(AND(D369=0,B369=0,B370&lt;&gt;0),AND(D369*D368&lt;0,B369&lt;&gt;0)),IF(D369=0,C369,C369*(1-ABS(D369)/(ABS(D369)+ABS(D368)))+C368*(1-ABS(D368)/(ABS(D369)+ABS(D368)))),"")))</f>
        <v>#NAME?</v>
      </c>
    </row>
    <row r="370" spans="2:5" x14ac:dyDescent="0.25">
      <c r="B370" t="e">
        <f t="shared" ca="1" si="13"/>
        <v>#NAME?</v>
      </c>
      <c r="C370">
        <v>327</v>
      </c>
      <c r="D370" t="e">
        <f t="shared" ca="1" si="12"/>
        <v>#NAME?</v>
      </c>
      <c r="E370" s="115" t="e">
        <f t="array" aca="1" ref="E370" ca="1">IF(OR(C369=0,AND(B371=0,C371=0)),"",IFERROR(INDEX($F$27:$F$36,MATCH(C370,($F$27:$F$36)*($D$27:$D$36&lt;&gt;0),0)),IF(OR(AND(D370=0,B370=0,B371&lt;&gt;0),AND(D370*D369&lt;0,B370&lt;&gt;0)),IF(D370=0,C370,C370*(1-ABS(D370)/(ABS(D370)+ABS(D369)))+C369*(1-ABS(D369)/(ABS(D370)+ABS(D369)))),"")))</f>
        <v>#NAME?</v>
      </c>
    </row>
    <row r="371" spans="2:5" x14ac:dyDescent="0.25">
      <c r="B371" t="e">
        <f t="shared" ca="1" si="13"/>
        <v>#NAME?</v>
      </c>
      <c r="C371">
        <v>328</v>
      </c>
      <c r="D371" t="e">
        <f t="shared" ca="1" si="12"/>
        <v>#NAME?</v>
      </c>
      <c r="E371" s="115" t="e">
        <f t="array" aca="1" ref="E371" ca="1">IF(OR(C370=0,AND(B372=0,C372=0)),"",IFERROR(INDEX($F$27:$F$36,MATCH(C371,($F$27:$F$36)*($D$27:$D$36&lt;&gt;0),0)),IF(OR(AND(D371=0,B371=0,B372&lt;&gt;0),AND(D371*D370&lt;0,B371&lt;&gt;0)),IF(D371=0,C371,C371*(1-ABS(D371)/(ABS(D371)+ABS(D370)))+C370*(1-ABS(D370)/(ABS(D371)+ABS(D370)))),"")))</f>
        <v>#NAME?</v>
      </c>
    </row>
    <row r="372" spans="2:5" x14ac:dyDescent="0.25">
      <c r="B372" t="e">
        <f t="shared" ca="1" si="13"/>
        <v>#NAME?</v>
      </c>
      <c r="C372">
        <v>329</v>
      </c>
      <c r="D372" t="e">
        <f t="shared" ca="1" si="12"/>
        <v>#NAME?</v>
      </c>
      <c r="E372" s="115" t="e">
        <f t="array" aca="1" ref="E372" ca="1">IF(OR(C371=0,AND(B373=0,C373=0)),"",IFERROR(INDEX($F$27:$F$36,MATCH(C372,($F$27:$F$36)*($D$27:$D$36&lt;&gt;0),0)),IF(OR(AND(D372=0,B372=0,B373&lt;&gt;0),AND(D372*D371&lt;0,B372&lt;&gt;0)),IF(D372=0,C372,C372*(1-ABS(D372)/(ABS(D372)+ABS(D371)))+C371*(1-ABS(D371)/(ABS(D372)+ABS(D371)))),"")))</f>
        <v>#NAME?</v>
      </c>
    </row>
    <row r="373" spans="2:5" x14ac:dyDescent="0.25">
      <c r="B373" t="e">
        <f t="shared" ca="1" si="13"/>
        <v>#NAME?</v>
      </c>
      <c r="C373">
        <v>330</v>
      </c>
      <c r="D373" t="e">
        <f t="shared" ca="1" si="12"/>
        <v>#NAME?</v>
      </c>
      <c r="E373" s="115" t="e">
        <f t="array" aca="1" ref="E373" ca="1">IF(OR(C372=0,AND(B374=0,C374=0)),"",IFERROR(INDEX($F$27:$F$36,MATCH(C373,($F$27:$F$36)*($D$27:$D$36&lt;&gt;0),0)),IF(OR(AND(D373=0,B373=0,B374&lt;&gt;0),AND(D373*D372&lt;0,B373&lt;&gt;0)),IF(D373=0,C373,C373*(1-ABS(D373)/(ABS(D373)+ABS(D372)))+C372*(1-ABS(D372)/(ABS(D373)+ABS(D372)))),"")))</f>
        <v>#NAME?</v>
      </c>
    </row>
    <row r="374" spans="2:5" x14ac:dyDescent="0.25">
      <c r="B374" t="e">
        <f t="shared" ca="1" si="13"/>
        <v>#NAME?</v>
      </c>
      <c r="C374">
        <v>331</v>
      </c>
      <c r="D374" t="e">
        <f t="shared" ca="1" si="12"/>
        <v>#NAME?</v>
      </c>
      <c r="E374" s="115" t="e">
        <f t="array" aca="1" ref="E374" ca="1">IF(OR(C373=0,AND(B375=0,C375=0)),"",IFERROR(INDEX($F$27:$F$36,MATCH(C374,($F$27:$F$36)*($D$27:$D$36&lt;&gt;0),0)),IF(OR(AND(D374=0,B374=0,B375&lt;&gt;0),AND(D374*D373&lt;0,B374&lt;&gt;0)),IF(D374=0,C374,C374*(1-ABS(D374)/(ABS(D374)+ABS(D373)))+C373*(1-ABS(D373)/(ABS(D374)+ABS(D373)))),"")))</f>
        <v>#NAME?</v>
      </c>
    </row>
    <row r="375" spans="2:5" x14ac:dyDescent="0.25">
      <c r="B375" t="e">
        <f t="shared" ca="1" si="13"/>
        <v>#NAME?</v>
      </c>
      <c r="C375">
        <v>332</v>
      </c>
      <c r="D375" t="e">
        <f t="shared" ca="1" si="12"/>
        <v>#NAME?</v>
      </c>
      <c r="E375" s="115" t="e">
        <f t="array" aca="1" ref="E375" ca="1">IF(OR(C374=0,AND(B376=0,C376=0)),"",IFERROR(INDEX($F$27:$F$36,MATCH(C375,($F$27:$F$36)*($D$27:$D$36&lt;&gt;0),0)),IF(OR(AND(D375=0,B375=0,B376&lt;&gt;0),AND(D375*D374&lt;0,B375&lt;&gt;0)),IF(D375=0,C375,C375*(1-ABS(D375)/(ABS(D375)+ABS(D374)))+C374*(1-ABS(D374)/(ABS(D375)+ABS(D374)))),"")))</f>
        <v>#NAME?</v>
      </c>
    </row>
    <row r="376" spans="2:5" x14ac:dyDescent="0.25">
      <c r="B376" t="e">
        <f t="shared" ca="1" si="13"/>
        <v>#NAME?</v>
      </c>
      <c r="C376">
        <v>333</v>
      </c>
      <c r="D376" t="e">
        <f t="shared" ca="1" si="12"/>
        <v>#NAME?</v>
      </c>
      <c r="E376" s="115" t="e">
        <f t="array" aca="1" ref="E376" ca="1">IF(OR(C375=0,AND(B377=0,C377=0)),"",IFERROR(INDEX($F$27:$F$36,MATCH(C376,($F$27:$F$36)*($D$27:$D$36&lt;&gt;0),0)),IF(OR(AND(D376=0,B376=0,B377&lt;&gt;0),AND(D376*D375&lt;0,B376&lt;&gt;0)),IF(D376=0,C376,C376*(1-ABS(D376)/(ABS(D376)+ABS(D375)))+C375*(1-ABS(D375)/(ABS(D376)+ABS(D375)))),"")))</f>
        <v>#NAME?</v>
      </c>
    </row>
    <row r="377" spans="2:5" x14ac:dyDescent="0.25">
      <c r="B377" t="e">
        <f t="shared" ca="1" si="13"/>
        <v>#NAME?</v>
      </c>
      <c r="C377">
        <v>334</v>
      </c>
      <c r="D377" t="e">
        <f t="shared" ca="1" si="12"/>
        <v>#NAME?</v>
      </c>
      <c r="E377" s="115" t="e">
        <f t="array" aca="1" ref="E377" ca="1">IF(OR(C376=0,AND(B378=0,C378=0)),"",IFERROR(INDEX($F$27:$F$36,MATCH(C377,($F$27:$F$36)*($D$27:$D$36&lt;&gt;0),0)),IF(OR(AND(D377=0,B377=0,B378&lt;&gt;0),AND(D377*D376&lt;0,B377&lt;&gt;0)),IF(D377=0,C377,C377*(1-ABS(D377)/(ABS(D377)+ABS(D376)))+C376*(1-ABS(D376)/(ABS(D377)+ABS(D376)))),"")))</f>
        <v>#NAME?</v>
      </c>
    </row>
    <row r="378" spans="2:5" x14ac:dyDescent="0.25">
      <c r="B378" t="e">
        <f t="shared" ca="1" si="13"/>
        <v>#NAME?</v>
      </c>
      <c r="C378">
        <v>335</v>
      </c>
      <c r="D378" t="e">
        <f t="shared" ca="1" si="12"/>
        <v>#NAME?</v>
      </c>
      <c r="E378" s="115" t="e">
        <f t="array" aca="1" ref="E378" ca="1">IF(OR(C377=0,AND(B379=0,C379=0)),"",IFERROR(INDEX($F$27:$F$36,MATCH(C378,($F$27:$F$36)*($D$27:$D$36&lt;&gt;0),0)),IF(OR(AND(D378=0,B378=0,B379&lt;&gt;0),AND(D378*D377&lt;0,B378&lt;&gt;0)),IF(D378=0,C378,C378*(1-ABS(D378)/(ABS(D378)+ABS(D377)))+C377*(1-ABS(D377)/(ABS(D378)+ABS(D377)))),"")))</f>
        <v>#NAME?</v>
      </c>
    </row>
    <row r="379" spans="2:5" x14ac:dyDescent="0.25">
      <c r="B379" t="e">
        <f t="shared" ca="1" si="13"/>
        <v>#NAME?</v>
      </c>
      <c r="C379">
        <v>336</v>
      </c>
      <c r="D379" t="e">
        <f t="shared" ca="1" si="12"/>
        <v>#NAME?</v>
      </c>
      <c r="E379" s="115" t="e">
        <f t="array" aca="1" ref="E379" ca="1">IF(OR(C378=0,AND(B380=0,C380=0)),"",IFERROR(INDEX($F$27:$F$36,MATCH(C379,($F$27:$F$36)*($D$27:$D$36&lt;&gt;0),0)),IF(OR(AND(D379=0,B379=0,B380&lt;&gt;0),AND(D379*D378&lt;0,B379&lt;&gt;0)),IF(D379=0,C379,C379*(1-ABS(D379)/(ABS(D379)+ABS(D378)))+C378*(1-ABS(D378)/(ABS(D379)+ABS(D378)))),"")))</f>
        <v>#NAME?</v>
      </c>
    </row>
    <row r="380" spans="2:5" x14ac:dyDescent="0.25">
      <c r="B380" t="e">
        <f t="shared" ca="1" si="13"/>
        <v>#NAME?</v>
      </c>
      <c r="C380">
        <v>337</v>
      </c>
      <c r="D380" t="e">
        <f t="shared" ca="1" si="12"/>
        <v>#NAME?</v>
      </c>
      <c r="E380" s="115" t="e">
        <f t="array" aca="1" ref="E380" ca="1">IF(OR(C379=0,AND(B381=0,C381=0)),"",IFERROR(INDEX($F$27:$F$36,MATCH(C380,($F$27:$F$36)*($D$27:$D$36&lt;&gt;0),0)),IF(OR(AND(D380=0,B380=0,B381&lt;&gt;0),AND(D380*D379&lt;0,B380&lt;&gt;0)),IF(D380=0,C380,C380*(1-ABS(D380)/(ABS(D380)+ABS(D379)))+C379*(1-ABS(D379)/(ABS(D380)+ABS(D379)))),"")))</f>
        <v>#NAME?</v>
      </c>
    </row>
    <row r="381" spans="2:5" x14ac:dyDescent="0.25">
      <c r="B381" t="e">
        <f t="shared" ca="1" si="13"/>
        <v>#NAME?</v>
      </c>
      <c r="C381">
        <v>338</v>
      </c>
      <c r="D381" t="e">
        <f t="shared" ca="1" si="12"/>
        <v>#NAME?</v>
      </c>
      <c r="E381" s="115" t="e">
        <f t="array" aca="1" ref="E381" ca="1">IF(OR(C380=0,AND(B382=0,C382=0)),"",IFERROR(INDEX($F$27:$F$36,MATCH(C381,($F$27:$F$36)*($D$27:$D$36&lt;&gt;0),0)),IF(OR(AND(D381=0,B381=0,B382&lt;&gt;0),AND(D381*D380&lt;0,B381&lt;&gt;0)),IF(D381=0,C381,C381*(1-ABS(D381)/(ABS(D381)+ABS(D380)))+C380*(1-ABS(D380)/(ABS(D381)+ABS(D380)))),"")))</f>
        <v>#NAME?</v>
      </c>
    </row>
    <row r="382" spans="2:5" x14ac:dyDescent="0.25">
      <c r="B382" t="e">
        <f t="shared" ca="1" si="13"/>
        <v>#NAME?</v>
      </c>
      <c r="C382">
        <v>339</v>
      </c>
      <c r="D382" t="e">
        <f t="shared" ca="1" si="12"/>
        <v>#NAME?</v>
      </c>
      <c r="E382" s="115" t="e">
        <f t="array" aca="1" ref="E382" ca="1">IF(OR(C381=0,AND(B383=0,C383=0)),"",IFERROR(INDEX($F$27:$F$36,MATCH(C382,($F$27:$F$36)*($D$27:$D$36&lt;&gt;0),0)),IF(OR(AND(D382=0,B382=0,B383&lt;&gt;0),AND(D382*D381&lt;0,B382&lt;&gt;0)),IF(D382=0,C382,C382*(1-ABS(D382)/(ABS(D382)+ABS(D381)))+C381*(1-ABS(D381)/(ABS(D382)+ABS(D381)))),"")))</f>
        <v>#NAME?</v>
      </c>
    </row>
    <row r="383" spans="2:5" x14ac:dyDescent="0.25">
      <c r="B383" t="e">
        <f t="shared" ca="1" si="13"/>
        <v>#NAME?</v>
      </c>
      <c r="C383">
        <v>340</v>
      </c>
      <c r="D383" t="e">
        <f t="shared" ca="1" si="12"/>
        <v>#NAME?</v>
      </c>
      <c r="E383" s="115" t="e">
        <f t="array" aca="1" ref="E383" ca="1">IF(OR(C382=0,AND(B384=0,C384=0)),"",IFERROR(INDEX($F$27:$F$36,MATCH(C383,($F$27:$F$36)*($D$27:$D$36&lt;&gt;0),0)),IF(OR(AND(D383=0,B383=0,B384&lt;&gt;0),AND(D383*D382&lt;0,B383&lt;&gt;0)),IF(D383=0,C383,C383*(1-ABS(D383)/(ABS(D383)+ABS(D382)))+C382*(1-ABS(D382)/(ABS(D383)+ABS(D382)))),"")))</f>
        <v>#NAME?</v>
      </c>
    </row>
    <row r="384" spans="2:5" x14ac:dyDescent="0.25">
      <c r="B384" t="e">
        <f t="shared" ca="1" si="13"/>
        <v>#NAME?</v>
      </c>
      <c r="C384">
        <v>341</v>
      </c>
      <c r="D384" t="e">
        <f t="shared" ca="1" si="12"/>
        <v>#NAME?</v>
      </c>
      <c r="E384" s="115" t="e">
        <f t="array" aca="1" ref="E384" ca="1">IF(OR(C383=0,AND(B385=0,C385=0)),"",IFERROR(INDEX($F$27:$F$36,MATCH(C384,($F$27:$F$36)*($D$27:$D$36&lt;&gt;0),0)),IF(OR(AND(D384=0,B384=0,B385&lt;&gt;0),AND(D384*D383&lt;0,B384&lt;&gt;0)),IF(D384=0,C384,C384*(1-ABS(D384)/(ABS(D384)+ABS(D383)))+C383*(1-ABS(D383)/(ABS(D384)+ABS(D383)))),"")))</f>
        <v>#NAME?</v>
      </c>
    </row>
    <row r="385" spans="2:5" x14ac:dyDescent="0.25">
      <c r="B385" t="e">
        <f t="shared" ca="1" si="13"/>
        <v>#NAME?</v>
      </c>
      <c r="C385">
        <v>342</v>
      </c>
      <c r="D385" t="e">
        <f t="shared" ca="1" si="12"/>
        <v>#NAME?</v>
      </c>
      <c r="E385" s="115" t="e">
        <f t="array" aca="1" ref="E385" ca="1">IF(OR(C384=0,AND(B386=0,C386=0)),"",IFERROR(INDEX($F$27:$F$36,MATCH(C385,($F$27:$F$36)*($D$27:$D$36&lt;&gt;0),0)),IF(OR(AND(D385=0,B385=0,B386&lt;&gt;0),AND(D385*D384&lt;0,B385&lt;&gt;0)),IF(D385=0,C385,C385*(1-ABS(D385)/(ABS(D385)+ABS(D384)))+C384*(1-ABS(D384)/(ABS(D385)+ABS(D384)))),"")))</f>
        <v>#NAME?</v>
      </c>
    </row>
    <row r="386" spans="2:5" x14ac:dyDescent="0.25">
      <c r="B386" t="e">
        <f t="shared" ca="1" si="13"/>
        <v>#NAME?</v>
      </c>
      <c r="C386">
        <v>343</v>
      </c>
      <c r="D386" t="e">
        <f t="shared" ca="1" si="12"/>
        <v>#NAME?</v>
      </c>
      <c r="E386" s="115" t="e">
        <f t="array" aca="1" ref="E386" ca="1">IF(OR(C385=0,AND(B387=0,C387=0)),"",IFERROR(INDEX($F$27:$F$36,MATCH(C386,($F$27:$F$36)*($D$27:$D$36&lt;&gt;0),0)),IF(OR(AND(D386=0,B386=0,B387&lt;&gt;0),AND(D386*D385&lt;0,B386&lt;&gt;0)),IF(D386=0,C386,C386*(1-ABS(D386)/(ABS(D386)+ABS(D385)))+C385*(1-ABS(D385)/(ABS(D386)+ABS(D385)))),"")))</f>
        <v>#NAME?</v>
      </c>
    </row>
    <row r="387" spans="2:5" x14ac:dyDescent="0.25">
      <c r="B387" t="e">
        <f t="shared" ca="1" si="13"/>
        <v>#NAME?</v>
      </c>
      <c r="C387">
        <v>344</v>
      </c>
      <c r="D387" t="e">
        <f t="shared" ca="1" si="12"/>
        <v>#NAME?</v>
      </c>
      <c r="E387" s="115" t="e">
        <f t="array" aca="1" ref="E387" ca="1">IF(OR(C386=0,AND(B388=0,C388=0)),"",IFERROR(INDEX($F$27:$F$36,MATCH(C387,($F$27:$F$36)*($D$27:$D$36&lt;&gt;0),0)),IF(OR(AND(D387=0,B387=0,B388&lt;&gt;0),AND(D387*D386&lt;0,B387&lt;&gt;0)),IF(D387=0,C387,C387*(1-ABS(D387)/(ABS(D387)+ABS(D386)))+C386*(1-ABS(D386)/(ABS(D387)+ABS(D386)))),"")))</f>
        <v>#NAME?</v>
      </c>
    </row>
    <row r="388" spans="2:5" x14ac:dyDescent="0.25">
      <c r="B388" t="e">
        <f t="shared" ca="1" si="13"/>
        <v>#NAME?</v>
      </c>
      <c r="C388">
        <v>345</v>
      </c>
      <c r="D388" t="e">
        <f t="shared" ca="1" si="12"/>
        <v>#NAME?</v>
      </c>
      <c r="E388" s="115" t="e">
        <f t="array" aca="1" ref="E388" ca="1">IF(OR(C387=0,AND(B389=0,C389=0)),"",IFERROR(INDEX($F$27:$F$36,MATCH(C388,($F$27:$F$36)*($D$27:$D$36&lt;&gt;0),0)),IF(OR(AND(D388=0,B388=0,B389&lt;&gt;0),AND(D388*D387&lt;0,B388&lt;&gt;0)),IF(D388=0,C388,C388*(1-ABS(D388)/(ABS(D388)+ABS(D387)))+C387*(1-ABS(D387)/(ABS(D388)+ABS(D387)))),"")))</f>
        <v>#NAME?</v>
      </c>
    </row>
    <row r="389" spans="2:5" x14ac:dyDescent="0.25">
      <c r="B389" t="e">
        <f t="shared" ca="1" si="13"/>
        <v>#NAME?</v>
      </c>
      <c r="C389">
        <v>346</v>
      </c>
      <c r="D389" t="e">
        <f t="shared" ca="1" si="12"/>
        <v>#NAME?</v>
      </c>
      <c r="E389" s="115" t="e">
        <f t="array" aca="1" ref="E389" ca="1">IF(OR(C388=0,AND(B390=0,C390=0)),"",IFERROR(INDEX($F$27:$F$36,MATCH(C389,($F$27:$F$36)*($D$27:$D$36&lt;&gt;0),0)),IF(OR(AND(D389=0,B389=0,B390&lt;&gt;0),AND(D389*D388&lt;0,B389&lt;&gt;0)),IF(D389=0,C389,C389*(1-ABS(D389)/(ABS(D389)+ABS(D388)))+C388*(1-ABS(D388)/(ABS(D389)+ABS(D388)))),"")))</f>
        <v>#NAME?</v>
      </c>
    </row>
    <row r="390" spans="2:5" x14ac:dyDescent="0.25">
      <c r="B390" t="e">
        <f t="shared" ca="1" si="13"/>
        <v>#NAME?</v>
      </c>
      <c r="C390">
        <v>347</v>
      </c>
      <c r="D390" t="e">
        <f t="shared" ca="1" si="12"/>
        <v>#NAME?</v>
      </c>
      <c r="E390" s="115" t="e">
        <f t="array" aca="1" ref="E390" ca="1">IF(OR(C389=0,AND(B391=0,C391=0)),"",IFERROR(INDEX($F$27:$F$36,MATCH(C390,($F$27:$F$36)*($D$27:$D$36&lt;&gt;0),0)),IF(OR(AND(D390=0,B390=0,B391&lt;&gt;0),AND(D390*D389&lt;0,B390&lt;&gt;0)),IF(D390=0,C390,C390*(1-ABS(D390)/(ABS(D390)+ABS(D389)))+C389*(1-ABS(D389)/(ABS(D390)+ABS(D389)))),"")))</f>
        <v>#NAME?</v>
      </c>
    </row>
    <row r="391" spans="2:5" x14ac:dyDescent="0.25">
      <c r="B391" t="e">
        <f t="shared" ca="1" si="13"/>
        <v>#NAME?</v>
      </c>
      <c r="C391">
        <v>348</v>
      </c>
      <c r="D391" t="e">
        <f t="shared" ca="1" si="12"/>
        <v>#NAME?</v>
      </c>
      <c r="E391" s="115" t="e">
        <f t="array" aca="1" ref="E391" ca="1">IF(OR(C390=0,AND(B392=0,C392=0)),"",IFERROR(INDEX($F$27:$F$36,MATCH(C391,($F$27:$F$36)*($D$27:$D$36&lt;&gt;0),0)),IF(OR(AND(D391=0,B391=0,B392&lt;&gt;0),AND(D391*D390&lt;0,B391&lt;&gt;0)),IF(D391=0,C391,C391*(1-ABS(D391)/(ABS(D391)+ABS(D390)))+C390*(1-ABS(D390)/(ABS(D391)+ABS(D390)))),"")))</f>
        <v>#NAME?</v>
      </c>
    </row>
    <row r="392" spans="2:5" x14ac:dyDescent="0.25">
      <c r="B392" t="e">
        <f t="shared" ca="1" si="13"/>
        <v>#NAME?</v>
      </c>
      <c r="C392">
        <v>349</v>
      </c>
      <c r="D392" t="e">
        <f t="shared" ca="1" si="12"/>
        <v>#NAME?</v>
      </c>
      <c r="E392" s="115" t="e">
        <f t="array" aca="1" ref="E392" ca="1">IF(OR(C391=0,AND(B393=0,C393=0)),"",IFERROR(INDEX($F$27:$F$36,MATCH(C392,($F$27:$F$36)*($D$27:$D$36&lt;&gt;0),0)),IF(OR(AND(D392=0,B392=0,B393&lt;&gt;0),AND(D392*D391&lt;0,B392&lt;&gt;0)),IF(D392=0,C392,C392*(1-ABS(D392)/(ABS(D392)+ABS(D391)))+C391*(1-ABS(D391)/(ABS(D392)+ABS(D391)))),"")))</f>
        <v>#NAME?</v>
      </c>
    </row>
    <row r="393" spans="2:5" x14ac:dyDescent="0.25">
      <c r="B393" t="e">
        <f t="shared" ca="1" si="13"/>
        <v>#NAME?</v>
      </c>
      <c r="C393">
        <v>350</v>
      </c>
      <c r="D393" t="e">
        <f t="shared" ca="1" si="12"/>
        <v>#NAME?</v>
      </c>
      <c r="E393" s="115" t="e">
        <f t="array" aca="1" ref="E393" ca="1">IF(OR(C392=0,AND(B394=0,C394=0)),"",IFERROR(INDEX($F$27:$F$36,MATCH(C393,($F$27:$F$36)*($D$27:$D$36&lt;&gt;0),0)),IF(OR(AND(D393=0,B393=0,B394&lt;&gt;0),AND(D393*D392&lt;0,B393&lt;&gt;0)),IF(D393=0,C393,C393*(1-ABS(D393)/(ABS(D393)+ABS(D392)))+C392*(1-ABS(D392)/(ABS(D393)+ABS(D392)))),"")))</f>
        <v>#NAME?</v>
      </c>
    </row>
    <row r="394" spans="2:5" x14ac:dyDescent="0.25">
      <c r="B394" t="e">
        <f t="shared" ca="1" si="13"/>
        <v>#NAME?</v>
      </c>
      <c r="C394">
        <v>351</v>
      </c>
      <c r="D394" t="e">
        <f t="shared" ca="1" si="12"/>
        <v>#NAME?</v>
      </c>
      <c r="E394" s="115" t="e">
        <f t="array" aca="1" ref="E394" ca="1">IF(OR(C393=0,AND(B395=0,C395=0)),"",IFERROR(INDEX($F$27:$F$36,MATCH(C394,($F$27:$F$36)*($D$27:$D$36&lt;&gt;0),0)),IF(OR(AND(D394=0,B394=0,B395&lt;&gt;0),AND(D394*D393&lt;0,B394&lt;&gt;0)),IF(D394=0,C394,C394*(1-ABS(D394)/(ABS(D394)+ABS(D393)))+C393*(1-ABS(D393)/(ABS(D394)+ABS(D393)))),"")))</f>
        <v>#NAME?</v>
      </c>
    </row>
    <row r="395" spans="2:5" x14ac:dyDescent="0.25">
      <c r="B395" t="e">
        <f t="shared" ca="1" si="13"/>
        <v>#NAME?</v>
      </c>
      <c r="C395">
        <v>352</v>
      </c>
      <c r="D395" t="e">
        <f t="shared" ca="1" si="12"/>
        <v>#NAME?</v>
      </c>
      <c r="E395" s="115" t="e">
        <f t="array" aca="1" ref="E395" ca="1">IF(OR(C394=0,AND(B396=0,C396=0)),"",IFERROR(INDEX($F$27:$F$36,MATCH(C395,($F$27:$F$36)*($D$27:$D$36&lt;&gt;0),0)),IF(OR(AND(D395=0,B395=0,B396&lt;&gt;0),AND(D395*D394&lt;0,B395&lt;&gt;0)),IF(D395=0,C395,C395*(1-ABS(D395)/(ABS(D395)+ABS(D394)))+C394*(1-ABS(D394)/(ABS(D395)+ABS(D394)))),"")))</f>
        <v>#NAME?</v>
      </c>
    </row>
    <row r="396" spans="2:5" x14ac:dyDescent="0.25">
      <c r="B396" t="e">
        <f t="shared" ca="1" si="13"/>
        <v>#NAME?</v>
      </c>
      <c r="C396">
        <v>353</v>
      </c>
      <c r="D396" t="e">
        <f t="shared" ca="1" si="12"/>
        <v>#NAME?</v>
      </c>
      <c r="E396" s="115" t="e">
        <f t="array" aca="1" ref="E396" ca="1">IF(OR(C395=0,AND(B397=0,C397=0)),"",IFERROR(INDEX($F$27:$F$36,MATCH(C396,($F$27:$F$36)*($D$27:$D$36&lt;&gt;0),0)),IF(OR(AND(D396=0,B396=0,B397&lt;&gt;0),AND(D396*D395&lt;0,B396&lt;&gt;0)),IF(D396=0,C396,C396*(1-ABS(D396)/(ABS(D396)+ABS(D395)))+C395*(1-ABS(D395)/(ABS(D396)+ABS(D395)))),"")))</f>
        <v>#NAME?</v>
      </c>
    </row>
    <row r="397" spans="2:5" x14ac:dyDescent="0.25">
      <c r="B397" t="e">
        <f t="shared" ca="1" si="13"/>
        <v>#NAME?</v>
      </c>
      <c r="C397">
        <v>354</v>
      </c>
      <c r="D397" t="e">
        <f t="shared" ca="1" si="12"/>
        <v>#NAME?</v>
      </c>
      <c r="E397" s="115" t="e">
        <f t="array" aca="1" ref="E397" ca="1">IF(OR(C396=0,AND(B398=0,C398=0)),"",IFERROR(INDEX($F$27:$F$36,MATCH(C397,($F$27:$F$36)*($D$27:$D$36&lt;&gt;0),0)),IF(OR(AND(D397=0,B397=0,B398&lt;&gt;0),AND(D397*D396&lt;0,B397&lt;&gt;0)),IF(D397=0,C397,C397*(1-ABS(D397)/(ABS(D397)+ABS(D396)))+C396*(1-ABS(D396)/(ABS(D397)+ABS(D396)))),"")))</f>
        <v>#NAME?</v>
      </c>
    </row>
    <row r="398" spans="2:5" x14ac:dyDescent="0.25">
      <c r="B398" t="e">
        <f t="shared" ca="1" si="13"/>
        <v>#NAME?</v>
      </c>
      <c r="C398">
        <v>355</v>
      </c>
      <c r="D398" t="e">
        <f t="shared" ca="1" si="12"/>
        <v>#NAME?</v>
      </c>
      <c r="E398" s="115" t="e">
        <f t="array" aca="1" ref="E398" ca="1">IF(OR(C397=0,AND(B399=0,C399=0)),"",IFERROR(INDEX($F$27:$F$36,MATCH(C398,($F$27:$F$36)*($D$27:$D$36&lt;&gt;0),0)),IF(OR(AND(D398=0,B398=0,B399&lt;&gt;0),AND(D398*D397&lt;0,B398&lt;&gt;0)),IF(D398=0,C398,C398*(1-ABS(D398)/(ABS(D398)+ABS(D397)))+C397*(1-ABS(D397)/(ABS(D398)+ABS(D397)))),"")))</f>
        <v>#NAME?</v>
      </c>
    </row>
    <row r="399" spans="2:5" x14ac:dyDescent="0.25">
      <c r="B399" t="e">
        <f t="shared" ca="1" si="13"/>
        <v>#NAME?</v>
      </c>
      <c r="C399">
        <v>356</v>
      </c>
      <c r="D399" t="e">
        <f t="shared" ca="1" si="12"/>
        <v>#NAME?</v>
      </c>
      <c r="E399" s="115" t="e">
        <f t="array" aca="1" ref="E399" ca="1">IF(OR(C398=0,AND(B400=0,C400=0)),"",IFERROR(INDEX($F$27:$F$36,MATCH(C399,($F$27:$F$36)*($D$27:$D$36&lt;&gt;0),0)),IF(OR(AND(D399=0,B399=0,B400&lt;&gt;0),AND(D399*D398&lt;0,B399&lt;&gt;0)),IF(D399=0,C399,C399*(1-ABS(D399)/(ABS(D399)+ABS(D398)))+C398*(1-ABS(D398)/(ABS(D399)+ABS(D398)))),"")))</f>
        <v>#NAME?</v>
      </c>
    </row>
    <row r="400" spans="2:5" x14ac:dyDescent="0.25">
      <c r="B400" t="e">
        <f t="shared" ca="1" si="13"/>
        <v>#NAME?</v>
      </c>
      <c r="C400">
        <v>357</v>
      </c>
      <c r="D400" t="e">
        <f t="shared" ca="1" si="12"/>
        <v>#NAME?</v>
      </c>
      <c r="E400" s="115" t="e">
        <f t="array" aca="1" ref="E400" ca="1">IF(OR(C399=0,AND(B401=0,C401=0)),"",IFERROR(INDEX($F$27:$F$36,MATCH(C400,($F$27:$F$36)*($D$27:$D$36&lt;&gt;0),0)),IF(OR(AND(D400=0,B400=0,B401&lt;&gt;0),AND(D400*D399&lt;0,B400&lt;&gt;0)),IF(D400=0,C400,C400*(1-ABS(D400)/(ABS(D400)+ABS(D399)))+C399*(1-ABS(D399)/(ABS(D400)+ABS(D399)))),"")))</f>
        <v>#NAME?</v>
      </c>
    </row>
    <row r="401" spans="2:5" x14ac:dyDescent="0.25">
      <c r="B401" t="e">
        <f t="shared" ca="1" si="13"/>
        <v>#NAME?</v>
      </c>
      <c r="C401">
        <v>358</v>
      </c>
      <c r="D401" t="e">
        <f t="shared" ca="1" si="12"/>
        <v>#NAME?</v>
      </c>
      <c r="E401" s="115" t="e">
        <f t="array" aca="1" ref="E401" ca="1">IF(OR(C400=0,AND(B402=0,C402=0)),"",IFERROR(INDEX($F$27:$F$36,MATCH(C401,($F$27:$F$36)*($D$27:$D$36&lt;&gt;0),0)),IF(OR(AND(D401=0,B401=0,B402&lt;&gt;0),AND(D401*D400&lt;0,B401&lt;&gt;0)),IF(D401=0,C401,C401*(1-ABS(D401)/(ABS(D401)+ABS(D400)))+C400*(1-ABS(D400)/(ABS(D401)+ABS(D400)))),"")))</f>
        <v>#NAME?</v>
      </c>
    </row>
    <row r="402" spans="2:5" x14ac:dyDescent="0.25">
      <c r="B402" t="e">
        <f t="shared" ca="1" si="13"/>
        <v>#NAME?</v>
      </c>
      <c r="C402">
        <v>359</v>
      </c>
      <c r="D402" t="e">
        <f t="shared" ca="1" si="12"/>
        <v>#NAME?</v>
      </c>
      <c r="E402" s="115" t="e">
        <f t="array" aca="1" ref="E402" ca="1">IF(OR(C401=0,AND(B403=0,C403=0)),"",IFERROR(INDEX($F$27:$F$36,MATCH(C402,($F$27:$F$36)*($D$27:$D$36&lt;&gt;0),0)),IF(OR(AND(D402=0,B402=0,B403&lt;&gt;0),AND(D402*D401&lt;0,B402&lt;&gt;0)),IF(D402=0,C402,C402*(1-ABS(D402)/(ABS(D402)+ABS(D401)))+C401*(1-ABS(D401)/(ABS(D402)+ABS(D401)))),"")))</f>
        <v>#NAME?</v>
      </c>
    </row>
    <row r="403" spans="2:5" x14ac:dyDescent="0.25">
      <c r="B403" t="e">
        <f t="shared" ca="1" si="13"/>
        <v>#NAME?</v>
      </c>
      <c r="C403">
        <v>360</v>
      </c>
      <c r="D403" t="e">
        <f t="shared" ca="1" si="12"/>
        <v>#NAME?</v>
      </c>
      <c r="E403" s="115" t="e">
        <f t="array" aca="1" ref="E403" ca="1">IF(OR(C402=0,AND(B404=0,C404=0)),"",IFERROR(INDEX($F$27:$F$36,MATCH(C403,($F$27:$F$36)*($D$27:$D$36&lt;&gt;0),0)),IF(OR(AND(D403=0,B403=0,B404&lt;&gt;0),AND(D403*D402&lt;0,B403&lt;&gt;0)),IF(D403=0,C403,C403*(1-ABS(D403)/(ABS(D403)+ABS(D402)))+C402*(1-ABS(D402)/(ABS(D403)+ABS(D402)))),"")))</f>
        <v>#NAME?</v>
      </c>
    </row>
    <row r="404" spans="2:5" x14ac:dyDescent="0.25">
      <c r="B404" t="e">
        <f t="shared" ca="1" si="13"/>
        <v>#NAME?</v>
      </c>
      <c r="C404">
        <v>361</v>
      </c>
      <c r="D404" t="e">
        <f t="shared" ca="1" si="12"/>
        <v>#NAME?</v>
      </c>
      <c r="E404" s="115" t="e">
        <f t="array" aca="1" ref="E404" ca="1">IF(OR(C403=0,AND(B405=0,C405=0)),"",IFERROR(INDEX($F$27:$F$36,MATCH(C404,($F$27:$F$36)*($D$27:$D$36&lt;&gt;0),0)),IF(OR(AND(D404=0,B404=0,B405&lt;&gt;0),AND(D404*D403&lt;0,B404&lt;&gt;0)),IF(D404=0,C404,C404*(1-ABS(D404)/(ABS(D404)+ABS(D403)))+C403*(1-ABS(D403)/(ABS(D404)+ABS(D403)))),"")))</f>
        <v>#NAME?</v>
      </c>
    </row>
    <row r="405" spans="2:5" x14ac:dyDescent="0.25">
      <c r="B405" t="e">
        <f t="shared" ca="1" si="13"/>
        <v>#NAME?</v>
      </c>
      <c r="C405">
        <v>362</v>
      </c>
      <c r="D405" t="e">
        <f t="shared" ca="1" si="12"/>
        <v>#NAME?</v>
      </c>
      <c r="E405" s="115" t="e">
        <f t="array" aca="1" ref="E405" ca="1">IF(OR(C404=0,AND(B406=0,C406=0)),"",IFERROR(INDEX($F$27:$F$36,MATCH(C405,($F$27:$F$36)*($D$27:$D$36&lt;&gt;0),0)),IF(OR(AND(D405=0,B405=0,B406&lt;&gt;0),AND(D405*D404&lt;0,B405&lt;&gt;0)),IF(D405=0,C405,C405*(1-ABS(D405)/(ABS(D405)+ABS(D404)))+C404*(1-ABS(D404)/(ABS(D405)+ABS(D404)))),"")))</f>
        <v>#NAME?</v>
      </c>
    </row>
    <row r="406" spans="2:5" x14ac:dyDescent="0.25">
      <c r="B406" t="e">
        <f t="shared" ca="1" si="13"/>
        <v>#NAME?</v>
      </c>
      <c r="C406">
        <v>363</v>
      </c>
      <c r="D406" t="e">
        <f t="shared" ca="1" si="12"/>
        <v>#NAME?</v>
      </c>
      <c r="E406" s="115" t="e">
        <f t="array" aca="1" ref="E406" ca="1">IF(OR(C405=0,AND(B407=0,C407=0)),"",IFERROR(INDEX($F$27:$F$36,MATCH(C406,($F$27:$F$36)*($D$27:$D$36&lt;&gt;0),0)),IF(OR(AND(D406=0,B406=0,B407&lt;&gt;0),AND(D406*D405&lt;0,B406&lt;&gt;0)),IF(D406=0,C406,C406*(1-ABS(D406)/(ABS(D406)+ABS(D405)))+C405*(1-ABS(D405)/(ABS(D406)+ABS(D405)))),"")))</f>
        <v>#NAME?</v>
      </c>
    </row>
    <row r="407" spans="2:5" x14ac:dyDescent="0.25">
      <c r="B407" t="e">
        <f t="shared" ca="1" si="13"/>
        <v>#NAME?</v>
      </c>
      <c r="C407">
        <v>364</v>
      </c>
      <c r="D407" t="e">
        <f t="shared" ca="1" si="12"/>
        <v>#NAME?</v>
      </c>
      <c r="E407" s="115" t="e">
        <f t="array" aca="1" ref="E407" ca="1">IF(OR(C406=0,AND(B408=0,C408=0)),"",IFERROR(INDEX($F$27:$F$36,MATCH(C407,($F$27:$F$36)*($D$27:$D$36&lt;&gt;0),0)),IF(OR(AND(D407=0,B407=0,B408&lt;&gt;0),AND(D407*D406&lt;0,B407&lt;&gt;0)),IF(D407=0,C407,C407*(1-ABS(D407)/(ABS(D407)+ABS(D406)))+C406*(1-ABS(D406)/(ABS(D407)+ABS(D406)))),"")))</f>
        <v>#NAME?</v>
      </c>
    </row>
    <row r="408" spans="2:5" x14ac:dyDescent="0.25">
      <c r="B408" t="e">
        <f t="shared" ca="1" si="13"/>
        <v>#NAME?</v>
      </c>
      <c r="C408">
        <v>365</v>
      </c>
      <c r="D408" t="e">
        <f t="shared" ca="1" si="12"/>
        <v>#NAME?</v>
      </c>
      <c r="E408" s="115" t="e">
        <f t="array" aca="1" ref="E408" ca="1">IF(OR(C407=0,AND(B409=0,C409=0)),"",IFERROR(INDEX($F$27:$F$36,MATCH(C408,($F$27:$F$36)*($D$27:$D$36&lt;&gt;0),0)),IF(OR(AND(D408=0,B408=0,B409&lt;&gt;0),AND(D408*D407&lt;0,B408&lt;&gt;0)),IF(D408=0,C408,C408*(1-ABS(D408)/(ABS(D408)+ABS(D407)))+C407*(1-ABS(D407)/(ABS(D408)+ABS(D407)))),"")))</f>
        <v>#NAME?</v>
      </c>
    </row>
    <row r="409" spans="2:5" x14ac:dyDescent="0.25">
      <c r="B409" t="e">
        <f t="shared" ca="1" si="13"/>
        <v>#NAME?</v>
      </c>
      <c r="C409">
        <v>366</v>
      </c>
      <c r="D409" t="e">
        <f t="shared" ca="1" si="12"/>
        <v>#NAME?</v>
      </c>
      <c r="E409" s="115" t="e">
        <f t="array" aca="1" ref="E409" ca="1">IF(OR(C408=0,AND(B410=0,C410=0)),"",IFERROR(INDEX($F$27:$F$36,MATCH(C409,($F$27:$F$36)*($D$27:$D$36&lt;&gt;0),0)),IF(OR(AND(D409=0,B409=0,B410&lt;&gt;0),AND(D409*D408&lt;0,B409&lt;&gt;0)),IF(D409=0,C409,C409*(1-ABS(D409)/(ABS(D409)+ABS(D408)))+C408*(1-ABS(D408)/(ABS(D409)+ABS(D408)))),"")))</f>
        <v>#NAME?</v>
      </c>
    </row>
    <row r="410" spans="2:5" x14ac:dyDescent="0.25">
      <c r="B410" t="e">
        <f t="shared" ca="1" si="13"/>
        <v>#NAME?</v>
      </c>
      <c r="C410">
        <v>367</v>
      </c>
      <c r="D410" t="e">
        <f t="shared" ca="1" si="12"/>
        <v>#NAME?</v>
      </c>
      <c r="E410" s="115" t="e">
        <f t="array" aca="1" ref="E410" ca="1">IF(OR(C409=0,AND(B411=0,C411=0)),"",IFERROR(INDEX($F$27:$F$36,MATCH(C410,($F$27:$F$36)*($D$27:$D$36&lt;&gt;0),0)),IF(OR(AND(D410=0,B410=0,B411&lt;&gt;0),AND(D410*D409&lt;0,B410&lt;&gt;0)),IF(D410=0,C410,C410*(1-ABS(D410)/(ABS(D410)+ABS(D409)))+C409*(1-ABS(D409)/(ABS(D410)+ABS(D409)))),"")))</f>
        <v>#NAME?</v>
      </c>
    </row>
    <row r="411" spans="2:5" x14ac:dyDescent="0.25">
      <c r="B411" t="e">
        <f t="shared" ca="1" si="13"/>
        <v>#NAME?</v>
      </c>
      <c r="C411">
        <v>368</v>
      </c>
      <c r="D411" t="e">
        <f t="shared" ca="1" si="12"/>
        <v>#NAME?</v>
      </c>
      <c r="E411" s="115" t="e">
        <f t="array" aca="1" ref="E411" ca="1">IF(OR(C410=0,AND(B412=0,C412=0)),"",IFERROR(INDEX($F$27:$F$36,MATCH(C411,($F$27:$F$36)*($D$27:$D$36&lt;&gt;0),0)),IF(OR(AND(D411=0,B411=0,B412&lt;&gt;0),AND(D411*D410&lt;0,B411&lt;&gt;0)),IF(D411=0,C411,C411*(1-ABS(D411)/(ABS(D411)+ABS(D410)))+C410*(1-ABS(D410)/(ABS(D411)+ABS(D410)))),"")))</f>
        <v>#NAME?</v>
      </c>
    </row>
    <row r="412" spans="2:5" x14ac:dyDescent="0.25">
      <c r="B412" t="e">
        <f t="shared" ca="1" si="13"/>
        <v>#NAME?</v>
      </c>
      <c r="C412">
        <v>369</v>
      </c>
      <c r="D412" t="e">
        <f t="shared" ca="1" si="12"/>
        <v>#NAME?</v>
      </c>
      <c r="E412" s="115" t="e">
        <f t="array" aca="1" ref="E412" ca="1">IF(OR(C411=0,AND(B413=0,C413=0)),"",IFERROR(INDEX($F$27:$F$36,MATCH(C412,($F$27:$F$36)*($D$27:$D$36&lt;&gt;0),0)),IF(OR(AND(D412=0,B412=0,B413&lt;&gt;0),AND(D412*D411&lt;0,B412&lt;&gt;0)),IF(D412=0,C412,C412*(1-ABS(D412)/(ABS(D412)+ABS(D411)))+C411*(1-ABS(D411)/(ABS(D412)+ABS(D411)))),"")))</f>
        <v>#NAME?</v>
      </c>
    </row>
    <row r="413" spans="2:5" x14ac:dyDescent="0.25">
      <c r="B413" t="e">
        <f t="shared" ca="1" si="13"/>
        <v>#NAME?</v>
      </c>
      <c r="C413">
        <v>370</v>
      </c>
      <c r="D413" t="e">
        <f t="shared" ca="1" si="12"/>
        <v>#NAME?</v>
      </c>
      <c r="E413" s="115" t="e">
        <f t="array" aca="1" ref="E413" ca="1">IF(OR(C412=0,AND(B414=0,C414=0)),"",IFERROR(INDEX($F$27:$F$36,MATCH(C413,($F$27:$F$36)*($D$27:$D$36&lt;&gt;0),0)),IF(OR(AND(D413=0,B413=0,B414&lt;&gt;0),AND(D413*D412&lt;0,B413&lt;&gt;0)),IF(D413=0,C413,C413*(1-ABS(D413)/(ABS(D413)+ABS(D412)))+C412*(1-ABS(D412)/(ABS(D413)+ABS(D412)))),"")))</f>
        <v>#NAME?</v>
      </c>
    </row>
    <row r="414" spans="2:5" x14ac:dyDescent="0.25">
      <c r="B414" t="e">
        <f t="shared" ca="1" si="13"/>
        <v>#NAME?</v>
      </c>
      <c r="C414">
        <v>371</v>
      </c>
      <c r="D414" t="e">
        <f t="shared" ca="1" si="12"/>
        <v>#NAME?</v>
      </c>
      <c r="E414" s="115" t="e">
        <f t="array" aca="1" ref="E414" ca="1">IF(OR(C413=0,AND(B415=0,C415=0)),"",IFERROR(INDEX($F$27:$F$36,MATCH(C414,($F$27:$F$36)*($D$27:$D$36&lt;&gt;0),0)),IF(OR(AND(D414=0,B414=0,B415&lt;&gt;0),AND(D414*D413&lt;0,B414&lt;&gt;0)),IF(D414=0,C414,C414*(1-ABS(D414)/(ABS(D414)+ABS(D413)))+C413*(1-ABS(D413)/(ABS(D414)+ABS(D413)))),"")))</f>
        <v>#NAME?</v>
      </c>
    </row>
    <row r="415" spans="2:5" x14ac:dyDescent="0.25">
      <c r="B415" t="e">
        <f t="shared" ca="1" si="13"/>
        <v>#NAME?</v>
      </c>
      <c r="C415">
        <v>372</v>
      </c>
      <c r="D415" t="e">
        <f t="shared" ca="1" si="12"/>
        <v>#NAME?</v>
      </c>
      <c r="E415" s="115" t="e">
        <f t="array" aca="1" ref="E415" ca="1">IF(OR(C414=0,AND(B416=0,C416=0)),"",IFERROR(INDEX($F$27:$F$36,MATCH(C415,($F$27:$F$36)*($D$27:$D$36&lt;&gt;0),0)),IF(OR(AND(D415=0,B415=0,B416&lt;&gt;0),AND(D415*D414&lt;0,B415&lt;&gt;0)),IF(D415=0,C415,C415*(1-ABS(D415)/(ABS(D415)+ABS(D414)))+C414*(1-ABS(D414)/(ABS(D415)+ABS(D414)))),"")))</f>
        <v>#NAME?</v>
      </c>
    </row>
    <row r="416" spans="2:5" x14ac:dyDescent="0.25">
      <c r="B416" t="e">
        <f t="shared" ca="1" si="13"/>
        <v>#NAME?</v>
      </c>
      <c r="C416">
        <v>373</v>
      </c>
      <c r="D416" t="e">
        <f t="shared" ca="1" si="12"/>
        <v>#NAME?</v>
      </c>
      <c r="E416" s="115" t="e">
        <f t="array" aca="1" ref="E416" ca="1">IF(OR(C415=0,AND(B417=0,C417=0)),"",IFERROR(INDEX($F$27:$F$36,MATCH(C416,($F$27:$F$36)*($D$27:$D$36&lt;&gt;0),0)),IF(OR(AND(D416=0,B416=0,B417&lt;&gt;0),AND(D416*D415&lt;0,B416&lt;&gt;0)),IF(D416=0,C416,C416*(1-ABS(D416)/(ABS(D416)+ABS(D415)))+C415*(1-ABS(D415)/(ABS(D416)+ABS(D415)))),"")))</f>
        <v>#NAME?</v>
      </c>
    </row>
    <row r="417" spans="2:5" x14ac:dyDescent="0.25">
      <c r="B417" t="e">
        <f t="shared" ca="1" si="13"/>
        <v>#NAME?</v>
      </c>
      <c r="C417">
        <v>374</v>
      </c>
      <c r="D417" t="e">
        <f t="shared" ca="1" si="12"/>
        <v>#NAME?</v>
      </c>
      <c r="E417" s="115" t="e">
        <f t="array" aca="1" ref="E417" ca="1">IF(OR(C416=0,AND(B418=0,C418=0)),"",IFERROR(INDEX($F$27:$F$36,MATCH(C417,($F$27:$F$36)*($D$27:$D$36&lt;&gt;0),0)),IF(OR(AND(D417=0,B417=0,B418&lt;&gt;0),AND(D417*D416&lt;0,B417&lt;&gt;0)),IF(D417=0,C417,C417*(1-ABS(D417)/(ABS(D417)+ABS(D416)))+C416*(1-ABS(D416)/(ABS(D417)+ABS(D416)))),"")))</f>
        <v>#NAME?</v>
      </c>
    </row>
    <row r="418" spans="2:5" x14ac:dyDescent="0.25">
      <c r="B418" t="e">
        <f t="shared" ca="1" si="13"/>
        <v>#NAME?</v>
      </c>
      <c r="C418">
        <v>375</v>
      </c>
      <c r="D418" t="e">
        <f t="shared" ca="1" si="12"/>
        <v>#NAME?</v>
      </c>
      <c r="E418" s="115" t="e">
        <f t="array" aca="1" ref="E418" ca="1">IF(OR(C417=0,AND(B419=0,C419=0)),"",IFERROR(INDEX($F$27:$F$36,MATCH(C418,($F$27:$F$36)*($D$27:$D$36&lt;&gt;0),0)),IF(OR(AND(D418=0,B418=0,B419&lt;&gt;0),AND(D418*D417&lt;0,B418&lt;&gt;0)),IF(D418=0,C418,C418*(1-ABS(D418)/(ABS(D418)+ABS(D417)))+C417*(1-ABS(D417)/(ABS(D418)+ABS(D417)))),"")))</f>
        <v>#NAME?</v>
      </c>
    </row>
    <row r="419" spans="2:5" x14ac:dyDescent="0.25">
      <c r="B419" t="e">
        <f t="shared" ca="1" si="13"/>
        <v>#NAME?</v>
      </c>
      <c r="C419">
        <v>376</v>
      </c>
      <c r="D419" t="e">
        <f t="shared" ca="1" si="12"/>
        <v>#NAME?</v>
      </c>
      <c r="E419" s="115" t="e">
        <f t="array" aca="1" ref="E419" ca="1">IF(OR(C418=0,AND(B420=0,C420=0)),"",IFERROR(INDEX($F$27:$F$36,MATCH(C419,($F$27:$F$36)*($D$27:$D$36&lt;&gt;0),0)),IF(OR(AND(D419=0,B419=0,B420&lt;&gt;0),AND(D419*D418&lt;0,B419&lt;&gt;0)),IF(D419=0,C419,C419*(1-ABS(D419)/(ABS(D419)+ABS(D418)))+C418*(1-ABS(D418)/(ABS(D419)+ABS(D418)))),"")))</f>
        <v>#NAME?</v>
      </c>
    </row>
    <row r="420" spans="2:5" x14ac:dyDescent="0.25">
      <c r="B420" t="e">
        <f t="shared" ca="1" si="13"/>
        <v>#NAME?</v>
      </c>
      <c r="C420">
        <v>377</v>
      </c>
      <c r="D420" t="e">
        <f t="shared" ca="1" si="12"/>
        <v>#NAME?</v>
      </c>
      <c r="E420" s="115" t="e">
        <f t="array" aca="1" ref="E420" ca="1">IF(OR(C419=0,AND(B421=0,C421=0)),"",IFERROR(INDEX($F$27:$F$36,MATCH(C420,($F$27:$F$36)*($D$27:$D$36&lt;&gt;0),0)),IF(OR(AND(D420=0,B420=0,B421&lt;&gt;0),AND(D420*D419&lt;0,B420&lt;&gt;0)),IF(D420=0,C420,C420*(1-ABS(D420)/(ABS(D420)+ABS(D419)))+C419*(1-ABS(D419)/(ABS(D420)+ABS(D419)))),"")))</f>
        <v>#NAME?</v>
      </c>
    </row>
    <row r="421" spans="2:5" x14ac:dyDescent="0.25">
      <c r="B421" t="e">
        <f t="shared" ca="1" si="13"/>
        <v>#NAME?</v>
      </c>
      <c r="C421">
        <v>378</v>
      </c>
      <c r="D421" t="e">
        <f t="shared" ca="1" si="12"/>
        <v>#NAME?</v>
      </c>
      <c r="E421" s="115" t="e">
        <f t="array" aca="1" ref="E421" ca="1">IF(OR(C420=0,AND(B422=0,C422=0)),"",IFERROR(INDEX($F$27:$F$36,MATCH(C421,($F$27:$F$36)*($D$27:$D$36&lt;&gt;0),0)),IF(OR(AND(D421=0,B421=0,B422&lt;&gt;0),AND(D421*D420&lt;0,B421&lt;&gt;0)),IF(D421=0,C421,C421*(1-ABS(D421)/(ABS(D421)+ABS(D420)))+C420*(1-ABS(D420)/(ABS(D421)+ABS(D420)))),"")))</f>
        <v>#NAME?</v>
      </c>
    </row>
    <row r="422" spans="2:5" x14ac:dyDescent="0.25">
      <c r="B422" t="e">
        <f t="shared" ca="1" si="13"/>
        <v>#NAME?</v>
      </c>
      <c r="C422">
        <v>379</v>
      </c>
      <c r="D422" t="e">
        <f t="shared" ca="1" si="12"/>
        <v>#NAME?</v>
      </c>
      <c r="E422" s="115" t="e">
        <f t="array" aca="1" ref="E422" ca="1">IF(OR(C421=0,AND(B423=0,C423=0)),"",IFERROR(INDEX($F$27:$F$36,MATCH(C422,($F$27:$F$36)*($D$27:$D$36&lt;&gt;0),0)),IF(OR(AND(D422=0,B422=0,B423&lt;&gt;0),AND(D422*D421&lt;0,B422&lt;&gt;0)),IF(D422=0,C422,C422*(1-ABS(D422)/(ABS(D422)+ABS(D421)))+C421*(1-ABS(D421)/(ABS(D422)+ABS(D421)))),"")))</f>
        <v>#NAME?</v>
      </c>
    </row>
    <row r="423" spans="2:5" x14ac:dyDescent="0.25">
      <c r="B423" t="e">
        <f t="shared" ca="1" si="13"/>
        <v>#NAME?</v>
      </c>
      <c r="C423">
        <v>380</v>
      </c>
      <c r="D423" t="e">
        <f t="shared" ca="1" si="12"/>
        <v>#NAME?</v>
      </c>
      <c r="E423" s="115" t="e">
        <f t="array" aca="1" ref="E423" ca="1">IF(OR(C422=0,AND(B424=0,C424=0)),"",IFERROR(INDEX($F$27:$F$36,MATCH(C423,($F$27:$F$36)*($D$27:$D$36&lt;&gt;0),0)),IF(OR(AND(D423=0,B423=0,B424&lt;&gt;0),AND(D423*D422&lt;0,B423&lt;&gt;0)),IF(D423=0,C423,C423*(1-ABS(D423)/(ABS(D423)+ABS(D422)))+C422*(1-ABS(D422)/(ABS(D423)+ABS(D422)))),"")))</f>
        <v>#NAME?</v>
      </c>
    </row>
    <row r="424" spans="2:5" x14ac:dyDescent="0.25">
      <c r="B424" t="e">
        <f t="shared" ca="1" si="13"/>
        <v>#NAME?</v>
      </c>
      <c r="C424">
        <v>381</v>
      </c>
      <c r="D424" t="e">
        <f t="shared" ca="1" si="12"/>
        <v>#NAME?</v>
      </c>
      <c r="E424" s="115" t="e">
        <f t="array" aca="1" ref="E424" ca="1">IF(OR(C423=0,AND(B425=0,C425=0)),"",IFERROR(INDEX($F$27:$F$36,MATCH(C424,($F$27:$F$36)*($D$27:$D$36&lt;&gt;0),0)),IF(OR(AND(D424=0,B424=0,B425&lt;&gt;0),AND(D424*D423&lt;0,B424&lt;&gt;0)),IF(D424=0,C424,C424*(1-ABS(D424)/(ABS(D424)+ABS(D423)))+C423*(1-ABS(D423)/(ABS(D424)+ABS(D423)))),"")))</f>
        <v>#NAME?</v>
      </c>
    </row>
    <row r="425" spans="2:5" x14ac:dyDescent="0.25">
      <c r="B425" t="e">
        <f t="shared" ca="1" si="13"/>
        <v>#NAME?</v>
      </c>
      <c r="C425">
        <v>382</v>
      </c>
      <c r="D425" t="e">
        <f t="shared" ca="1" si="12"/>
        <v>#NAME?</v>
      </c>
      <c r="E425" s="115" t="e">
        <f t="array" aca="1" ref="E425" ca="1">IF(OR(C424=0,AND(B426=0,C426=0)),"",IFERROR(INDEX($F$27:$F$36,MATCH(C425,($F$27:$F$36)*($D$27:$D$36&lt;&gt;0),0)),IF(OR(AND(D425=0,B425=0,B426&lt;&gt;0),AND(D425*D424&lt;0,B425&lt;&gt;0)),IF(D425=0,C425,C425*(1-ABS(D425)/(ABS(D425)+ABS(D424)))+C424*(1-ABS(D424)/(ABS(D425)+ABS(D424)))),"")))</f>
        <v>#NAME?</v>
      </c>
    </row>
    <row r="426" spans="2:5" x14ac:dyDescent="0.25">
      <c r="B426" t="e">
        <f t="shared" ca="1" si="13"/>
        <v>#NAME?</v>
      </c>
      <c r="C426">
        <v>383</v>
      </c>
      <c r="D426" t="e">
        <f t="shared" ca="1" si="12"/>
        <v>#NAME?</v>
      </c>
      <c r="E426" s="115" t="e">
        <f t="array" aca="1" ref="E426" ca="1">IF(OR(C425=0,AND(B427=0,C427=0)),"",IFERROR(INDEX($F$27:$F$36,MATCH(C426,($F$27:$F$36)*($D$27:$D$36&lt;&gt;0),0)),IF(OR(AND(D426=0,B426=0,B427&lt;&gt;0),AND(D426*D425&lt;0,B426&lt;&gt;0)),IF(D426=0,C426,C426*(1-ABS(D426)/(ABS(D426)+ABS(D425)))+C425*(1-ABS(D425)/(ABS(D426)+ABS(D425)))),"")))</f>
        <v>#NAME?</v>
      </c>
    </row>
    <row r="427" spans="2:5" x14ac:dyDescent="0.25">
      <c r="B427" t="e">
        <f t="shared" ca="1" si="13"/>
        <v>#NAME?</v>
      </c>
      <c r="C427">
        <v>384</v>
      </c>
      <c r="D427" t="e">
        <f t="shared" ref="D427:D490" ca="1" si="14">SUMPRODUCT(--($J$27:$J$37&gt;0),--($C427-$F$27:$F$37&gt;0),($D$27:$D$37),($C427-$F$27:$F$37))+SUMPRODUCT(--($J$27:$J$37&lt;0),--($F$27:$F$37-$C427&gt;0),($D$27:$D$37),($F$27:$F$37-$C427))-SUMPRODUCT($D$27:$D$37,$E$27:$E$37)</f>
        <v>#NAME?</v>
      </c>
      <c r="E427" s="115" t="e">
        <f t="array" aca="1" ref="E427" ca="1">IF(OR(C426=0,AND(B428=0,C428=0)),"",IFERROR(INDEX($F$27:$F$36,MATCH(C427,($F$27:$F$36)*($D$27:$D$36&lt;&gt;0),0)),IF(OR(AND(D427=0,B427=0,B428&lt;&gt;0),AND(D427*D426&lt;0,B427&lt;&gt;0)),IF(D427=0,C427,C427*(1-ABS(D427)/(ABS(D427)+ABS(D426)))+C426*(1-ABS(D426)/(ABS(D427)+ABS(D426)))),"")))</f>
        <v>#NAME?</v>
      </c>
    </row>
    <row r="428" spans="2:5" x14ac:dyDescent="0.25">
      <c r="B428" t="e">
        <f t="shared" ref="B428:B491" ca="1" si="15">ROUND((D428-D427)/(C428-C427),12)</f>
        <v>#NAME?</v>
      </c>
      <c r="C428">
        <v>385</v>
      </c>
      <c r="D428" t="e">
        <f t="shared" ca="1" si="14"/>
        <v>#NAME?</v>
      </c>
      <c r="E428" s="115" t="e">
        <f t="array" aca="1" ref="E428" ca="1">IF(OR(C427=0,AND(B429=0,C429=0)),"",IFERROR(INDEX($F$27:$F$36,MATCH(C428,($F$27:$F$36)*($D$27:$D$36&lt;&gt;0),0)),IF(OR(AND(D428=0,B428=0,B429&lt;&gt;0),AND(D428*D427&lt;0,B428&lt;&gt;0)),IF(D428=0,C428,C428*(1-ABS(D428)/(ABS(D428)+ABS(D427)))+C427*(1-ABS(D427)/(ABS(D428)+ABS(D427)))),"")))</f>
        <v>#NAME?</v>
      </c>
    </row>
    <row r="429" spans="2:5" x14ac:dyDescent="0.25">
      <c r="B429" t="e">
        <f t="shared" ca="1" si="15"/>
        <v>#NAME?</v>
      </c>
      <c r="C429">
        <v>386</v>
      </c>
      <c r="D429" t="e">
        <f t="shared" ca="1" si="14"/>
        <v>#NAME?</v>
      </c>
      <c r="E429" s="115" t="e">
        <f t="array" aca="1" ref="E429" ca="1">IF(OR(C428=0,AND(B430=0,C430=0)),"",IFERROR(INDEX($F$27:$F$36,MATCH(C429,($F$27:$F$36)*($D$27:$D$36&lt;&gt;0),0)),IF(OR(AND(D429=0,B429=0,B430&lt;&gt;0),AND(D429*D428&lt;0,B429&lt;&gt;0)),IF(D429=0,C429,C429*(1-ABS(D429)/(ABS(D429)+ABS(D428)))+C428*(1-ABS(D428)/(ABS(D429)+ABS(D428)))),"")))</f>
        <v>#NAME?</v>
      </c>
    </row>
    <row r="430" spans="2:5" x14ac:dyDescent="0.25">
      <c r="B430" t="e">
        <f t="shared" ca="1" si="15"/>
        <v>#NAME?</v>
      </c>
      <c r="C430">
        <v>387</v>
      </c>
      <c r="D430" t="e">
        <f t="shared" ca="1" si="14"/>
        <v>#NAME?</v>
      </c>
      <c r="E430" s="115" t="e">
        <f t="array" aca="1" ref="E430" ca="1">IF(OR(C429=0,AND(B431=0,C431=0)),"",IFERROR(INDEX($F$27:$F$36,MATCH(C430,($F$27:$F$36)*($D$27:$D$36&lt;&gt;0),0)),IF(OR(AND(D430=0,B430=0,B431&lt;&gt;0),AND(D430*D429&lt;0,B430&lt;&gt;0)),IF(D430=0,C430,C430*(1-ABS(D430)/(ABS(D430)+ABS(D429)))+C429*(1-ABS(D429)/(ABS(D430)+ABS(D429)))),"")))</f>
        <v>#NAME?</v>
      </c>
    </row>
    <row r="431" spans="2:5" x14ac:dyDescent="0.25">
      <c r="B431" t="e">
        <f t="shared" ca="1" si="15"/>
        <v>#NAME?</v>
      </c>
      <c r="C431">
        <v>388</v>
      </c>
      <c r="D431" t="e">
        <f t="shared" ca="1" si="14"/>
        <v>#NAME?</v>
      </c>
      <c r="E431" s="115" t="e">
        <f t="array" aca="1" ref="E431" ca="1">IF(OR(C430=0,AND(B432=0,C432=0)),"",IFERROR(INDEX($F$27:$F$36,MATCH(C431,($F$27:$F$36)*($D$27:$D$36&lt;&gt;0),0)),IF(OR(AND(D431=0,B431=0,B432&lt;&gt;0),AND(D431*D430&lt;0,B431&lt;&gt;0)),IF(D431=0,C431,C431*(1-ABS(D431)/(ABS(D431)+ABS(D430)))+C430*(1-ABS(D430)/(ABS(D431)+ABS(D430)))),"")))</f>
        <v>#NAME?</v>
      </c>
    </row>
    <row r="432" spans="2:5" x14ac:dyDescent="0.25">
      <c r="B432" t="e">
        <f t="shared" ca="1" si="15"/>
        <v>#NAME?</v>
      </c>
      <c r="C432">
        <v>389</v>
      </c>
      <c r="D432" t="e">
        <f t="shared" ca="1" si="14"/>
        <v>#NAME?</v>
      </c>
      <c r="E432" s="115" t="e">
        <f t="array" aca="1" ref="E432" ca="1">IF(OR(C431=0,AND(B433=0,C433=0)),"",IFERROR(INDEX($F$27:$F$36,MATCH(C432,($F$27:$F$36)*($D$27:$D$36&lt;&gt;0),0)),IF(OR(AND(D432=0,B432=0,B433&lt;&gt;0),AND(D432*D431&lt;0,B432&lt;&gt;0)),IF(D432=0,C432,C432*(1-ABS(D432)/(ABS(D432)+ABS(D431)))+C431*(1-ABS(D431)/(ABS(D432)+ABS(D431)))),"")))</f>
        <v>#NAME?</v>
      </c>
    </row>
    <row r="433" spans="2:5" x14ac:dyDescent="0.25">
      <c r="B433" t="e">
        <f t="shared" ca="1" si="15"/>
        <v>#NAME?</v>
      </c>
      <c r="C433">
        <v>390</v>
      </c>
      <c r="D433" t="e">
        <f t="shared" ca="1" si="14"/>
        <v>#NAME?</v>
      </c>
      <c r="E433" s="115" t="e">
        <f t="array" aca="1" ref="E433" ca="1">IF(OR(C432=0,AND(B434=0,C434=0)),"",IFERROR(INDEX($F$27:$F$36,MATCH(C433,($F$27:$F$36)*($D$27:$D$36&lt;&gt;0),0)),IF(OR(AND(D433=0,B433=0,B434&lt;&gt;0),AND(D433*D432&lt;0,B433&lt;&gt;0)),IF(D433=0,C433,C433*(1-ABS(D433)/(ABS(D433)+ABS(D432)))+C432*(1-ABS(D432)/(ABS(D433)+ABS(D432)))),"")))</f>
        <v>#NAME?</v>
      </c>
    </row>
    <row r="434" spans="2:5" x14ac:dyDescent="0.25">
      <c r="B434" t="e">
        <f t="shared" ca="1" si="15"/>
        <v>#NAME?</v>
      </c>
      <c r="C434">
        <v>391</v>
      </c>
      <c r="D434" t="e">
        <f t="shared" ca="1" si="14"/>
        <v>#NAME?</v>
      </c>
      <c r="E434" s="115" t="e">
        <f t="array" aca="1" ref="E434" ca="1">IF(OR(C433=0,AND(B435=0,C435=0)),"",IFERROR(INDEX($F$27:$F$36,MATCH(C434,($F$27:$F$36)*($D$27:$D$36&lt;&gt;0),0)),IF(OR(AND(D434=0,B434=0,B435&lt;&gt;0),AND(D434*D433&lt;0,B434&lt;&gt;0)),IF(D434=0,C434,C434*(1-ABS(D434)/(ABS(D434)+ABS(D433)))+C433*(1-ABS(D433)/(ABS(D434)+ABS(D433)))),"")))</f>
        <v>#NAME?</v>
      </c>
    </row>
    <row r="435" spans="2:5" x14ac:dyDescent="0.25">
      <c r="B435" t="e">
        <f t="shared" ca="1" si="15"/>
        <v>#NAME?</v>
      </c>
      <c r="C435">
        <v>392</v>
      </c>
      <c r="D435" t="e">
        <f t="shared" ca="1" si="14"/>
        <v>#NAME?</v>
      </c>
      <c r="E435" s="115" t="e">
        <f t="array" aca="1" ref="E435" ca="1">IF(OR(C434=0,AND(B436=0,C436=0)),"",IFERROR(INDEX($F$27:$F$36,MATCH(C435,($F$27:$F$36)*($D$27:$D$36&lt;&gt;0),0)),IF(OR(AND(D435=0,B435=0,B436&lt;&gt;0),AND(D435*D434&lt;0,B435&lt;&gt;0)),IF(D435=0,C435,C435*(1-ABS(D435)/(ABS(D435)+ABS(D434)))+C434*(1-ABS(D434)/(ABS(D435)+ABS(D434)))),"")))</f>
        <v>#NAME?</v>
      </c>
    </row>
    <row r="436" spans="2:5" x14ac:dyDescent="0.25">
      <c r="B436" t="e">
        <f t="shared" ca="1" si="15"/>
        <v>#NAME?</v>
      </c>
      <c r="C436">
        <v>393</v>
      </c>
      <c r="D436" t="e">
        <f t="shared" ca="1" si="14"/>
        <v>#NAME?</v>
      </c>
      <c r="E436" s="115" t="e">
        <f t="array" aca="1" ref="E436" ca="1">IF(OR(C435=0,AND(B437=0,C437=0)),"",IFERROR(INDEX($F$27:$F$36,MATCH(C436,($F$27:$F$36)*($D$27:$D$36&lt;&gt;0),0)),IF(OR(AND(D436=0,B436=0,B437&lt;&gt;0),AND(D436*D435&lt;0,B436&lt;&gt;0)),IF(D436=0,C436,C436*(1-ABS(D436)/(ABS(D436)+ABS(D435)))+C435*(1-ABS(D435)/(ABS(D436)+ABS(D435)))),"")))</f>
        <v>#NAME?</v>
      </c>
    </row>
    <row r="437" spans="2:5" x14ac:dyDescent="0.25">
      <c r="B437" t="e">
        <f t="shared" ca="1" si="15"/>
        <v>#NAME?</v>
      </c>
      <c r="C437">
        <v>394</v>
      </c>
      <c r="D437" t="e">
        <f t="shared" ca="1" si="14"/>
        <v>#NAME?</v>
      </c>
      <c r="E437" s="115" t="e">
        <f t="array" aca="1" ref="E437" ca="1">IF(OR(C436=0,AND(B438=0,C438=0)),"",IFERROR(INDEX($F$27:$F$36,MATCH(C437,($F$27:$F$36)*($D$27:$D$36&lt;&gt;0),0)),IF(OR(AND(D437=0,B437=0,B438&lt;&gt;0),AND(D437*D436&lt;0,B437&lt;&gt;0)),IF(D437=0,C437,C437*(1-ABS(D437)/(ABS(D437)+ABS(D436)))+C436*(1-ABS(D436)/(ABS(D437)+ABS(D436)))),"")))</f>
        <v>#NAME?</v>
      </c>
    </row>
    <row r="438" spans="2:5" x14ac:dyDescent="0.25">
      <c r="B438" t="e">
        <f t="shared" ca="1" si="15"/>
        <v>#NAME?</v>
      </c>
      <c r="C438">
        <v>395</v>
      </c>
      <c r="D438" t="e">
        <f t="shared" ca="1" si="14"/>
        <v>#NAME?</v>
      </c>
      <c r="E438" s="115" t="e">
        <f t="array" aca="1" ref="E438" ca="1">IF(OR(C437=0,AND(B439=0,C439=0)),"",IFERROR(INDEX($F$27:$F$36,MATCH(C438,($F$27:$F$36)*($D$27:$D$36&lt;&gt;0),0)),IF(OR(AND(D438=0,B438=0,B439&lt;&gt;0),AND(D438*D437&lt;0,B438&lt;&gt;0)),IF(D438=0,C438,C438*(1-ABS(D438)/(ABS(D438)+ABS(D437)))+C437*(1-ABS(D437)/(ABS(D438)+ABS(D437)))),"")))</f>
        <v>#NAME?</v>
      </c>
    </row>
    <row r="439" spans="2:5" x14ac:dyDescent="0.25">
      <c r="B439" t="e">
        <f t="shared" ca="1" si="15"/>
        <v>#NAME?</v>
      </c>
      <c r="C439">
        <v>396</v>
      </c>
      <c r="D439" t="e">
        <f t="shared" ca="1" si="14"/>
        <v>#NAME?</v>
      </c>
      <c r="E439" s="115" t="e">
        <f t="array" aca="1" ref="E439" ca="1">IF(OR(C438=0,AND(B440=0,C440=0)),"",IFERROR(INDEX($F$27:$F$36,MATCH(C439,($F$27:$F$36)*($D$27:$D$36&lt;&gt;0),0)),IF(OR(AND(D439=0,B439=0,B440&lt;&gt;0),AND(D439*D438&lt;0,B439&lt;&gt;0)),IF(D439=0,C439,C439*(1-ABS(D439)/(ABS(D439)+ABS(D438)))+C438*(1-ABS(D438)/(ABS(D439)+ABS(D438)))),"")))</f>
        <v>#NAME?</v>
      </c>
    </row>
    <row r="440" spans="2:5" x14ac:dyDescent="0.25">
      <c r="B440" t="e">
        <f t="shared" ca="1" si="15"/>
        <v>#NAME?</v>
      </c>
      <c r="C440">
        <v>397</v>
      </c>
      <c r="D440" t="e">
        <f t="shared" ca="1" si="14"/>
        <v>#NAME?</v>
      </c>
      <c r="E440" s="115" t="e">
        <f t="array" aca="1" ref="E440" ca="1">IF(OR(C439=0,AND(B441=0,C441=0)),"",IFERROR(INDEX($F$27:$F$36,MATCH(C440,($F$27:$F$36)*($D$27:$D$36&lt;&gt;0),0)),IF(OR(AND(D440=0,B440=0,B441&lt;&gt;0),AND(D440*D439&lt;0,B440&lt;&gt;0)),IF(D440=0,C440,C440*(1-ABS(D440)/(ABS(D440)+ABS(D439)))+C439*(1-ABS(D439)/(ABS(D440)+ABS(D439)))),"")))</f>
        <v>#NAME?</v>
      </c>
    </row>
    <row r="441" spans="2:5" x14ac:dyDescent="0.25">
      <c r="B441" t="e">
        <f t="shared" ca="1" si="15"/>
        <v>#NAME?</v>
      </c>
      <c r="C441">
        <v>398</v>
      </c>
      <c r="D441" t="e">
        <f t="shared" ca="1" si="14"/>
        <v>#NAME?</v>
      </c>
      <c r="E441" s="115" t="e">
        <f t="array" aca="1" ref="E441" ca="1">IF(OR(C440=0,AND(B442=0,C442=0)),"",IFERROR(INDEX($F$27:$F$36,MATCH(C441,($F$27:$F$36)*($D$27:$D$36&lt;&gt;0),0)),IF(OR(AND(D441=0,B441=0,B442&lt;&gt;0),AND(D441*D440&lt;0,B441&lt;&gt;0)),IF(D441=0,C441,C441*(1-ABS(D441)/(ABS(D441)+ABS(D440)))+C440*(1-ABS(D440)/(ABS(D441)+ABS(D440)))),"")))</f>
        <v>#NAME?</v>
      </c>
    </row>
    <row r="442" spans="2:5" x14ac:dyDescent="0.25">
      <c r="B442" t="e">
        <f t="shared" ca="1" si="15"/>
        <v>#NAME?</v>
      </c>
      <c r="C442">
        <v>399</v>
      </c>
      <c r="D442" t="e">
        <f t="shared" ca="1" si="14"/>
        <v>#NAME?</v>
      </c>
      <c r="E442" s="115" t="e">
        <f t="array" aca="1" ref="E442" ca="1">IF(OR(C441=0,AND(B443=0,C443=0)),"",IFERROR(INDEX($F$27:$F$36,MATCH(C442,($F$27:$F$36)*($D$27:$D$36&lt;&gt;0),0)),IF(OR(AND(D442=0,B442=0,B443&lt;&gt;0),AND(D442*D441&lt;0,B442&lt;&gt;0)),IF(D442=0,C442,C442*(1-ABS(D442)/(ABS(D442)+ABS(D441)))+C441*(1-ABS(D441)/(ABS(D442)+ABS(D441)))),"")))</f>
        <v>#NAME?</v>
      </c>
    </row>
    <row r="443" spans="2:5" x14ac:dyDescent="0.25">
      <c r="B443" t="e">
        <f t="shared" ca="1" si="15"/>
        <v>#NAME?</v>
      </c>
      <c r="C443">
        <v>400</v>
      </c>
      <c r="D443" t="e">
        <f t="shared" ca="1" si="14"/>
        <v>#NAME?</v>
      </c>
      <c r="E443" s="115" t="e">
        <f t="array" aca="1" ref="E443" ca="1">IF(OR(C442=0,AND(B444=0,C444=0)),"",IFERROR(INDEX($F$27:$F$36,MATCH(C443,($F$27:$F$36)*($D$27:$D$36&lt;&gt;0),0)),IF(OR(AND(D443=0,B443=0,B444&lt;&gt;0),AND(D443*D442&lt;0,B443&lt;&gt;0)),IF(D443=0,C443,C443*(1-ABS(D443)/(ABS(D443)+ABS(D442)))+C442*(1-ABS(D442)/(ABS(D443)+ABS(D442)))),"")))</f>
        <v>#NAME?</v>
      </c>
    </row>
    <row r="444" spans="2:5" x14ac:dyDescent="0.25">
      <c r="B444" t="e">
        <f t="shared" ca="1" si="15"/>
        <v>#NAME?</v>
      </c>
      <c r="C444">
        <v>401</v>
      </c>
      <c r="D444" t="e">
        <f t="shared" ca="1" si="14"/>
        <v>#NAME?</v>
      </c>
      <c r="E444" s="115" t="e">
        <f t="array" aca="1" ref="E444" ca="1">IF(OR(C443=0,AND(B445=0,C445=0)),"",IFERROR(INDEX($F$27:$F$36,MATCH(C444,($F$27:$F$36)*($D$27:$D$36&lt;&gt;0),0)),IF(OR(AND(D444=0,B444=0,B445&lt;&gt;0),AND(D444*D443&lt;0,B444&lt;&gt;0)),IF(D444=0,C444,C444*(1-ABS(D444)/(ABS(D444)+ABS(D443)))+C443*(1-ABS(D443)/(ABS(D444)+ABS(D443)))),"")))</f>
        <v>#NAME?</v>
      </c>
    </row>
    <row r="445" spans="2:5" x14ac:dyDescent="0.25">
      <c r="B445" t="e">
        <f t="shared" ca="1" si="15"/>
        <v>#NAME?</v>
      </c>
      <c r="C445">
        <v>402</v>
      </c>
      <c r="D445" t="e">
        <f t="shared" ca="1" si="14"/>
        <v>#NAME?</v>
      </c>
      <c r="E445" s="115" t="e">
        <f t="array" aca="1" ref="E445" ca="1">IF(OR(C444=0,AND(B446=0,C446=0)),"",IFERROR(INDEX($F$27:$F$36,MATCH(C445,($F$27:$F$36)*($D$27:$D$36&lt;&gt;0),0)),IF(OR(AND(D445=0,B445=0,B446&lt;&gt;0),AND(D445*D444&lt;0,B445&lt;&gt;0)),IF(D445=0,C445,C445*(1-ABS(D445)/(ABS(D445)+ABS(D444)))+C444*(1-ABS(D444)/(ABS(D445)+ABS(D444)))),"")))</f>
        <v>#NAME?</v>
      </c>
    </row>
    <row r="446" spans="2:5" x14ac:dyDescent="0.25">
      <c r="B446" t="e">
        <f t="shared" ca="1" si="15"/>
        <v>#NAME?</v>
      </c>
      <c r="C446">
        <v>403</v>
      </c>
      <c r="D446" t="e">
        <f t="shared" ca="1" si="14"/>
        <v>#NAME?</v>
      </c>
      <c r="E446" s="115" t="e">
        <f t="array" aca="1" ref="E446" ca="1">IF(OR(C445=0,AND(B447=0,C447=0)),"",IFERROR(INDEX($F$27:$F$36,MATCH(C446,($F$27:$F$36)*($D$27:$D$36&lt;&gt;0),0)),IF(OR(AND(D446=0,B446=0,B447&lt;&gt;0),AND(D446*D445&lt;0,B446&lt;&gt;0)),IF(D446=0,C446,C446*(1-ABS(D446)/(ABS(D446)+ABS(D445)))+C445*(1-ABS(D445)/(ABS(D446)+ABS(D445)))),"")))</f>
        <v>#NAME?</v>
      </c>
    </row>
    <row r="447" spans="2:5" x14ac:dyDescent="0.25">
      <c r="B447" t="e">
        <f t="shared" ca="1" si="15"/>
        <v>#NAME?</v>
      </c>
      <c r="C447">
        <v>404</v>
      </c>
      <c r="D447" t="e">
        <f t="shared" ca="1" si="14"/>
        <v>#NAME?</v>
      </c>
      <c r="E447" s="115" t="e">
        <f t="array" aca="1" ref="E447" ca="1">IF(OR(C446=0,AND(B448=0,C448=0)),"",IFERROR(INDEX($F$27:$F$36,MATCH(C447,($F$27:$F$36)*($D$27:$D$36&lt;&gt;0),0)),IF(OR(AND(D447=0,B447=0,B448&lt;&gt;0),AND(D447*D446&lt;0,B447&lt;&gt;0)),IF(D447=0,C447,C447*(1-ABS(D447)/(ABS(D447)+ABS(D446)))+C446*(1-ABS(D446)/(ABS(D447)+ABS(D446)))),"")))</f>
        <v>#NAME?</v>
      </c>
    </row>
    <row r="448" spans="2:5" x14ac:dyDescent="0.25">
      <c r="B448" t="e">
        <f t="shared" ca="1" si="15"/>
        <v>#NAME?</v>
      </c>
      <c r="C448">
        <v>405</v>
      </c>
      <c r="D448" t="e">
        <f t="shared" ca="1" si="14"/>
        <v>#NAME?</v>
      </c>
      <c r="E448" s="115" t="e">
        <f t="array" aca="1" ref="E448" ca="1">IF(OR(C447=0,AND(B449=0,C449=0)),"",IFERROR(INDEX($F$27:$F$36,MATCH(C448,($F$27:$F$36)*($D$27:$D$36&lt;&gt;0),0)),IF(OR(AND(D448=0,B448=0,B449&lt;&gt;0),AND(D448*D447&lt;0,B448&lt;&gt;0)),IF(D448=0,C448,C448*(1-ABS(D448)/(ABS(D448)+ABS(D447)))+C447*(1-ABS(D447)/(ABS(D448)+ABS(D447)))),"")))</f>
        <v>#NAME?</v>
      </c>
    </row>
    <row r="449" spans="2:5" x14ac:dyDescent="0.25">
      <c r="B449" t="e">
        <f t="shared" ca="1" si="15"/>
        <v>#NAME?</v>
      </c>
      <c r="C449">
        <v>406</v>
      </c>
      <c r="D449" t="e">
        <f t="shared" ca="1" si="14"/>
        <v>#NAME?</v>
      </c>
      <c r="E449" s="115" t="e">
        <f t="array" aca="1" ref="E449" ca="1">IF(OR(C448=0,AND(B450=0,C450=0)),"",IFERROR(INDEX($F$27:$F$36,MATCH(C449,($F$27:$F$36)*($D$27:$D$36&lt;&gt;0),0)),IF(OR(AND(D449=0,B449=0,B450&lt;&gt;0),AND(D449*D448&lt;0,B449&lt;&gt;0)),IF(D449=0,C449,C449*(1-ABS(D449)/(ABS(D449)+ABS(D448)))+C448*(1-ABS(D448)/(ABS(D449)+ABS(D448)))),"")))</f>
        <v>#NAME?</v>
      </c>
    </row>
    <row r="450" spans="2:5" x14ac:dyDescent="0.25">
      <c r="B450" t="e">
        <f t="shared" ca="1" si="15"/>
        <v>#NAME?</v>
      </c>
      <c r="C450">
        <v>407</v>
      </c>
      <c r="D450" t="e">
        <f t="shared" ca="1" si="14"/>
        <v>#NAME?</v>
      </c>
      <c r="E450" s="115" t="e">
        <f t="array" aca="1" ref="E450" ca="1">IF(OR(C449=0,AND(B451=0,C451=0)),"",IFERROR(INDEX($F$27:$F$36,MATCH(C450,($F$27:$F$36)*($D$27:$D$36&lt;&gt;0),0)),IF(OR(AND(D450=0,B450=0,B451&lt;&gt;0),AND(D450*D449&lt;0,B450&lt;&gt;0)),IF(D450=0,C450,C450*(1-ABS(D450)/(ABS(D450)+ABS(D449)))+C449*(1-ABS(D449)/(ABS(D450)+ABS(D449)))),"")))</f>
        <v>#NAME?</v>
      </c>
    </row>
    <row r="451" spans="2:5" x14ac:dyDescent="0.25">
      <c r="B451" t="e">
        <f t="shared" ca="1" si="15"/>
        <v>#NAME?</v>
      </c>
      <c r="C451">
        <v>408</v>
      </c>
      <c r="D451" t="e">
        <f t="shared" ca="1" si="14"/>
        <v>#NAME?</v>
      </c>
      <c r="E451" s="115" t="e">
        <f t="array" aca="1" ref="E451" ca="1">IF(OR(C450=0,AND(B452=0,C452=0)),"",IFERROR(INDEX($F$27:$F$36,MATCH(C451,($F$27:$F$36)*($D$27:$D$36&lt;&gt;0),0)),IF(OR(AND(D451=0,B451=0,B452&lt;&gt;0),AND(D451*D450&lt;0,B451&lt;&gt;0)),IF(D451=0,C451,C451*(1-ABS(D451)/(ABS(D451)+ABS(D450)))+C450*(1-ABS(D450)/(ABS(D451)+ABS(D450)))),"")))</f>
        <v>#NAME?</v>
      </c>
    </row>
    <row r="452" spans="2:5" x14ac:dyDescent="0.25">
      <c r="B452" t="e">
        <f t="shared" ca="1" si="15"/>
        <v>#NAME?</v>
      </c>
      <c r="C452">
        <v>409</v>
      </c>
      <c r="D452" t="e">
        <f t="shared" ca="1" si="14"/>
        <v>#NAME?</v>
      </c>
      <c r="E452" s="115" t="e">
        <f t="array" aca="1" ref="E452" ca="1">IF(OR(C451=0,AND(B453=0,C453=0)),"",IFERROR(INDEX($F$27:$F$36,MATCH(C452,($F$27:$F$36)*($D$27:$D$36&lt;&gt;0),0)),IF(OR(AND(D452=0,B452=0,B453&lt;&gt;0),AND(D452*D451&lt;0,B452&lt;&gt;0)),IF(D452=0,C452,C452*(1-ABS(D452)/(ABS(D452)+ABS(D451)))+C451*(1-ABS(D451)/(ABS(D452)+ABS(D451)))),"")))</f>
        <v>#NAME?</v>
      </c>
    </row>
    <row r="453" spans="2:5" x14ac:dyDescent="0.25">
      <c r="B453" t="e">
        <f t="shared" ca="1" si="15"/>
        <v>#NAME?</v>
      </c>
      <c r="C453">
        <v>410</v>
      </c>
      <c r="D453" t="e">
        <f t="shared" ca="1" si="14"/>
        <v>#NAME?</v>
      </c>
      <c r="E453" s="115" t="e">
        <f t="array" aca="1" ref="E453" ca="1">IF(OR(C452=0,AND(B454=0,C454=0)),"",IFERROR(INDEX($F$27:$F$36,MATCH(C453,($F$27:$F$36)*($D$27:$D$36&lt;&gt;0),0)),IF(OR(AND(D453=0,B453=0,B454&lt;&gt;0),AND(D453*D452&lt;0,B453&lt;&gt;0)),IF(D453=0,C453,C453*(1-ABS(D453)/(ABS(D453)+ABS(D452)))+C452*(1-ABS(D452)/(ABS(D453)+ABS(D452)))),"")))</f>
        <v>#NAME?</v>
      </c>
    </row>
    <row r="454" spans="2:5" x14ac:dyDescent="0.25">
      <c r="B454" t="e">
        <f t="shared" ca="1" si="15"/>
        <v>#NAME?</v>
      </c>
      <c r="C454">
        <v>411</v>
      </c>
      <c r="D454" t="e">
        <f t="shared" ca="1" si="14"/>
        <v>#NAME?</v>
      </c>
      <c r="E454" s="115" t="e">
        <f t="array" aca="1" ref="E454" ca="1">IF(OR(C453=0,AND(B455=0,C455=0)),"",IFERROR(INDEX($F$27:$F$36,MATCH(C454,($F$27:$F$36)*($D$27:$D$36&lt;&gt;0),0)),IF(OR(AND(D454=0,B454=0,B455&lt;&gt;0),AND(D454*D453&lt;0,B454&lt;&gt;0)),IF(D454=0,C454,C454*(1-ABS(D454)/(ABS(D454)+ABS(D453)))+C453*(1-ABS(D453)/(ABS(D454)+ABS(D453)))),"")))</f>
        <v>#NAME?</v>
      </c>
    </row>
    <row r="455" spans="2:5" x14ac:dyDescent="0.25">
      <c r="B455" t="e">
        <f t="shared" ca="1" si="15"/>
        <v>#NAME?</v>
      </c>
      <c r="C455">
        <v>412</v>
      </c>
      <c r="D455" t="e">
        <f t="shared" ca="1" si="14"/>
        <v>#NAME?</v>
      </c>
      <c r="E455" s="115" t="e">
        <f t="array" aca="1" ref="E455" ca="1">IF(OR(C454=0,AND(B456=0,C456=0)),"",IFERROR(INDEX($F$27:$F$36,MATCH(C455,($F$27:$F$36)*($D$27:$D$36&lt;&gt;0),0)),IF(OR(AND(D455=0,B455=0,B456&lt;&gt;0),AND(D455*D454&lt;0,B455&lt;&gt;0)),IF(D455=0,C455,C455*(1-ABS(D455)/(ABS(D455)+ABS(D454)))+C454*(1-ABS(D454)/(ABS(D455)+ABS(D454)))),"")))</f>
        <v>#NAME?</v>
      </c>
    </row>
    <row r="456" spans="2:5" x14ac:dyDescent="0.25">
      <c r="B456" t="e">
        <f t="shared" ca="1" si="15"/>
        <v>#NAME?</v>
      </c>
      <c r="C456">
        <v>413</v>
      </c>
      <c r="D456" t="e">
        <f t="shared" ca="1" si="14"/>
        <v>#NAME?</v>
      </c>
      <c r="E456" s="115" t="e">
        <f t="array" aca="1" ref="E456" ca="1">IF(OR(C455=0,AND(B457=0,C457=0)),"",IFERROR(INDEX($F$27:$F$36,MATCH(C456,($F$27:$F$36)*($D$27:$D$36&lt;&gt;0),0)),IF(OR(AND(D456=0,B456=0,B457&lt;&gt;0),AND(D456*D455&lt;0,B456&lt;&gt;0)),IF(D456=0,C456,C456*(1-ABS(D456)/(ABS(D456)+ABS(D455)))+C455*(1-ABS(D455)/(ABS(D456)+ABS(D455)))),"")))</f>
        <v>#NAME?</v>
      </c>
    </row>
    <row r="457" spans="2:5" x14ac:dyDescent="0.25">
      <c r="B457" t="e">
        <f t="shared" ca="1" si="15"/>
        <v>#NAME?</v>
      </c>
      <c r="C457">
        <v>414</v>
      </c>
      <c r="D457" t="e">
        <f t="shared" ca="1" si="14"/>
        <v>#NAME?</v>
      </c>
      <c r="E457" s="115" t="e">
        <f t="array" aca="1" ref="E457" ca="1">IF(OR(C456=0,AND(B458=0,C458=0)),"",IFERROR(INDEX($F$27:$F$36,MATCH(C457,($F$27:$F$36)*($D$27:$D$36&lt;&gt;0),0)),IF(OR(AND(D457=0,B457=0,B458&lt;&gt;0),AND(D457*D456&lt;0,B457&lt;&gt;0)),IF(D457=0,C457,C457*(1-ABS(D457)/(ABS(D457)+ABS(D456)))+C456*(1-ABS(D456)/(ABS(D457)+ABS(D456)))),"")))</f>
        <v>#NAME?</v>
      </c>
    </row>
    <row r="458" spans="2:5" x14ac:dyDescent="0.25">
      <c r="B458" t="e">
        <f t="shared" ca="1" si="15"/>
        <v>#NAME?</v>
      </c>
      <c r="C458">
        <v>415</v>
      </c>
      <c r="D458" t="e">
        <f t="shared" ca="1" si="14"/>
        <v>#NAME?</v>
      </c>
      <c r="E458" s="115" t="e">
        <f t="array" aca="1" ref="E458" ca="1">IF(OR(C457=0,AND(B459=0,C459=0)),"",IFERROR(INDEX($F$27:$F$36,MATCH(C458,($F$27:$F$36)*($D$27:$D$36&lt;&gt;0),0)),IF(OR(AND(D458=0,B458=0,B459&lt;&gt;0),AND(D458*D457&lt;0,B458&lt;&gt;0)),IF(D458=0,C458,C458*(1-ABS(D458)/(ABS(D458)+ABS(D457)))+C457*(1-ABS(D457)/(ABS(D458)+ABS(D457)))),"")))</f>
        <v>#NAME?</v>
      </c>
    </row>
    <row r="459" spans="2:5" x14ac:dyDescent="0.25">
      <c r="B459" t="e">
        <f t="shared" ca="1" si="15"/>
        <v>#NAME?</v>
      </c>
      <c r="C459">
        <v>416</v>
      </c>
      <c r="D459" t="e">
        <f t="shared" ca="1" si="14"/>
        <v>#NAME?</v>
      </c>
      <c r="E459" s="115" t="e">
        <f t="array" aca="1" ref="E459" ca="1">IF(OR(C458=0,AND(B460=0,C460=0)),"",IFERROR(INDEX($F$27:$F$36,MATCH(C459,($F$27:$F$36)*($D$27:$D$36&lt;&gt;0),0)),IF(OR(AND(D459=0,B459=0,B460&lt;&gt;0),AND(D459*D458&lt;0,B459&lt;&gt;0)),IF(D459=0,C459,C459*(1-ABS(D459)/(ABS(D459)+ABS(D458)))+C458*(1-ABS(D458)/(ABS(D459)+ABS(D458)))),"")))</f>
        <v>#NAME?</v>
      </c>
    </row>
    <row r="460" spans="2:5" x14ac:dyDescent="0.25">
      <c r="B460" t="e">
        <f t="shared" ca="1" si="15"/>
        <v>#NAME?</v>
      </c>
      <c r="C460">
        <v>417</v>
      </c>
      <c r="D460" t="e">
        <f t="shared" ca="1" si="14"/>
        <v>#NAME?</v>
      </c>
      <c r="E460" s="115" t="e">
        <f t="array" aca="1" ref="E460" ca="1">IF(OR(C459=0,AND(B461=0,C461=0)),"",IFERROR(INDEX($F$27:$F$36,MATCH(C460,($F$27:$F$36)*($D$27:$D$36&lt;&gt;0),0)),IF(OR(AND(D460=0,B460=0,B461&lt;&gt;0),AND(D460*D459&lt;0,B460&lt;&gt;0)),IF(D460=0,C460,C460*(1-ABS(D460)/(ABS(D460)+ABS(D459)))+C459*(1-ABS(D459)/(ABS(D460)+ABS(D459)))),"")))</f>
        <v>#NAME?</v>
      </c>
    </row>
    <row r="461" spans="2:5" x14ac:dyDescent="0.25">
      <c r="B461" t="e">
        <f t="shared" ca="1" si="15"/>
        <v>#NAME?</v>
      </c>
      <c r="C461">
        <v>418</v>
      </c>
      <c r="D461" t="e">
        <f t="shared" ca="1" si="14"/>
        <v>#NAME?</v>
      </c>
      <c r="E461" s="115" t="e">
        <f t="array" aca="1" ref="E461" ca="1">IF(OR(C460=0,AND(B462=0,C462=0)),"",IFERROR(INDEX($F$27:$F$36,MATCH(C461,($F$27:$F$36)*($D$27:$D$36&lt;&gt;0),0)),IF(OR(AND(D461=0,B461=0,B462&lt;&gt;0),AND(D461*D460&lt;0,B461&lt;&gt;0)),IF(D461=0,C461,C461*(1-ABS(D461)/(ABS(D461)+ABS(D460)))+C460*(1-ABS(D460)/(ABS(D461)+ABS(D460)))),"")))</f>
        <v>#NAME?</v>
      </c>
    </row>
    <row r="462" spans="2:5" x14ac:dyDescent="0.25">
      <c r="B462" t="e">
        <f t="shared" ca="1" si="15"/>
        <v>#NAME?</v>
      </c>
      <c r="C462">
        <v>419</v>
      </c>
      <c r="D462" t="e">
        <f t="shared" ca="1" si="14"/>
        <v>#NAME?</v>
      </c>
      <c r="E462" s="115" t="e">
        <f t="array" aca="1" ref="E462" ca="1">IF(OR(C461=0,AND(B463=0,C463=0)),"",IFERROR(INDEX($F$27:$F$36,MATCH(C462,($F$27:$F$36)*($D$27:$D$36&lt;&gt;0),0)),IF(OR(AND(D462=0,B462=0,B463&lt;&gt;0),AND(D462*D461&lt;0,B462&lt;&gt;0)),IF(D462=0,C462,C462*(1-ABS(D462)/(ABS(D462)+ABS(D461)))+C461*(1-ABS(D461)/(ABS(D462)+ABS(D461)))),"")))</f>
        <v>#NAME?</v>
      </c>
    </row>
    <row r="463" spans="2:5" x14ac:dyDescent="0.25">
      <c r="B463" t="e">
        <f t="shared" ca="1" si="15"/>
        <v>#NAME?</v>
      </c>
      <c r="C463">
        <v>420</v>
      </c>
      <c r="D463" t="e">
        <f t="shared" ca="1" si="14"/>
        <v>#NAME?</v>
      </c>
      <c r="E463" s="115" t="e">
        <f t="array" aca="1" ref="E463" ca="1">IF(OR(C462=0,AND(B464=0,C464=0)),"",IFERROR(INDEX($F$27:$F$36,MATCH(C463,($F$27:$F$36)*($D$27:$D$36&lt;&gt;0),0)),IF(OR(AND(D463=0,B463=0,B464&lt;&gt;0),AND(D463*D462&lt;0,B463&lt;&gt;0)),IF(D463=0,C463,C463*(1-ABS(D463)/(ABS(D463)+ABS(D462)))+C462*(1-ABS(D462)/(ABS(D463)+ABS(D462)))),"")))</f>
        <v>#NAME?</v>
      </c>
    </row>
    <row r="464" spans="2:5" x14ac:dyDescent="0.25">
      <c r="B464" t="e">
        <f t="shared" ca="1" si="15"/>
        <v>#NAME?</v>
      </c>
      <c r="C464">
        <v>421</v>
      </c>
      <c r="D464" t="e">
        <f t="shared" ca="1" si="14"/>
        <v>#NAME?</v>
      </c>
      <c r="E464" s="115" t="e">
        <f t="array" aca="1" ref="E464" ca="1">IF(OR(C463=0,AND(B465=0,C465=0)),"",IFERROR(INDEX($F$27:$F$36,MATCH(C464,($F$27:$F$36)*($D$27:$D$36&lt;&gt;0),0)),IF(OR(AND(D464=0,B464=0,B465&lt;&gt;0),AND(D464*D463&lt;0,B464&lt;&gt;0)),IF(D464=0,C464,C464*(1-ABS(D464)/(ABS(D464)+ABS(D463)))+C463*(1-ABS(D463)/(ABS(D464)+ABS(D463)))),"")))</f>
        <v>#NAME?</v>
      </c>
    </row>
    <row r="465" spans="2:5" x14ac:dyDescent="0.25">
      <c r="B465" t="e">
        <f t="shared" ca="1" si="15"/>
        <v>#NAME?</v>
      </c>
      <c r="C465">
        <v>422</v>
      </c>
      <c r="D465" t="e">
        <f t="shared" ca="1" si="14"/>
        <v>#NAME?</v>
      </c>
      <c r="E465" s="115" t="e">
        <f t="array" aca="1" ref="E465" ca="1">IF(OR(C464=0,AND(B466=0,C466=0)),"",IFERROR(INDEX($F$27:$F$36,MATCH(C465,($F$27:$F$36)*($D$27:$D$36&lt;&gt;0),0)),IF(OR(AND(D465=0,B465=0,B466&lt;&gt;0),AND(D465*D464&lt;0,B465&lt;&gt;0)),IF(D465=0,C465,C465*(1-ABS(D465)/(ABS(D465)+ABS(D464)))+C464*(1-ABS(D464)/(ABS(D465)+ABS(D464)))),"")))</f>
        <v>#NAME?</v>
      </c>
    </row>
    <row r="466" spans="2:5" x14ac:dyDescent="0.25">
      <c r="B466" t="e">
        <f t="shared" ca="1" si="15"/>
        <v>#NAME?</v>
      </c>
      <c r="C466">
        <v>423</v>
      </c>
      <c r="D466" t="e">
        <f t="shared" ca="1" si="14"/>
        <v>#NAME?</v>
      </c>
      <c r="E466" s="115" t="e">
        <f t="array" aca="1" ref="E466" ca="1">IF(OR(C465=0,AND(B467=0,C467=0)),"",IFERROR(INDEX($F$27:$F$36,MATCH(C466,($F$27:$F$36)*($D$27:$D$36&lt;&gt;0),0)),IF(OR(AND(D466=0,B466=0,B467&lt;&gt;0),AND(D466*D465&lt;0,B466&lt;&gt;0)),IF(D466=0,C466,C466*(1-ABS(D466)/(ABS(D466)+ABS(D465)))+C465*(1-ABS(D465)/(ABS(D466)+ABS(D465)))),"")))</f>
        <v>#NAME?</v>
      </c>
    </row>
    <row r="467" spans="2:5" x14ac:dyDescent="0.25">
      <c r="B467" t="e">
        <f t="shared" ca="1" si="15"/>
        <v>#NAME?</v>
      </c>
      <c r="C467">
        <v>424</v>
      </c>
      <c r="D467" t="e">
        <f t="shared" ca="1" si="14"/>
        <v>#NAME?</v>
      </c>
      <c r="E467" s="115" t="e">
        <f t="array" aca="1" ref="E467" ca="1">IF(OR(C466=0,AND(B468=0,C468=0)),"",IFERROR(INDEX($F$27:$F$36,MATCH(C467,($F$27:$F$36)*($D$27:$D$36&lt;&gt;0),0)),IF(OR(AND(D467=0,B467=0,B468&lt;&gt;0),AND(D467*D466&lt;0,B467&lt;&gt;0)),IF(D467=0,C467,C467*(1-ABS(D467)/(ABS(D467)+ABS(D466)))+C466*(1-ABS(D466)/(ABS(D467)+ABS(D466)))),"")))</f>
        <v>#NAME?</v>
      </c>
    </row>
    <row r="468" spans="2:5" x14ac:dyDescent="0.25">
      <c r="B468" t="e">
        <f t="shared" ca="1" si="15"/>
        <v>#NAME?</v>
      </c>
      <c r="C468">
        <v>425</v>
      </c>
      <c r="D468" t="e">
        <f t="shared" ca="1" si="14"/>
        <v>#NAME?</v>
      </c>
      <c r="E468" s="115" t="e">
        <f t="array" aca="1" ref="E468" ca="1">IF(OR(C467=0,AND(B469=0,C469=0)),"",IFERROR(INDEX($F$27:$F$36,MATCH(C468,($F$27:$F$36)*($D$27:$D$36&lt;&gt;0),0)),IF(OR(AND(D468=0,B468=0,B469&lt;&gt;0),AND(D468*D467&lt;0,B468&lt;&gt;0)),IF(D468=0,C468,C468*(1-ABS(D468)/(ABS(D468)+ABS(D467)))+C467*(1-ABS(D467)/(ABS(D468)+ABS(D467)))),"")))</f>
        <v>#NAME?</v>
      </c>
    </row>
    <row r="469" spans="2:5" x14ac:dyDescent="0.25">
      <c r="B469" t="e">
        <f t="shared" ca="1" si="15"/>
        <v>#NAME?</v>
      </c>
      <c r="C469">
        <v>426</v>
      </c>
      <c r="D469" t="e">
        <f t="shared" ca="1" si="14"/>
        <v>#NAME?</v>
      </c>
      <c r="E469" s="115" t="e">
        <f t="array" aca="1" ref="E469" ca="1">IF(OR(C468=0,AND(B470=0,C470=0)),"",IFERROR(INDEX($F$27:$F$36,MATCH(C469,($F$27:$F$36)*($D$27:$D$36&lt;&gt;0),0)),IF(OR(AND(D469=0,B469=0,B470&lt;&gt;0),AND(D469*D468&lt;0,B469&lt;&gt;0)),IF(D469=0,C469,C469*(1-ABS(D469)/(ABS(D469)+ABS(D468)))+C468*(1-ABS(D468)/(ABS(D469)+ABS(D468)))),"")))</f>
        <v>#NAME?</v>
      </c>
    </row>
    <row r="470" spans="2:5" x14ac:dyDescent="0.25">
      <c r="B470" t="e">
        <f t="shared" ca="1" si="15"/>
        <v>#NAME?</v>
      </c>
      <c r="C470">
        <v>427</v>
      </c>
      <c r="D470" t="e">
        <f t="shared" ca="1" si="14"/>
        <v>#NAME?</v>
      </c>
      <c r="E470" s="115" t="e">
        <f t="array" aca="1" ref="E470" ca="1">IF(OR(C469=0,AND(B471=0,C471=0)),"",IFERROR(INDEX($F$27:$F$36,MATCH(C470,($F$27:$F$36)*($D$27:$D$36&lt;&gt;0),0)),IF(OR(AND(D470=0,B470=0,B471&lt;&gt;0),AND(D470*D469&lt;0,B470&lt;&gt;0)),IF(D470=0,C470,C470*(1-ABS(D470)/(ABS(D470)+ABS(D469)))+C469*(1-ABS(D469)/(ABS(D470)+ABS(D469)))),"")))</f>
        <v>#NAME?</v>
      </c>
    </row>
    <row r="471" spans="2:5" x14ac:dyDescent="0.25">
      <c r="B471" t="e">
        <f t="shared" ca="1" si="15"/>
        <v>#NAME?</v>
      </c>
      <c r="C471">
        <v>428</v>
      </c>
      <c r="D471" t="e">
        <f t="shared" ca="1" si="14"/>
        <v>#NAME?</v>
      </c>
      <c r="E471" s="115" t="e">
        <f t="array" aca="1" ref="E471" ca="1">IF(OR(C470=0,AND(B472=0,C472=0)),"",IFERROR(INDEX($F$27:$F$36,MATCH(C471,($F$27:$F$36)*($D$27:$D$36&lt;&gt;0),0)),IF(OR(AND(D471=0,B471=0,B472&lt;&gt;0),AND(D471*D470&lt;0,B471&lt;&gt;0)),IF(D471=0,C471,C471*(1-ABS(D471)/(ABS(D471)+ABS(D470)))+C470*(1-ABS(D470)/(ABS(D471)+ABS(D470)))),"")))</f>
        <v>#NAME?</v>
      </c>
    </row>
    <row r="472" spans="2:5" x14ac:dyDescent="0.25">
      <c r="B472" t="e">
        <f t="shared" ca="1" si="15"/>
        <v>#NAME?</v>
      </c>
      <c r="C472">
        <v>429</v>
      </c>
      <c r="D472" t="e">
        <f t="shared" ca="1" si="14"/>
        <v>#NAME?</v>
      </c>
      <c r="E472" s="115" t="e">
        <f t="array" aca="1" ref="E472" ca="1">IF(OR(C471=0,AND(B473=0,C473=0)),"",IFERROR(INDEX($F$27:$F$36,MATCH(C472,($F$27:$F$36)*($D$27:$D$36&lt;&gt;0),0)),IF(OR(AND(D472=0,B472=0,B473&lt;&gt;0),AND(D472*D471&lt;0,B472&lt;&gt;0)),IF(D472=0,C472,C472*(1-ABS(D472)/(ABS(D472)+ABS(D471)))+C471*(1-ABS(D471)/(ABS(D472)+ABS(D471)))),"")))</f>
        <v>#NAME?</v>
      </c>
    </row>
    <row r="473" spans="2:5" x14ac:dyDescent="0.25">
      <c r="B473" t="e">
        <f t="shared" ca="1" si="15"/>
        <v>#NAME?</v>
      </c>
      <c r="C473">
        <v>430</v>
      </c>
      <c r="D473" t="e">
        <f t="shared" ca="1" si="14"/>
        <v>#NAME?</v>
      </c>
      <c r="E473" s="115" t="e">
        <f t="array" aca="1" ref="E473" ca="1">IF(OR(C472=0,AND(B474=0,C474=0)),"",IFERROR(INDEX($F$27:$F$36,MATCH(C473,($F$27:$F$36)*($D$27:$D$36&lt;&gt;0),0)),IF(OR(AND(D473=0,B473=0,B474&lt;&gt;0),AND(D473*D472&lt;0,B473&lt;&gt;0)),IF(D473=0,C473,C473*(1-ABS(D473)/(ABS(D473)+ABS(D472)))+C472*(1-ABS(D472)/(ABS(D473)+ABS(D472)))),"")))</f>
        <v>#NAME?</v>
      </c>
    </row>
    <row r="474" spans="2:5" x14ac:dyDescent="0.25">
      <c r="B474" t="e">
        <f t="shared" ca="1" si="15"/>
        <v>#NAME?</v>
      </c>
      <c r="C474">
        <v>431</v>
      </c>
      <c r="D474" t="e">
        <f t="shared" ca="1" si="14"/>
        <v>#NAME?</v>
      </c>
      <c r="E474" s="115" t="e">
        <f t="array" aca="1" ref="E474" ca="1">IF(OR(C473=0,AND(B475=0,C475=0)),"",IFERROR(INDEX($F$27:$F$36,MATCH(C474,($F$27:$F$36)*($D$27:$D$36&lt;&gt;0),0)),IF(OR(AND(D474=0,B474=0,B475&lt;&gt;0),AND(D474*D473&lt;0,B474&lt;&gt;0)),IF(D474=0,C474,C474*(1-ABS(D474)/(ABS(D474)+ABS(D473)))+C473*(1-ABS(D473)/(ABS(D474)+ABS(D473)))),"")))</f>
        <v>#NAME?</v>
      </c>
    </row>
    <row r="475" spans="2:5" x14ac:dyDescent="0.25">
      <c r="B475" t="e">
        <f t="shared" ca="1" si="15"/>
        <v>#NAME?</v>
      </c>
      <c r="C475">
        <v>432</v>
      </c>
      <c r="D475" t="e">
        <f t="shared" ca="1" si="14"/>
        <v>#NAME?</v>
      </c>
      <c r="E475" s="115" t="e">
        <f t="array" aca="1" ref="E475" ca="1">IF(OR(C474=0,AND(B476=0,C476=0)),"",IFERROR(INDEX($F$27:$F$36,MATCH(C475,($F$27:$F$36)*($D$27:$D$36&lt;&gt;0),0)),IF(OR(AND(D475=0,B475=0,B476&lt;&gt;0),AND(D475*D474&lt;0,B475&lt;&gt;0)),IF(D475=0,C475,C475*(1-ABS(D475)/(ABS(D475)+ABS(D474)))+C474*(1-ABS(D474)/(ABS(D475)+ABS(D474)))),"")))</f>
        <v>#NAME?</v>
      </c>
    </row>
    <row r="476" spans="2:5" x14ac:dyDescent="0.25">
      <c r="B476" t="e">
        <f t="shared" ca="1" si="15"/>
        <v>#NAME?</v>
      </c>
      <c r="C476">
        <v>433</v>
      </c>
      <c r="D476" t="e">
        <f t="shared" ca="1" si="14"/>
        <v>#NAME?</v>
      </c>
      <c r="E476" s="115" t="e">
        <f t="array" aca="1" ref="E476" ca="1">IF(OR(C475=0,AND(B477=0,C477=0)),"",IFERROR(INDEX($F$27:$F$36,MATCH(C476,($F$27:$F$36)*($D$27:$D$36&lt;&gt;0),0)),IF(OR(AND(D476=0,B476=0,B477&lt;&gt;0),AND(D476*D475&lt;0,B476&lt;&gt;0)),IF(D476=0,C476,C476*(1-ABS(D476)/(ABS(D476)+ABS(D475)))+C475*(1-ABS(D475)/(ABS(D476)+ABS(D475)))),"")))</f>
        <v>#NAME?</v>
      </c>
    </row>
    <row r="477" spans="2:5" x14ac:dyDescent="0.25">
      <c r="B477" t="e">
        <f t="shared" ca="1" si="15"/>
        <v>#NAME?</v>
      </c>
      <c r="C477">
        <v>434</v>
      </c>
      <c r="D477" t="e">
        <f t="shared" ca="1" si="14"/>
        <v>#NAME?</v>
      </c>
      <c r="E477" s="115" t="e">
        <f t="array" aca="1" ref="E477" ca="1">IF(OR(C476=0,AND(B478=0,C478=0)),"",IFERROR(INDEX($F$27:$F$36,MATCH(C477,($F$27:$F$36)*($D$27:$D$36&lt;&gt;0),0)),IF(OR(AND(D477=0,B477=0,B478&lt;&gt;0),AND(D477*D476&lt;0,B477&lt;&gt;0)),IF(D477=0,C477,C477*(1-ABS(D477)/(ABS(D477)+ABS(D476)))+C476*(1-ABS(D476)/(ABS(D477)+ABS(D476)))),"")))</f>
        <v>#NAME?</v>
      </c>
    </row>
    <row r="478" spans="2:5" x14ac:dyDescent="0.25">
      <c r="B478" t="e">
        <f t="shared" ca="1" si="15"/>
        <v>#NAME?</v>
      </c>
      <c r="C478">
        <v>435</v>
      </c>
      <c r="D478" t="e">
        <f t="shared" ca="1" si="14"/>
        <v>#NAME?</v>
      </c>
      <c r="E478" s="115" t="e">
        <f t="array" aca="1" ref="E478" ca="1">IF(OR(C477=0,AND(B479=0,C479=0)),"",IFERROR(INDEX($F$27:$F$36,MATCH(C478,($F$27:$F$36)*($D$27:$D$36&lt;&gt;0),0)),IF(OR(AND(D478=0,B478=0,B479&lt;&gt;0),AND(D478*D477&lt;0,B478&lt;&gt;0)),IF(D478=0,C478,C478*(1-ABS(D478)/(ABS(D478)+ABS(D477)))+C477*(1-ABS(D477)/(ABS(D478)+ABS(D477)))),"")))</f>
        <v>#NAME?</v>
      </c>
    </row>
    <row r="479" spans="2:5" x14ac:dyDescent="0.25">
      <c r="B479" t="e">
        <f t="shared" ca="1" si="15"/>
        <v>#NAME?</v>
      </c>
      <c r="C479">
        <v>436</v>
      </c>
      <c r="D479" t="e">
        <f t="shared" ca="1" si="14"/>
        <v>#NAME?</v>
      </c>
      <c r="E479" s="115" t="e">
        <f t="array" aca="1" ref="E479" ca="1">IF(OR(C478=0,AND(B480=0,C480=0)),"",IFERROR(INDEX($F$27:$F$36,MATCH(C479,($F$27:$F$36)*($D$27:$D$36&lt;&gt;0),0)),IF(OR(AND(D479=0,B479=0,B480&lt;&gt;0),AND(D479*D478&lt;0,B479&lt;&gt;0)),IF(D479=0,C479,C479*(1-ABS(D479)/(ABS(D479)+ABS(D478)))+C478*(1-ABS(D478)/(ABS(D479)+ABS(D478)))),"")))</f>
        <v>#NAME?</v>
      </c>
    </row>
    <row r="480" spans="2:5" x14ac:dyDescent="0.25">
      <c r="B480" t="e">
        <f t="shared" ca="1" si="15"/>
        <v>#NAME?</v>
      </c>
      <c r="C480">
        <v>437</v>
      </c>
      <c r="D480" t="e">
        <f t="shared" ca="1" si="14"/>
        <v>#NAME?</v>
      </c>
      <c r="E480" s="115" t="e">
        <f t="array" aca="1" ref="E480" ca="1">IF(OR(C479=0,AND(B481=0,C481=0)),"",IFERROR(INDEX($F$27:$F$36,MATCH(C480,($F$27:$F$36)*($D$27:$D$36&lt;&gt;0),0)),IF(OR(AND(D480=0,B480=0,B481&lt;&gt;0),AND(D480*D479&lt;0,B480&lt;&gt;0)),IF(D480=0,C480,C480*(1-ABS(D480)/(ABS(D480)+ABS(D479)))+C479*(1-ABS(D479)/(ABS(D480)+ABS(D479)))),"")))</f>
        <v>#NAME?</v>
      </c>
    </row>
    <row r="481" spans="2:5" x14ac:dyDescent="0.25">
      <c r="B481" t="e">
        <f t="shared" ca="1" si="15"/>
        <v>#NAME?</v>
      </c>
      <c r="C481">
        <v>438</v>
      </c>
      <c r="D481" t="e">
        <f t="shared" ca="1" si="14"/>
        <v>#NAME?</v>
      </c>
      <c r="E481" s="115" t="e">
        <f t="array" aca="1" ref="E481" ca="1">IF(OR(C480=0,AND(B482=0,C482=0)),"",IFERROR(INDEX($F$27:$F$36,MATCH(C481,($F$27:$F$36)*($D$27:$D$36&lt;&gt;0),0)),IF(OR(AND(D481=0,B481=0,B482&lt;&gt;0),AND(D481*D480&lt;0,B481&lt;&gt;0)),IF(D481=0,C481,C481*(1-ABS(D481)/(ABS(D481)+ABS(D480)))+C480*(1-ABS(D480)/(ABS(D481)+ABS(D480)))),"")))</f>
        <v>#NAME?</v>
      </c>
    </row>
    <row r="482" spans="2:5" x14ac:dyDescent="0.25">
      <c r="B482" t="e">
        <f t="shared" ca="1" si="15"/>
        <v>#NAME?</v>
      </c>
      <c r="C482">
        <v>439</v>
      </c>
      <c r="D482" t="e">
        <f t="shared" ca="1" si="14"/>
        <v>#NAME?</v>
      </c>
      <c r="E482" s="115" t="e">
        <f t="array" aca="1" ref="E482" ca="1">IF(OR(C481=0,AND(B483=0,C483=0)),"",IFERROR(INDEX($F$27:$F$36,MATCH(C482,($F$27:$F$36)*($D$27:$D$36&lt;&gt;0),0)),IF(OR(AND(D482=0,B482=0,B483&lt;&gt;0),AND(D482*D481&lt;0,B482&lt;&gt;0)),IF(D482=0,C482,C482*(1-ABS(D482)/(ABS(D482)+ABS(D481)))+C481*(1-ABS(D481)/(ABS(D482)+ABS(D481)))),"")))</f>
        <v>#NAME?</v>
      </c>
    </row>
    <row r="483" spans="2:5" x14ac:dyDescent="0.25">
      <c r="B483" t="e">
        <f t="shared" ca="1" si="15"/>
        <v>#NAME?</v>
      </c>
      <c r="C483">
        <v>440</v>
      </c>
      <c r="D483" t="e">
        <f t="shared" ca="1" si="14"/>
        <v>#NAME?</v>
      </c>
      <c r="E483" s="115" t="e">
        <f t="array" aca="1" ref="E483" ca="1">IF(OR(C482=0,AND(B484=0,C484=0)),"",IFERROR(INDEX($F$27:$F$36,MATCH(C483,($F$27:$F$36)*($D$27:$D$36&lt;&gt;0),0)),IF(OR(AND(D483=0,B483=0,B484&lt;&gt;0),AND(D483*D482&lt;0,B483&lt;&gt;0)),IF(D483=0,C483,C483*(1-ABS(D483)/(ABS(D483)+ABS(D482)))+C482*(1-ABS(D482)/(ABS(D483)+ABS(D482)))),"")))</f>
        <v>#NAME?</v>
      </c>
    </row>
    <row r="484" spans="2:5" x14ac:dyDescent="0.25">
      <c r="B484" t="e">
        <f t="shared" ca="1" si="15"/>
        <v>#NAME?</v>
      </c>
      <c r="C484">
        <v>441</v>
      </c>
      <c r="D484" t="e">
        <f t="shared" ca="1" si="14"/>
        <v>#NAME?</v>
      </c>
      <c r="E484" s="115" t="e">
        <f t="array" aca="1" ref="E484" ca="1">IF(OR(C483=0,AND(B485=0,C485=0)),"",IFERROR(INDEX($F$27:$F$36,MATCH(C484,($F$27:$F$36)*($D$27:$D$36&lt;&gt;0),0)),IF(OR(AND(D484=0,B484=0,B485&lt;&gt;0),AND(D484*D483&lt;0,B484&lt;&gt;0)),IF(D484=0,C484,C484*(1-ABS(D484)/(ABS(D484)+ABS(D483)))+C483*(1-ABS(D483)/(ABS(D484)+ABS(D483)))),"")))</f>
        <v>#NAME?</v>
      </c>
    </row>
    <row r="485" spans="2:5" x14ac:dyDescent="0.25">
      <c r="B485" t="e">
        <f t="shared" ca="1" si="15"/>
        <v>#NAME?</v>
      </c>
      <c r="C485">
        <v>442</v>
      </c>
      <c r="D485" t="e">
        <f t="shared" ca="1" si="14"/>
        <v>#NAME?</v>
      </c>
      <c r="E485" s="115" t="e">
        <f t="array" aca="1" ref="E485" ca="1">IF(OR(C484=0,AND(B486=0,C486=0)),"",IFERROR(INDEX($F$27:$F$36,MATCH(C485,($F$27:$F$36)*($D$27:$D$36&lt;&gt;0),0)),IF(OR(AND(D485=0,B485=0,B486&lt;&gt;0),AND(D485*D484&lt;0,B485&lt;&gt;0)),IF(D485=0,C485,C485*(1-ABS(D485)/(ABS(D485)+ABS(D484)))+C484*(1-ABS(D484)/(ABS(D485)+ABS(D484)))),"")))</f>
        <v>#NAME?</v>
      </c>
    </row>
    <row r="486" spans="2:5" x14ac:dyDescent="0.25">
      <c r="B486" t="e">
        <f t="shared" ca="1" si="15"/>
        <v>#NAME?</v>
      </c>
      <c r="C486">
        <v>443</v>
      </c>
      <c r="D486" t="e">
        <f t="shared" ca="1" si="14"/>
        <v>#NAME?</v>
      </c>
      <c r="E486" s="115" t="e">
        <f t="array" aca="1" ref="E486" ca="1">IF(OR(C485=0,AND(B487=0,C487=0)),"",IFERROR(INDEX($F$27:$F$36,MATCH(C486,($F$27:$F$36)*($D$27:$D$36&lt;&gt;0),0)),IF(OR(AND(D486=0,B486=0,B487&lt;&gt;0),AND(D486*D485&lt;0,B486&lt;&gt;0)),IF(D486=0,C486,C486*(1-ABS(D486)/(ABS(D486)+ABS(D485)))+C485*(1-ABS(D485)/(ABS(D486)+ABS(D485)))),"")))</f>
        <v>#NAME?</v>
      </c>
    </row>
    <row r="487" spans="2:5" x14ac:dyDescent="0.25">
      <c r="B487" t="e">
        <f t="shared" ca="1" si="15"/>
        <v>#NAME?</v>
      </c>
      <c r="C487">
        <v>444</v>
      </c>
      <c r="D487" t="e">
        <f t="shared" ca="1" si="14"/>
        <v>#NAME?</v>
      </c>
      <c r="E487" s="115" t="e">
        <f t="array" aca="1" ref="E487" ca="1">IF(OR(C486=0,AND(B488=0,C488=0)),"",IFERROR(INDEX($F$27:$F$36,MATCH(C487,($F$27:$F$36)*($D$27:$D$36&lt;&gt;0),0)),IF(OR(AND(D487=0,B487=0,B488&lt;&gt;0),AND(D487*D486&lt;0,B487&lt;&gt;0)),IF(D487=0,C487,C487*(1-ABS(D487)/(ABS(D487)+ABS(D486)))+C486*(1-ABS(D486)/(ABS(D487)+ABS(D486)))),"")))</f>
        <v>#NAME?</v>
      </c>
    </row>
    <row r="488" spans="2:5" x14ac:dyDescent="0.25">
      <c r="B488" t="e">
        <f t="shared" ca="1" si="15"/>
        <v>#NAME?</v>
      </c>
      <c r="C488">
        <v>445</v>
      </c>
      <c r="D488" t="e">
        <f t="shared" ca="1" si="14"/>
        <v>#NAME?</v>
      </c>
      <c r="E488" s="115" t="e">
        <f t="array" aca="1" ref="E488" ca="1">IF(OR(C487=0,AND(B489=0,C489=0)),"",IFERROR(INDEX($F$27:$F$36,MATCH(C488,($F$27:$F$36)*($D$27:$D$36&lt;&gt;0),0)),IF(OR(AND(D488=0,B488=0,B489&lt;&gt;0),AND(D488*D487&lt;0,B488&lt;&gt;0)),IF(D488=0,C488,C488*(1-ABS(D488)/(ABS(D488)+ABS(D487)))+C487*(1-ABS(D487)/(ABS(D488)+ABS(D487)))),"")))</f>
        <v>#NAME?</v>
      </c>
    </row>
    <row r="489" spans="2:5" x14ac:dyDescent="0.25">
      <c r="B489" t="e">
        <f t="shared" ca="1" si="15"/>
        <v>#NAME?</v>
      </c>
      <c r="C489">
        <v>446</v>
      </c>
      <c r="D489" t="e">
        <f t="shared" ca="1" si="14"/>
        <v>#NAME?</v>
      </c>
      <c r="E489" s="115" t="e">
        <f t="array" aca="1" ref="E489" ca="1">IF(OR(C488=0,AND(B490=0,C490=0)),"",IFERROR(INDEX($F$27:$F$36,MATCH(C489,($F$27:$F$36)*($D$27:$D$36&lt;&gt;0),0)),IF(OR(AND(D489=0,B489=0,B490&lt;&gt;0),AND(D489*D488&lt;0,B489&lt;&gt;0)),IF(D489=0,C489,C489*(1-ABS(D489)/(ABS(D489)+ABS(D488)))+C488*(1-ABS(D488)/(ABS(D489)+ABS(D488)))),"")))</f>
        <v>#NAME?</v>
      </c>
    </row>
    <row r="490" spans="2:5" x14ac:dyDescent="0.25">
      <c r="B490" t="e">
        <f t="shared" ca="1" si="15"/>
        <v>#NAME?</v>
      </c>
      <c r="C490">
        <v>447</v>
      </c>
      <c r="D490" t="e">
        <f t="shared" ca="1" si="14"/>
        <v>#NAME?</v>
      </c>
      <c r="E490" s="115" t="e">
        <f t="array" aca="1" ref="E490" ca="1">IF(OR(C489=0,AND(B491=0,C491=0)),"",IFERROR(INDEX($F$27:$F$36,MATCH(C490,($F$27:$F$36)*($D$27:$D$36&lt;&gt;0),0)),IF(OR(AND(D490=0,B490=0,B491&lt;&gt;0),AND(D490*D489&lt;0,B490&lt;&gt;0)),IF(D490=0,C490,C490*(1-ABS(D490)/(ABS(D490)+ABS(D489)))+C489*(1-ABS(D489)/(ABS(D490)+ABS(D489)))),"")))</f>
        <v>#NAME?</v>
      </c>
    </row>
    <row r="491" spans="2:5" x14ac:dyDescent="0.25">
      <c r="B491" t="e">
        <f t="shared" ca="1" si="15"/>
        <v>#NAME?</v>
      </c>
      <c r="C491">
        <v>448</v>
      </c>
      <c r="D491" t="e">
        <f t="shared" ref="D491:D554" ca="1" si="16">SUMPRODUCT(--($J$27:$J$37&gt;0),--($C491-$F$27:$F$37&gt;0),($D$27:$D$37),($C491-$F$27:$F$37))+SUMPRODUCT(--($J$27:$J$37&lt;0),--($F$27:$F$37-$C491&gt;0),($D$27:$D$37),($F$27:$F$37-$C491))-SUMPRODUCT($D$27:$D$37,$E$27:$E$37)</f>
        <v>#NAME?</v>
      </c>
      <c r="E491" s="115" t="e">
        <f t="array" aca="1" ref="E491" ca="1">IF(OR(C490=0,AND(B492=0,C492=0)),"",IFERROR(INDEX($F$27:$F$36,MATCH(C491,($F$27:$F$36)*($D$27:$D$36&lt;&gt;0),0)),IF(OR(AND(D491=0,B491=0,B492&lt;&gt;0),AND(D491*D490&lt;0,B491&lt;&gt;0)),IF(D491=0,C491,C491*(1-ABS(D491)/(ABS(D491)+ABS(D490)))+C490*(1-ABS(D490)/(ABS(D491)+ABS(D490)))),"")))</f>
        <v>#NAME?</v>
      </c>
    </row>
    <row r="492" spans="2:5" x14ac:dyDescent="0.25">
      <c r="B492" t="e">
        <f t="shared" ref="B492:B555" ca="1" si="17">ROUND((D492-D491)/(C492-C491),12)</f>
        <v>#NAME?</v>
      </c>
      <c r="C492">
        <v>449</v>
      </c>
      <c r="D492" t="e">
        <f t="shared" ca="1" si="16"/>
        <v>#NAME?</v>
      </c>
      <c r="E492" s="115" t="e">
        <f t="array" aca="1" ref="E492" ca="1">IF(OR(C491=0,AND(B493=0,C493=0)),"",IFERROR(INDEX($F$27:$F$36,MATCH(C492,($F$27:$F$36)*($D$27:$D$36&lt;&gt;0),0)),IF(OR(AND(D492=0,B492=0,B493&lt;&gt;0),AND(D492*D491&lt;0,B492&lt;&gt;0)),IF(D492=0,C492,C492*(1-ABS(D492)/(ABS(D492)+ABS(D491)))+C491*(1-ABS(D491)/(ABS(D492)+ABS(D491)))),"")))</f>
        <v>#NAME?</v>
      </c>
    </row>
    <row r="493" spans="2:5" x14ac:dyDescent="0.25">
      <c r="B493" t="e">
        <f t="shared" ca="1" si="17"/>
        <v>#NAME?</v>
      </c>
      <c r="C493">
        <v>450</v>
      </c>
      <c r="D493" t="e">
        <f t="shared" ca="1" si="16"/>
        <v>#NAME?</v>
      </c>
      <c r="E493" s="115" t="e">
        <f t="array" aca="1" ref="E493" ca="1">IF(OR(C492=0,AND(B494=0,C494=0)),"",IFERROR(INDEX($F$27:$F$36,MATCH(C493,($F$27:$F$36)*($D$27:$D$36&lt;&gt;0),0)),IF(OR(AND(D493=0,B493=0,B494&lt;&gt;0),AND(D493*D492&lt;0,B493&lt;&gt;0)),IF(D493=0,C493,C493*(1-ABS(D493)/(ABS(D493)+ABS(D492)))+C492*(1-ABS(D492)/(ABS(D493)+ABS(D492)))),"")))</f>
        <v>#NAME?</v>
      </c>
    </row>
    <row r="494" spans="2:5" x14ac:dyDescent="0.25">
      <c r="B494" t="e">
        <f t="shared" ca="1" si="17"/>
        <v>#NAME?</v>
      </c>
      <c r="C494">
        <v>451</v>
      </c>
      <c r="D494" t="e">
        <f t="shared" ca="1" si="16"/>
        <v>#NAME?</v>
      </c>
      <c r="E494" s="115" t="e">
        <f t="array" aca="1" ref="E494" ca="1">IF(OR(C493=0,AND(B495=0,C495=0)),"",IFERROR(INDEX($F$27:$F$36,MATCH(C494,($F$27:$F$36)*($D$27:$D$36&lt;&gt;0),0)),IF(OR(AND(D494=0,B494=0,B495&lt;&gt;0),AND(D494*D493&lt;0,B494&lt;&gt;0)),IF(D494=0,C494,C494*(1-ABS(D494)/(ABS(D494)+ABS(D493)))+C493*(1-ABS(D493)/(ABS(D494)+ABS(D493)))),"")))</f>
        <v>#NAME?</v>
      </c>
    </row>
    <row r="495" spans="2:5" x14ac:dyDescent="0.25">
      <c r="B495" t="e">
        <f t="shared" ca="1" si="17"/>
        <v>#NAME?</v>
      </c>
      <c r="C495">
        <v>452</v>
      </c>
      <c r="D495" t="e">
        <f t="shared" ca="1" si="16"/>
        <v>#NAME?</v>
      </c>
      <c r="E495" s="115" t="e">
        <f t="array" aca="1" ref="E495" ca="1">IF(OR(C494=0,AND(B496=0,C496=0)),"",IFERROR(INDEX($F$27:$F$36,MATCH(C495,($F$27:$F$36)*($D$27:$D$36&lt;&gt;0),0)),IF(OR(AND(D495=0,B495=0,B496&lt;&gt;0),AND(D495*D494&lt;0,B495&lt;&gt;0)),IF(D495=0,C495,C495*(1-ABS(D495)/(ABS(D495)+ABS(D494)))+C494*(1-ABS(D494)/(ABS(D495)+ABS(D494)))),"")))</f>
        <v>#NAME?</v>
      </c>
    </row>
    <row r="496" spans="2:5" x14ac:dyDescent="0.25">
      <c r="B496" t="e">
        <f t="shared" ca="1" si="17"/>
        <v>#NAME?</v>
      </c>
      <c r="C496">
        <v>453</v>
      </c>
      <c r="D496" t="e">
        <f t="shared" ca="1" si="16"/>
        <v>#NAME?</v>
      </c>
      <c r="E496" s="115" t="e">
        <f t="array" aca="1" ref="E496" ca="1">IF(OR(C495=0,AND(B497=0,C497=0)),"",IFERROR(INDEX($F$27:$F$36,MATCH(C496,($F$27:$F$36)*($D$27:$D$36&lt;&gt;0),0)),IF(OR(AND(D496=0,B496=0,B497&lt;&gt;0),AND(D496*D495&lt;0,B496&lt;&gt;0)),IF(D496=0,C496,C496*(1-ABS(D496)/(ABS(D496)+ABS(D495)))+C495*(1-ABS(D495)/(ABS(D496)+ABS(D495)))),"")))</f>
        <v>#NAME?</v>
      </c>
    </row>
    <row r="497" spans="2:5" x14ac:dyDescent="0.25">
      <c r="B497" t="e">
        <f t="shared" ca="1" si="17"/>
        <v>#NAME?</v>
      </c>
      <c r="C497">
        <v>454</v>
      </c>
      <c r="D497" t="e">
        <f t="shared" ca="1" si="16"/>
        <v>#NAME?</v>
      </c>
      <c r="E497" s="115" t="e">
        <f t="array" aca="1" ref="E497" ca="1">IF(OR(C496=0,AND(B498=0,C498=0)),"",IFERROR(INDEX($F$27:$F$36,MATCH(C497,($F$27:$F$36)*($D$27:$D$36&lt;&gt;0),0)),IF(OR(AND(D497=0,B497=0,B498&lt;&gt;0),AND(D497*D496&lt;0,B497&lt;&gt;0)),IF(D497=0,C497,C497*(1-ABS(D497)/(ABS(D497)+ABS(D496)))+C496*(1-ABS(D496)/(ABS(D497)+ABS(D496)))),"")))</f>
        <v>#NAME?</v>
      </c>
    </row>
    <row r="498" spans="2:5" x14ac:dyDescent="0.25">
      <c r="B498" t="e">
        <f t="shared" ca="1" si="17"/>
        <v>#NAME?</v>
      </c>
      <c r="C498">
        <v>455</v>
      </c>
      <c r="D498" t="e">
        <f t="shared" ca="1" si="16"/>
        <v>#NAME?</v>
      </c>
      <c r="E498" s="115" t="e">
        <f t="array" aca="1" ref="E498" ca="1">IF(OR(C497=0,AND(B499=0,C499=0)),"",IFERROR(INDEX($F$27:$F$36,MATCH(C498,($F$27:$F$36)*($D$27:$D$36&lt;&gt;0),0)),IF(OR(AND(D498=0,B498=0,B499&lt;&gt;0),AND(D498*D497&lt;0,B498&lt;&gt;0)),IF(D498=0,C498,C498*(1-ABS(D498)/(ABS(D498)+ABS(D497)))+C497*(1-ABS(D497)/(ABS(D498)+ABS(D497)))),"")))</f>
        <v>#NAME?</v>
      </c>
    </row>
    <row r="499" spans="2:5" x14ac:dyDescent="0.25">
      <c r="B499" t="e">
        <f t="shared" ca="1" si="17"/>
        <v>#NAME?</v>
      </c>
      <c r="C499">
        <v>456</v>
      </c>
      <c r="D499" t="e">
        <f t="shared" ca="1" si="16"/>
        <v>#NAME?</v>
      </c>
      <c r="E499" s="115" t="e">
        <f t="array" aca="1" ref="E499" ca="1">IF(OR(C498=0,AND(B500=0,C500=0)),"",IFERROR(INDEX($F$27:$F$36,MATCH(C499,($F$27:$F$36)*($D$27:$D$36&lt;&gt;0),0)),IF(OR(AND(D499=0,B499=0,B500&lt;&gt;0),AND(D499*D498&lt;0,B499&lt;&gt;0)),IF(D499=0,C499,C499*(1-ABS(D499)/(ABS(D499)+ABS(D498)))+C498*(1-ABS(D498)/(ABS(D499)+ABS(D498)))),"")))</f>
        <v>#NAME?</v>
      </c>
    </row>
    <row r="500" spans="2:5" x14ac:dyDescent="0.25">
      <c r="B500" t="e">
        <f t="shared" ca="1" si="17"/>
        <v>#NAME?</v>
      </c>
      <c r="C500">
        <v>457</v>
      </c>
      <c r="D500" t="e">
        <f t="shared" ca="1" si="16"/>
        <v>#NAME?</v>
      </c>
      <c r="E500" s="115" t="e">
        <f t="array" aca="1" ref="E500" ca="1">IF(OR(C499=0,AND(B501=0,C501=0)),"",IFERROR(INDEX($F$27:$F$36,MATCH(C500,($F$27:$F$36)*($D$27:$D$36&lt;&gt;0),0)),IF(OR(AND(D500=0,B500=0,B501&lt;&gt;0),AND(D500*D499&lt;0,B500&lt;&gt;0)),IF(D500=0,C500,C500*(1-ABS(D500)/(ABS(D500)+ABS(D499)))+C499*(1-ABS(D499)/(ABS(D500)+ABS(D499)))),"")))</f>
        <v>#NAME?</v>
      </c>
    </row>
    <row r="501" spans="2:5" x14ac:dyDescent="0.25">
      <c r="B501" t="e">
        <f t="shared" ca="1" si="17"/>
        <v>#NAME?</v>
      </c>
      <c r="C501">
        <v>458</v>
      </c>
      <c r="D501" t="e">
        <f t="shared" ca="1" si="16"/>
        <v>#NAME?</v>
      </c>
      <c r="E501" s="115" t="e">
        <f t="array" aca="1" ref="E501" ca="1">IF(OR(C500=0,AND(B502=0,C502=0)),"",IFERROR(INDEX($F$27:$F$36,MATCH(C501,($F$27:$F$36)*($D$27:$D$36&lt;&gt;0),0)),IF(OR(AND(D501=0,B501=0,B502&lt;&gt;0),AND(D501*D500&lt;0,B501&lt;&gt;0)),IF(D501=0,C501,C501*(1-ABS(D501)/(ABS(D501)+ABS(D500)))+C500*(1-ABS(D500)/(ABS(D501)+ABS(D500)))),"")))</f>
        <v>#NAME?</v>
      </c>
    </row>
    <row r="502" spans="2:5" x14ac:dyDescent="0.25">
      <c r="B502" t="e">
        <f t="shared" ca="1" si="17"/>
        <v>#NAME?</v>
      </c>
      <c r="C502">
        <v>459</v>
      </c>
      <c r="D502" t="e">
        <f t="shared" ca="1" si="16"/>
        <v>#NAME?</v>
      </c>
      <c r="E502" s="115" t="e">
        <f t="array" aca="1" ref="E502" ca="1">IF(OR(C501=0,AND(B503=0,C503=0)),"",IFERROR(INDEX($F$27:$F$36,MATCH(C502,($F$27:$F$36)*($D$27:$D$36&lt;&gt;0),0)),IF(OR(AND(D502=0,B502=0,B503&lt;&gt;0),AND(D502*D501&lt;0,B502&lt;&gt;0)),IF(D502=0,C502,C502*(1-ABS(D502)/(ABS(D502)+ABS(D501)))+C501*(1-ABS(D501)/(ABS(D502)+ABS(D501)))),"")))</f>
        <v>#NAME?</v>
      </c>
    </row>
    <row r="503" spans="2:5" x14ac:dyDescent="0.25">
      <c r="B503" t="e">
        <f t="shared" ca="1" si="17"/>
        <v>#NAME?</v>
      </c>
      <c r="C503">
        <v>460</v>
      </c>
      <c r="D503" t="e">
        <f t="shared" ca="1" si="16"/>
        <v>#NAME?</v>
      </c>
      <c r="E503" s="115" t="e">
        <f t="array" aca="1" ref="E503" ca="1">IF(OR(C502=0,AND(B504=0,C504=0)),"",IFERROR(INDEX($F$27:$F$36,MATCH(C503,($F$27:$F$36)*($D$27:$D$36&lt;&gt;0),0)),IF(OR(AND(D503=0,B503=0,B504&lt;&gt;0),AND(D503*D502&lt;0,B503&lt;&gt;0)),IF(D503=0,C503,C503*(1-ABS(D503)/(ABS(D503)+ABS(D502)))+C502*(1-ABS(D502)/(ABS(D503)+ABS(D502)))),"")))</f>
        <v>#NAME?</v>
      </c>
    </row>
    <row r="504" spans="2:5" x14ac:dyDescent="0.25">
      <c r="B504" t="e">
        <f t="shared" ca="1" si="17"/>
        <v>#NAME?</v>
      </c>
      <c r="C504">
        <v>461</v>
      </c>
      <c r="D504" t="e">
        <f t="shared" ca="1" si="16"/>
        <v>#NAME?</v>
      </c>
      <c r="E504" s="115" t="e">
        <f t="array" aca="1" ref="E504" ca="1">IF(OR(C503=0,AND(B505=0,C505=0)),"",IFERROR(INDEX($F$27:$F$36,MATCH(C504,($F$27:$F$36)*($D$27:$D$36&lt;&gt;0),0)),IF(OR(AND(D504=0,B504=0,B505&lt;&gt;0),AND(D504*D503&lt;0,B504&lt;&gt;0)),IF(D504=0,C504,C504*(1-ABS(D504)/(ABS(D504)+ABS(D503)))+C503*(1-ABS(D503)/(ABS(D504)+ABS(D503)))),"")))</f>
        <v>#NAME?</v>
      </c>
    </row>
    <row r="505" spans="2:5" x14ac:dyDescent="0.25">
      <c r="B505" t="e">
        <f t="shared" ca="1" si="17"/>
        <v>#NAME?</v>
      </c>
      <c r="C505">
        <v>462</v>
      </c>
      <c r="D505" t="e">
        <f t="shared" ca="1" si="16"/>
        <v>#NAME?</v>
      </c>
      <c r="E505" s="115" t="e">
        <f t="array" aca="1" ref="E505" ca="1">IF(OR(C504=0,AND(B506=0,C506=0)),"",IFERROR(INDEX($F$27:$F$36,MATCH(C505,($F$27:$F$36)*($D$27:$D$36&lt;&gt;0),0)),IF(OR(AND(D505=0,B505=0,B506&lt;&gt;0),AND(D505*D504&lt;0,B505&lt;&gt;0)),IF(D505=0,C505,C505*(1-ABS(D505)/(ABS(D505)+ABS(D504)))+C504*(1-ABS(D504)/(ABS(D505)+ABS(D504)))),"")))</f>
        <v>#NAME?</v>
      </c>
    </row>
    <row r="506" spans="2:5" x14ac:dyDescent="0.25">
      <c r="B506" t="e">
        <f t="shared" ca="1" si="17"/>
        <v>#NAME?</v>
      </c>
      <c r="C506">
        <v>463</v>
      </c>
      <c r="D506" t="e">
        <f t="shared" ca="1" si="16"/>
        <v>#NAME?</v>
      </c>
      <c r="E506" s="115" t="e">
        <f t="array" aca="1" ref="E506" ca="1">IF(OR(C505=0,AND(B507=0,C507=0)),"",IFERROR(INDEX($F$27:$F$36,MATCH(C506,($F$27:$F$36)*($D$27:$D$36&lt;&gt;0),0)),IF(OR(AND(D506=0,B506=0,B507&lt;&gt;0),AND(D506*D505&lt;0,B506&lt;&gt;0)),IF(D506=0,C506,C506*(1-ABS(D506)/(ABS(D506)+ABS(D505)))+C505*(1-ABS(D505)/(ABS(D506)+ABS(D505)))),"")))</f>
        <v>#NAME?</v>
      </c>
    </row>
    <row r="507" spans="2:5" x14ac:dyDescent="0.25">
      <c r="B507" t="e">
        <f t="shared" ca="1" si="17"/>
        <v>#NAME?</v>
      </c>
      <c r="C507">
        <v>464</v>
      </c>
      <c r="D507" t="e">
        <f t="shared" ca="1" si="16"/>
        <v>#NAME?</v>
      </c>
      <c r="E507" s="115" t="e">
        <f t="array" aca="1" ref="E507" ca="1">IF(OR(C506=0,AND(B508=0,C508=0)),"",IFERROR(INDEX($F$27:$F$36,MATCH(C507,($F$27:$F$36)*($D$27:$D$36&lt;&gt;0),0)),IF(OR(AND(D507=0,B507=0,B508&lt;&gt;0),AND(D507*D506&lt;0,B507&lt;&gt;0)),IF(D507=0,C507,C507*(1-ABS(D507)/(ABS(D507)+ABS(D506)))+C506*(1-ABS(D506)/(ABS(D507)+ABS(D506)))),"")))</f>
        <v>#NAME?</v>
      </c>
    </row>
    <row r="508" spans="2:5" x14ac:dyDescent="0.25">
      <c r="B508" t="e">
        <f t="shared" ca="1" si="17"/>
        <v>#NAME?</v>
      </c>
      <c r="C508">
        <v>465</v>
      </c>
      <c r="D508" t="e">
        <f t="shared" ca="1" si="16"/>
        <v>#NAME?</v>
      </c>
      <c r="E508" s="115" t="e">
        <f t="array" aca="1" ref="E508" ca="1">IF(OR(C507=0,AND(B509=0,C509=0)),"",IFERROR(INDEX($F$27:$F$36,MATCH(C508,($F$27:$F$36)*($D$27:$D$36&lt;&gt;0),0)),IF(OR(AND(D508=0,B508=0,B509&lt;&gt;0),AND(D508*D507&lt;0,B508&lt;&gt;0)),IF(D508=0,C508,C508*(1-ABS(D508)/(ABS(D508)+ABS(D507)))+C507*(1-ABS(D507)/(ABS(D508)+ABS(D507)))),"")))</f>
        <v>#NAME?</v>
      </c>
    </row>
    <row r="509" spans="2:5" x14ac:dyDescent="0.25">
      <c r="B509" t="e">
        <f t="shared" ca="1" si="17"/>
        <v>#NAME?</v>
      </c>
      <c r="C509">
        <v>466</v>
      </c>
      <c r="D509" t="e">
        <f t="shared" ca="1" si="16"/>
        <v>#NAME?</v>
      </c>
      <c r="E509" s="115" t="e">
        <f t="array" aca="1" ref="E509" ca="1">IF(OR(C508=0,AND(B510=0,C510=0)),"",IFERROR(INDEX($F$27:$F$36,MATCH(C509,($F$27:$F$36)*($D$27:$D$36&lt;&gt;0),0)),IF(OR(AND(D509=0,B509=0,B510&lt;&gt;0),AND(D509*D508&lt;0,B509&lt;&gt;0)),IF(D509=0,C509,C509*(1-ABS(D509)/(ABS(D509)+ABS(D508)))+C508*(1-ABS(D508)/(ABS(D509)+ABS(D508)))),"")))</f>
        <v>#NAME?</v>
      </c>
    </row>
    <row r="510" spans="2:5" x14ac:dyDescent="0.25">
      <c r="B510" t="e">
        <f t="shared" ca="1" si="17"/>
        <v>#NAME?</v>
      </c>
      <c r="C510">
        <v>467</v>
      </c>
      <c r="D510" t="e">
        <f t="shared" ca="1" si="16"/>
        <v>#NAME?</v>
      </c>
      <c r="E510" s="115" t="e">
        <f t="array" aca="1" ref="E510" ca="1">IF(OR(C509=0,AND(B511=0,C511=0)),"",IFERROR(INDEX($F$27:$F$36,MATCH(C510,($F$27:$F$36)*($D$27:$D$36&lt;&gt;0),0)),IF(OR(AND(D510=0,B510=0,B511&lt;&gt;0),AND(D510*D509&lt;0,B510&lt;&gt;0)),IF(D510=0,C510,C510*(1-ABS(D510)/(ABS(D510)+ABS(D509)))+C509*(1-ABS(D509)/(ABS(D510)+ABS(D509)))),"")))</f>
        <v>#NAME?</v>
      </c>
    </row>
    <row r="511" spans="2:5" x14ac:dyDescent="0.25">
      <c r="B511" t="e">
        <f t="shared" ca="1" si="17"/>
        <v>#NAME?</v>
      </c>
      <c r="C511">
        <v>468</v>
      </c>
      <c r="D511" t="e">
        <f t="shared" ca="1" si="16"/>
        <v>#NAME?</v>
      </c>
      <c r="E511" s="115" t="e">
        <f t="array" aca="1" ref="E511" ca="1">IF(OR(C510=0,AND(B512=0,C512=0)),"",IFERROR(INDEX($F$27:$F$36,MATCH(C511,($F$27:$F$36)*($D$27:$D$36&lt;&gt;0),0)),IF(OR(AND(D511=0,B511=0,B512&lt;&gt;0),AND(D511*D510&lt;0,B511&lt;&gt;0)),IF(D511=0,C511,C511*(1-ABS(D511)/(ABS(D511)+ABS(D510)))+C510*(1-ABS(D510)/(ABS(D511)+ABS(D510)))),"")))</f>
        <v>#NAME?</v>
      </c>
    </row>
    <row r="512" spans="2:5" x14ac:dyDescent="0.25">
      <c r="B512" t="e">
        <f t="shared" ca="1" si="17"/>
        <v>#NAME?</v>
      </c>
      <c r="C512">
        <v>469</v>
      </c>
      <c r="D512" t="e">
        <f t="shared" ca="1" si="16"/>
        <v>#NAME?</v>
      </c>
      <c r="E512" s="115" t="e">
        <f t="array" aca="1" ref="E512" ca="1">IF(OR(C511=0,AND(B513=0,C513=0)),"",IFERROR(INDEX($F$27:$F$36,MATCH(C512,($F$27:$F$36)*($D$27:$D$36&lt;&gt;0),0)),IF(OR(AND(D512=0,B512=0,B513&lt;&gt;0),AND(D512*D511&lt;0,B512&lt;&gt;0)),IF(D512=0,C512,C512*(1-ABS(D512)/(ABS(D512)+ABS(D511)))+C511*(1-ABS(D511)/(ABS(D512)+ABS(D511)))),"")))</f>
        <v>#NAME?</v>
      </c>
    </row>
    <row r="513" spans="2:5" x14ac:dyDescent="0.25">
      <c r="B513" t="e">
        <f t="shared" ca="1" si="17"/>
        <v>#NAME?</v>
      </c>
      <c r="C513">
        <v>470</v>
      </c>
      <c r="D513" t="e">
        <f t="shared" ca="1" si="16"/>
        <v>#NAME?</v>
      </c>
      <c r="E513" s="115" t="e">
        <f t="array" aca="1" ref="E513" ca="1">IF(OR(C512=0,AND(B514=0,C514=0)),"",IFERROR(INDEX($F$27:$F$36,MATCH(C513,($F$27:$F$36)*($D$27:$D$36&lt;&gt;0),0)),IF(OR(AND(D513=0,B513=0,B514&lt;&gt;0),AND(D513*D512&lt;0,B513&lt;&gt;0)),IF(D513=0,C513,C513*(1-ABS(D513)/(ABS(D513)+ABS(D512)))+C512*(1-ABS(D512)/(ABS(D513)+ABS(D512)))),"")))</f>
        <v>#NAME?</v>
      </c>
    </row>
    <row r="514" spans="2:5" x14ac:dyDescent="0.25">
      <c r="B514" t="e">
        <f t="shared" ca="1" si="17"/>
        <v>#NAME?</v>
      </c>
      <c r="C514">
        <v>471</v>
      </c>
      <c r="D514" t="e">
        <f t="shared" ca="1" si="16"/>
        <v>#NAME?</v>
      </c>
      <c r="E514" s="115" t="e">
        <f t="array" aca="1" ref="E514" ca="1">IF(OR(C513=0,AND(B515=0,C515=0)),"",IFERROR(INDEX($F$27:$F$36,MATCH(C514,($F$27:$F$36)*($D$27:$D$36&lt;&gt;0),0)),IF(OR(AND(D514=0,B514=0,B515&lt;&gt;0),AND(D514*D513&lt;0,B514&lt;&gt;0)),IF(D514=0,C514,C514*(1-ABS(D514)/(ABS(D514)+ABS(D513)))+C513*(1-ABS(D513)/(ABS(D514)+ABS(D513)))),"")))</f>
        <v>#NAME?</v>
      </c>
    </row>
    <row r="515" spans="2:5" x14ac:dyDescent="0.25">
      <c r="B515" t="e">
        <f t="shared" ca="1" si="17"/>
        <v>#NAME?</v>
      </c>
      <c r="C515">
        <v>472</v>
      </c>
      <c r="D515" t="e">
        <f t="shared" ca="1" si="16"/>
        <v>#NAME?</v>
      </c>
      <c r="E515" s="115" t="e">
        <f t="array" aca="1" ref="E515" ca="1">IF(OR(C514=0,AND(B516=0,C516=0)),"",IFERROR(INDEX($F$27:$F$36,MATCH(C515,($F$27:$F$36)*($D$27:$D$36&lt;&gt;0),0)),IF(OR(AND(D515=0,B515=0,B516&lt;&gt;0),AND(D515*D514&lt;0,B515&lt;&gt;0)),IF(D515=0,C515,C515*(1-ABS(D515)/(ABS(D515)+ABS(D514)))+C514*(1-ABS(D514)/(ABS(D515)+ABS(D514)))),"")))</f>
        <v>#NAME?</v>
      </c>
    </row>
    <row r="516" spans="2:5" x14ac:dyDescent="0.25">
      <c r="B516" t="e">
        <f t="shared" ca="1" si="17"/>
        <v>#NAME?</v>
      </c>
      <c r="C516">
        <v>473</v>
      </c>
      <c r="D516" t="e">
        <f t="shared" ca="1" si="16"/>
        <v>#NAME?</v>
      </c>
      <c r="E516" s="115" t="e">
        <f t="array" aca="1" ref="E516" ca="1">IF(OR(C515=0,AND(B517=0,C517=0)),"",IFERROR(INDEX($F$27:$F$36,MATCH(C516,($F$27:$F$36)*($D$27:$D$36&lt;&gt;0),0)),IF(OR(AND(D516=0,B516=0,B517&lt;&gt;0),AND(D516*D515&lt;0,B516&lt;&gt;0)),IF(D516=0,C516,C516*(1-ABS(D516)/(ABS(D516)+ABS(D515)))+C515*(1-ABS(D515)/(ABS(D516)+ABS(D515)))),"")))</f>
        <v>#NAME?</v>
      </c>
    </row>
    <row r="517" spans="2:5" x14ac:dyDescent="0.25">
      <c r="B517" t="e">
        <f t="shared" ca="1" si="17"/>
        <v>#NAME?</v>
      </c>
      <c r="C517">
        <v>474</v>
      </c>
      <c r="D517" t="e">
        <f t="shared" ca="1" si="16"/>
        <v>#NAME?</v>
      </c>
      <c r="E517" s="115" t="e">
        <f t="array" aca="1" ref="E517" ca="1">IF(OR(C516=0,AND(B518=0,C518=0)),"",IFERROR(INDEX($F$27:$F$36,MATCH(C517,($F$27:$F$36)*($D$27:$D$36&lt;&gt;0),0)),IF(OR(AND(D517=0,B517=0,B518&lt;&gt;0),AND(D517*D516&lt;0,B517&lt;&gt;0)),IF(D517=0,C517,C517*(1-ABS(D517)/(ABS(D517)+ABS(D516)))+C516*(1-ABS(D516)/(ABS(D517)+ABS(D516)))),"")))</f>
        <v>#NAME?</v>
      </c>
    </row>
    <row r="518" spans="2:5" x14ac:dyDescent="0.25">
      <c r="B518" t="e">
        <f t="shared" ca="1" si="17"/>
        <v>#NAME?</v>
      </c>
      <c r="C518">
        <v>475</v>
      </c>
      <c r="D518" t="e">
        <f t="shared" ca="1" si="16"/>
        <v>#NAME?</v>
      </c>
      <c r="E518" s="115" t="e">
        <f t="array" aca="1" ref="E518" ca="1">IF(OR(C517=0,AND(B519=0,C519=0)),"",IFERROR(INDEX($F$27:$F$36,MATCH(C518,($F$27:$F$36)*($D$27:$D$36&lt;&gt;0),0)),IF(OR(AND(D518=0,B518=0,B519&lt;&gt;0),AND(D518*D517&lt;0,B518&lt;&gt;0)),IF(D518=0,C518,C518*(1-ABS(D518)/(ABS(D518)+ABS(D517)))+C517*(1-ABS(D517)/(ABS(D518)+ABS(D517)))),"")))</f>
        <v>#NAME?</v>
      </c>
    </row>
    <row r="519" spans="2:5" x14ac:dyDescent="0.25">
      <c r="B519" t="e">
        <f t="shared" ca="1" si="17"/>
        <v>#NAME?</v>
      </c>
      <c r="C519">
        <v>476</v>
      </c>
      <c r="D519" t="e">
        <f t="shared" ca="1" si="16"/>
        <v>#NAME?</v>
      </c>
      <c r="E519" s="115" t="e">
        <f t="array" aca="1" ref="E519" ca="1">IF(OR(C518=0,AND(B520=0,C520=0)),"",IFERROR(INDEX($F$27:$F$36,MATCH(C519,($F$27:$F$36)*($D$27:$D$36&lt;&gt;0),0)),IF(OR(AND(D519=0,B519=0,B520&lt;&gt;0),AND(D519*D518&lt;0,B519&lt;&gt;0)),IF(D519=0,C519,C519*(1-ABS(D519)/(ABS(D519)+ABS(D518)))+C518*(1-ABS(D518)/(ABS(D519)+ABS(D518)))),"")))</f>
        <v>#NAME?</v>
      </c>
    </row>
    <row r="520" spans="2:5" x14ac:dyDescent="0.25">
      <c r="B520" t="e">
        <f t="shared" ca="1" si="17"/>
        <v>#NAME?</v>
      </c>
      <c r="C520">
        <v>477</v>
      </c>
      <c r="D520" t="e">
        <f t="shared" ca="1" si="16"/>
        <v>#NAME?</v>
      </c>
      <c r="E520" s="115" t="e">
        <f t="array" aca="1" ref="E520" ca="1">IF(OR(C519=0,AND(B521=0,C521=0)),"",IFERROR(INDEX($F$27:$F$36,MATCH(C520,($F$27:$F$36)*($D$27:$D$36&lt;&gt;0),0)),IF(OR(AND(D520=0,B520=0,B521&lt;&gt;0),AND(D520*D519&lt;0,B520&lt;&gt;0)),IF(D520=0,C520,C520*(1-ABS(D520)/(ABS(D520)+ABS(D519)))+C519*(1-ABS(D519)/(ABS(D520)+ABS(D519)))),"")))</f>
        <v>#NAME?</v>
      </c>
    </row>
    <row r="521" spans="2:5" x14ac:dyDescent="0.25">
      <c r="B521" t="e">
        <f t="shared" ca="1" si="17"/>
        <v>#NAME?</v>
      </c>
      <c r="C521">
        <v>478</v>
      </c>
      <c r="D521" t="e">
        <f t="shared" ca="1" si="16"/>
        <v>#NAME?</v>
      </c>
      <c r="E521" s="115" t="e">
        <f t="array" aca="1" ref="E521" ca="1">IF(OR(C520=0,AND(B522=0,C522=0)),"",IFERROR(INDEX($F$27:$F$36,MATCH(C521,($F$27:$F$36)*($D$27:$D$36&lt;&gt;0),0)),IF(OR(AND(D521=0,B521=0,B522&lt;&gt;0),AND(D521*D520&lt;0,B521&lt;&gt;0)),IF(D521=0,C521,C521*(1-ABS(D521)/(ABS(D521)+ABS(D520)))+C520*(1-ABS(D520)/(ABS(D521)+ABS(D520)))),"")))</f>
        <v>#NAME?</v>
      </c>
    </row>
    <row r="522" spans="2:5" x14ac:dyDescent="0.25">
      <c r="B522" t="e">
        <f t="shared" ca="1" si="17"/>
        <v>#NAME?</v>
      </c>
      <c r="C522">
        <v>479</v>
      </c>
      <c r="D522" t="e">
        <f t="shared" ca="1" si="16"/>
        <v>#NAME?</v>
      </c>
      <c r="E522" s="115" t="e">
        <f t="array" aca="1" ref="E522" ca="1">IF(OR(C521=0,AND(B523=0,C523=0)),"",IFERROR(INDEX($F$27:$F$36,MATCH(C522,($F$27:$F$36)*($D$27:$D$36&lt;&gt;0),0)),IF(OR(AND(D522=0,B522=0,B523&lt;&gt;0),AND(D522*D521&lt;0,B522&lt;&gt;0)),IF(D522=0,C522,C522*(1-ABS(D522)/(ABS(D522)+ABS(D521)))+C521*(1-ABS(D521)/(ABS(D522)+ABS(D521)))),"")))</f>
        <v>#NAME?</v>
      </c>
    </row>
    <row r="523" spans="2:5" x14ac:dyDescent="0.25">
      <c r="B523" t="e">
        <f t="shared" ca="1" si="17"/>
        <v>#NAME?</v>
      </c>
      <c r="C523">
        <v>480</v>
      </c>
      <c r="D523" t="e">
        <f t="shared" ca="1" si="16"/>
        <v>#NAME?</v>
      </c>
      <c r="E523" s="115" t="e">
        <f t="array" aca="1" ref="E523" ca="1">IF(OR(C522=0,AND(B524=0,C524=0)),"",IFERROR(INDEX($F$27:$F$36,MATCH(C523,($F$27:$F$36)*($D$27:$D$36&lt;&gt;0),0)),IF(OR(AND(D523=0,B523=0,B524&lt;&gt;0),AND(D523*D522&lt;0,B523&lt;&gt;0)),IF(D523=0,C523,C523*(1-ABS(D523)/(ABS(D523)+ABS(D522)))+C522*(1-ABS(D522)/(ABS(D523)+ABS(D522)))),"")))</f>
        <v>#NAME?</v>
      </c>
    </row>
    <row r="524" spans="2:5" x14ac:dyDescent="0.25">
      <c r="B524" t="e">
        <f t="shared" ca="1" si="17"/>
        <v>#NAME?</v>
      </c>
      <c r="C524">
        <v>481</v>
      </c>
      <c r="D524" t="e">
        <f t="shared" ca="1" si="16"/>
        <v>#NAME?</v>
      </c>
      <c r="E524" s="115" t="e">
        <f t="array" aca="1" ref="E524" ca="1">IF(OR(C523=0,AND(B525=0,C525=0)),"",IFERROR(INDEX($F$27:$F$36,MATCH(C524,($F$27:$F$36)*($D$27:$D$36&lt;&gt;0),0)),IF(OR(AND(D524=0,B524=0,B525&lt;&gt;0),AND(D524*D523&lt;0,B524&lt;&gt;0)),IF(D524=0,C524,C524*(1-ABS(D524)/(ABS(D524)+ABS(D523)))+C523*(1-ABS(D523)/(ABS(D524)+ABS(D523)))),"")))</f>
        <v>#NAME?</v>
      </c>
    </row>
    <row r="525" spans="2:5" x14ac:dyDescent="0.25">
      <c r="B525" t="e">
        <f t="shared" ca="1" si="17"/>
        <v>#NAME?</v>
      </c>
      <c r="C525">
        <v>482</v>
      </c>
      <c r="D525" t="e">
        <f t="shared" ca="1" si="16"/>
        <v>#NAME?</v>
      </c>
      <c r="E525" s="115" t="e">
        <f t="array" aca="1" ref="E525" ca="1">IF(OR(C524=0,AND(B526=0,C526=0)),"",IFERROR(INDEX($F$27:$F$36,MATCH(C525,($F$27:$F$36)*($D$27:$D$36&lt;&gt;0),0)),IF(OR(AND(D525=0,B525=0,B526&lt;&gt;0),AND(D525*D524&lt;0,B525&lt;&gt;0)),IF(D525=0,C525,C525*(1-ABS(D525)/(ABS(D525)+ABS(D524)))+C524*(1-ABS(D524)/(ABS(D525)+ABS(D524)))),"")))</f>
        <v>#NAME?</v>
      </c>
    </row>
    <row r="526" spans="2:5" x14ac:dyDescent="0.25">
      <c r="B526" t="e">
        <f t="shared" ca="1" si="17"/>
        <v>#NAME?</v>
      </c>
      <c r="C526">
        <v>483</v>
      </c>
      <c r="D526" t="e">
        <f t="shared" ca="1" si="16"/>
        <v>#NAME?</v>
      </c>
      <c r="E526" s="115" t="e">
        <f t="array" aca="1" ref="E526" ca="1">IF(OR(C525=0,AND(B527=0,C527=0)),"",IFERROR(INDEX($F$27:$F$36,MATCH(C526,($F$27:$F$36)*($D$27:$D$36&lt;&gt;0),0)),IF(OR(AND(D526=0,B526=0,B527&lt;&gt;0),AND(D526*D525&lt;0,B526&lt;&gt;0)),IF(D526=0,C526,C526*(1-ABS(D526)/(ABS(D526)+ABS(D525)))+C525*(1-ABS(D525)/(ABS(D526)+ABS(D525)))),"")))</f>
        <v>#NAME?</v>
      </c>
    </row>
    <row r="527" spans="2:5" x14ac:dyDescent="0.25">
      <c r="B527" t="e">
        <f t="shared" ca="1" si="17"/>
        <v>#NAME?</v>
      </c>
      <c r="C527">
        <v>484</v>
      </c>
      <c r="D527" t="e">
        <f t="shared" ca="1" si="16"/>
        <v>#NAME?</v>
      </c>
      <c r="E527" s="115" t="e">
        <f t="array" aca="1" ref="E527" ca="1">IF(OR(C526=0,AND(B528=0,C528=0)),"",IFERROR(INDEX($F$27:$F$36,MATCH(C527,($F$27:$F$36)*($D$27:$D$36&lt;&gt;0),0)),IF(OR(AND(D527=0,B527=0,B528&lt;&gt;0),AND(D527*D526&lt;0,B527&lt;&gt;0)),IF(D527=0,C527,C527*(1-ABS(D527)/(ABS(D527)+ABS(D526)))+C526*(1-ABS(D526)/(ABS(D527)+ABS(D526)))),"")))</f>
        <v>#NAME?</v>
      </c>
    </row>
    <row r="528" spans="2:5" x14ac:dyDescent="0.25">
      <c r="B528" t="e">
        <f t="shared" ca="1" si="17"/>
        <v>#NAME?</v>
      </c>
      <c r="C528">
        <v>485</v>
      </c>
      <c r="D528" t="e">
        <f t="shared" ca="1" si="16"/>
        <v>#NAME?</v>
      </c>
      <c r="E528" s="115" t="e">
        <f t="array" aca="1" ref="E528" ca="1">IF(OR(C527=0,AND(B529=0,C529=0)),"",IFERROR(INDEX($F$27:$F$36,MATCH(C528,($F$27:$F$36)*($D$27:$D$36&lt;&gt;0),0)),IF(OR(AND(D528=0,B528=0,B529&lt;&gt;0),AND(D528*D527&lt;0,B528&lt;&gt;0)),IF(D528=0,C528,C528*(1-ABS(D528)/(ABS(D528)+ABS(D527)))+C527*(1-ABS(D527)/(ABS(D528)+ABS(D527)))),"")))</f>
        <v>#NAME?</v>
      </c>
    </row>
    <row r="529" spans="2:5" x14ac:dyDescent="0.25">
      <c r="B529" t="e">
        <f t="shared" ca="1" si="17"/>
        <v>#NAME?</v>
      </c>
      <c r="C529">
        <v>486</v>
      </c>
      <c r="D529" t="e">
        <f t="shared" ca="1" si="16"/>
        <v>#NAME?</v>
      </c>
      <c r="E529" s="115" t="e">
        <f t="array" aca="1" ref="E529" ca="1">IF(OR(C528=0,AND(B530=0,C530=0)),"",IFERROR(INDEX($F$27:$F$36,MATCH(C529,($F$27:$F$36)*($D$27:$D$36&lt;&gt;0),0)),IF(OR(AND(D529=0,B529=0,B530&lt;&gt;0),AND(D529*D528&lt;0,B529&lt;&gt;0)),IF(D529=0,C529,C529*(1-ABS(D529)/(ABS(D529)+ABS(D528)))+C528*(1-ABS(D528)/(ABS(D529)+ABS(D528)))),"")))</f>
        <v>#NAME?</v>
      </c>
    </row>
    <row r="530" spans="2:5" x14ac:dyDescent="0.25">
      <c r="B530" t="e">
        <f t="shared" ca="1" si="17"/>
        <v>#NAME?</v>
      </c>
      <c r="C530">
        <v>487</v>
      </c>
      <c r="D530" t="e">
        <f t="shared" ca="1" si="16"/>
        <v>#NAME?</v>
      </c>
      <c r="E530" s="115" t="e">
        <f t="array" aca="1" ref="E530" ca="1">IF(OR(C529=0,AND(B531=0,C531=0)),"",IFERROR(INDEX($F$27:$F$36,MATCH(C530,($F$27:$F$36)*($D$27:$D$36&lt;&gt;0),0)),IF(OR(AND(D530=0,B530=0,B531&lt;&gt;0),AND(D530*D529&lt;0,B530&lt;&gt;0)),IF(D530=0,C530,C530*(1-ABS(D530)/(ABS(D530)+ABS(D529)))+C529*(1-ABS(D529)/(ABS(D530)+ABS(D529)))),"")))</f>
        <v>#NAME?</v>
      </c>
    </row>
    <row r="531" spans="2:5" x14ac:dyDescent="0.25">
      <c r="B531" t="e">
        <f t="shared" ca="1" si="17"/>
        <v>#NAME?</v>
      </c>
      <c r="C531">
        <v>488</v>
      </c>
      <c r="D531" t="e">
        <f t="shared" ca="1" si="16"/>
        <v>#NAME?</v>
      </c>
      <c r="E531" s="115" t="e">
        <f t="array" aca="1" ref="E531" ca="1">IF(OR(C530=0,AND(B532=0,C532=0)),"",IFERROR(INDEX($F$27:$F$36,MATCH(C531,($F$27:$F$36)*($D$27:$D$36&lt;&gt;0),0)),IF(OR(AND(D531=0,B531=0,B532&lt;&gt;0),AND(D531*D530&lt;0,B531&lt;&gt;0)),IF(D531=0,C531,C531*(1-ABS(D531)/(ABS(D531)+ABS(D530)))+C530*(1-ABS(D530)/(ABS(D531)+ABS(D530)))),"")))</f>
        <v>#NAME?</v>
      </c>
    </row>
    <row r="532" spans="2:5" x14ac:dyDescent="0.25">
      <c r="B532" t="e">
        <f t="shared" ca="1" si="17"/>
        <v>#NAME?</v>
      </c>
      <c r="C532">
        <v>489</v>
      </c>
      <c r="D532" t="e">
        <f t="shared" ca="1" si="16"/>
        <v>#NAME?</v>
      </c>
      <c r="E532" s="115" t="e">
        <f t="array" aca="1" ref="E532" ca="1">IF(OR(C531=0,AND(B533=0,C533=0)),"",IFERROR(INDEX($F$27:$F$36,MATCH(C532,($F$27:$F$36)*($D$27:$D$36&lt;&gt;0),0)),IF(OR(AND(D532=0,B532=0,B533&lt;&gt;0),AND(D532*D531&lt;0,B532&lt;&gt;0)),IF(D532=0,C532,C532*(1-ABS(D532)/(ABS(D532)+ABS(D531)))+C531*(1-ABS(D531)/(ABS(D532)+ABS(D531)))),"")))</f>
        <v>#NAME?</v>
      </c>
    </row>
    <row r="533" spans="2:5" x14ac:dyDescent="0.25">
      <c r="B533" t="e">
        <f t="shared" ca="1" si="17"/>
        <v>#NAME?</v>
      </c>
      <c r="C533">
        <v>490</v>
      </c>
      <c r="D533" t="e">
        <f t="shared" ca="1" si="16"/>
        <v>#NAME?</v>
      </c>
      <c r="E533" s="115" t="e">
        <f t="array" aca="1" ref="E533" ca="1">IF(OR(C532=0,AND(B534=0,C534=0)),"",IFERROR(INDEX($F$27:$F$36,MATCH(C533,($F$27:$F$36)*($D$27:$D$36&lt;&gt;0),0)),IF(OR(AND(D533=0,B533=0,B534&lt;&gt;0),AND(D533*D532&lt;0,B533&lt;&gt;0)),IF(D533=0,C533,C533*(1-ABS(D533)/(ABS(D533)+ABS(D532)))+C532*(1-ABS(D532)/(ABS(D533)+ABS(D532)))),"")))</f>
        <v>#NAME?</v>
      </c>
    </row>
    <row r="534" spans="2:5" x14ac:dyDescent="0.25">
      <c r="B534" t="e">
        <f t="shared" ca="1" si="17"/>
        <v>#NAME?</v>
      </c>
      <c r="C534">
        <v>491</v>
      </c>
      <c r="D534" t="e">
        <f t="shared" ca="1" si="16"/>
        <v>#NAME?</v>
      </c>
      <c r="E534" s="115" t="e">
        <f t="array" aca="1" ref="E534" ca="1">IF(OR(C533=0,AND(B535=0,C535=0)),"",IFERROR(INDEX($F$27:$F$36,MATCH(C534,($F$27:$F$36)*($D$27:$D$36&lt;&gt;0),0)),IF(OR(AND(D534=0,B534=0,B535&lt;&gt;0),AND(D534*D533&lt;0,B534&lt;&gt;0)),IF(D534=0,C534,C534*(1-ABS(D534)/(ABS(D534)+ABS(D533)))+C533*(1-ABS(D533)/(ABS(D534)+ABS(D533)))),"")))</f>
        <v>#NAME?</v>
      </c>
    </row>
    <row r="535" spans="2:5" x14ac:dyDescent="0.25">
      <c r="B535" t="e">
        <f t="shared" ca="1" si="17"/>
        <v>#NAME?</v>
      </c>
      <c r="C535">
        <v>492</v>
      </c>
      <c r="D535" t="e">
        <f t="shared" ca="1" si="16"/>
        <v>#NAME?</v>
      </c>
      <c r="E535" s="115" t="e">
        <f t="array" aca="1" ref="E535" ca="1">IF(OR(C534=0,AND(B536=0,C536=0)),"",IFERROR(INDEX($F$27:$F$36,MATCH(C535,($F$27:$F$36)*($D$27:$D$36&lt;&gt;0),0)),IF(OR(AND(D535=0,B535=0,B536&lt;&gt;0),AND(D535*D534&lt;0,B535&lt;&gt;0)),IF(D535=0,C535,C535*(1-ABS(D535)/(ABS(D535)+ABS(D534)))+C534*(1-ABS(D534)/(ABS(D535)+ABS(D534)))),"")))</f>
        <v>#NAME?</v>
      </c>
    </row>
    <row r="536" spans="2:5" x14ac:dyDescent="0.25">
      <c r="B536" t="e">
        <f t="shared" ca="1" si="17"/>
        <v>#NAME?</v>
      </c>
      <c r="C536">
        <v>493</v>
      </c>
      <c r="D536" t="e">
        <f t="shared" ca="1" si="16"/>
        <v>#NAME?</v>
      </c>
      <c r="E536" s="115" t="e">
        <f t="array" aca="1" ref="E536" ca="1">IF(OR(C535=0,AND(B537=0,C537=0)),"",IFERROR(INDEX($F$27:$F$36,MATCH(C536,($F$27:$F$36)*($D$27:$D$36&lt;&gt;0),0)),IF(OR(AND(D536=0,B536=0,B537&lt;&gt;0),AND(D536*D535&lt;0,B536&lt;&gt;0)),IF(D536=0,C536,C536*(1-ABS(D536)/(ABS(D536)+ABS(D535)))+C535*(1-ABS(D535)/(ABS(D536)+ABS(D535)))),"")))</f>
        <v>#NAME?</v>
      </c>
    </row>
    <row r="537" spans="2:5" x14ac:dyDescent="0.25">
      <c r="B537" t="e">
        <f t="shared" ca="1" si="17"/>
        <v>#NAME?</v>
      </c>
      <c r="C537">
        <v>494</v>
      </c>
      <c r="D537" t="e">
        <f t="shared" ca="1" si="16"/>
        <v>#NAME?</v>
      </c>
      <c r="E537" s="115" t="e">
        <f t="array" aca="1" ref="E537" ca="1">IF(OR(C536=0,AND(B538=0,C538=0)),"",IFERROR(INDEX($F$27:$F$36,MATCH(C537,($F$27:$F$36)*($D$27:$D$36&lt;&gt;0),0)),IF(OR(AND(D537=0,B537=0,B538&lt;&gt;0),AND(D537*D536&lt;0,B537&lt;&gt;0)),IF(D537=0,C537,C537*(1-ABS(D537)/(ABS(D537)+ABS(D536)))+C536*(1-ABS(D536)/(ABS(D537)+ABS(D536)))),"")))</f>
        <v>#NAME?</v>
      </c>
    </row>
    <row r="538" spans="2:5" x14ac:dyDescent="0.25">
      <c r="B538" t="e">
        <f t="shared" ca="1" si="17"/>
        <v>#NAME?</v>
      </c>
      <c r="C538">
        <v>495</v>
      </c>
      <c r="D538" t="e">
        <f t="shared" ca="1" si="16"/>
        <v>#NAME?</v>
      </c>
      <c r="E538" s="115" t="e">
        <f t="array" aca="1" ref="E538" ca="1">IF(OR(C537=0,AND(B539=0,C539=0)),"",IFERROR(INDEX($F$27:$F$36,MATCH(C538,($F$27:$F$36)*($D$27:$D$36&lt;&gt;0),0)),IF(OR(AND(D538=0,B538=0,B539&lt;&gt;0),AND(D538*D537&lt;0,B538&lt;&gt;0)),IF(D538=0,C538,C538*(1-ABS(D538)/(ABS(D538)+ABS(D537)))+C537*(1-ABS(D537)/(ABS(D538)+ABS(D537)))),"")))</f>
        <v>#NAME?</v>
      </c>
    </row>
    <row r="539" spans="2:5" x14ac:dyDescent="0.25">
      <c r="B539" t="e">
        <f t="shared" ca="1" si="17"/>
        <v>#NAME?</v>
      </c>
      <c r="C539">
        <v>496</v>
      </c>
      <c r="D539" t="e">
        <f t="shared" ca="1" si="16"/>
        <v>#NAME?</v>
      </c>
      <c r="E539" s="115" t="e">
        <f t="array" aca="1" ref="E539" ca="1">IF(OR(C538=0,AND(B540=0,C540=0)),"",IFERROR(INDEX($F$27:$F$36,MATCH(C539,($F$27:$F$36)*($D$27:$D$36&lt;&gt;0),0)),IF(OR(AND(D539=0,B539=0,B540&lt;&gt;0),AND(D539*D538&lt;0,B539&lt;&gt;0)),IF(D539=0,C539,C539*(1-ABS(D539)/(ABS(D539)+ABS(D538)))+C538*(1-ABS(D538)/(ABS(D539)+ABS(D538)))),"")))</f>
        <v>#NAME?</v>
      </c>
    </row>
    <row r="540" spans="2:5" x14ac:dyDescent="0.25">
      <c r="B540" t="e">
        <f t="shared" ca="1" si="17"/>
        <v>#NAME?</v>
      </c>
      <c r="C540">
        <v>497</v>
      </c>
      <c r="D540" t="e">
        <f t="shared" ca="1" si="16"/>
        <v>#NAME?</v>
      </c>
      <c r="E540" s="115" t="e">
        <f t="array" aca="1" ref="E540" ca="1">IF(OR(C539=0,AND(B541=0,C541=0)),"",IFERROR(INDEX($F$27:$F$36,MATCH(C540,($F$27:$F$36)*($D$27:$D$36&lt;&gt;0),0)),IF(OR(AND(D540=0,B540=0,B541&lt;&gt;0),AND(D540*D539&lt;0,B540&lt;&gt;0)),IF(D540=0,C540,C540*(1-ABS(D540)/(ABS(D540)+ABS(D539)))+C539*(1-ABS(D539)/(ABS(D540)+ABS(D539)))),"")))</f>
        <v>#NAME?</v>
      </c>
    </row>
    <row r="541" spans="2:5" x14ac:dyDescent="0.25">
      <c r="B541" t="e">
        <f t="shared" ca="1" si="17"/>
        <v>#NAME?</v>
      </c>
      <c r="C541">
        <v>498</v>
      </c>
      <c r="D541" t="e">
        <f t="shared" ca="1" si="16"/>
        <v>#NAME?</v>
      </c>
      <c r="E541" s="115" t="e">
        <f t="array" aca="1" ref="E541" ca="1">IF(OR(C540=0,AND(B542=0,C542=0)),"",IFERROR(INDEX($F$27:$F$36,MATCH(C541,($F$27:$F$36)*($D$27:$D$36&lt;&gt;0),0)),IF(OR(AND(D541=0,B541=0,B542&lt;&gt;0),AND(D541*D540&lt;0,B541&lt;&gt;0)),IF(D541=0,C541,C541*(1-ABS(D541)/(ABS(D541)+ABS(D540)))+C540*(1-ABS(D540)/(ABS(D541)+ABS(D540)))),"")))</f>
        <v>#NAME?</v>
      </c>
    </row>
    <row r="542" spans="2:5" x14ac:dyDescent="0.25">
      <c r="B542" t="e">
        <f t="shared" ca="1" si="17"/>
        <v>#NAME?</v>
      </c>
      <c r="C542">
        <v>499</v>
      </c>
      <c r="D542" t="e">
        <f t="shared" ca="1" si="16"/>
        <v>#NAME?</v>
      </c>
      <c r="E542" s="115" t="e">
        <f t="array" aca="1" ref="E542" ca="1">IF(OR(C541=0,AND(B543=0,C543=0)),"",IFERROR(INDEX($F$27:$F$36,MATCH(C542,($F$27:$F$36)*($D$27:$D$36&lt;&gt;0),0)),IF(OR(AND(D542=0,B542=0,B543&lt;&gt;0),AND(D542*D541&lt;0,B542&lt;&gt;0)),IF(D542=0,C542,C542*(1-ABS(D542)/(ABS(D542)+ABS(D541)))+C541*(1-ABS(D541)/(ABS(D542)+ABS(D541)))),"")))</f>
        <v>#NAME?</v>
      </c>
    </row>
    <row r="543" spans="2:5" x14ac:dyDescent="0.25">
      <c r="B543" t="e">
        <f t="shared" ca="1" si="17"/>
        <v>#NAME?</v>
      </c>
      <c r="C543">
        <v>500</v>
      </c>
      <c r="D543" t="e">
        <f t="shared" ca="1" si="16"/>
        <v>#NAME?</v>
      </c>
      <c r="E543" s="115" t="e">
        <f t="array" aca="1" ref="E543" ca="1">IF(OR(C542=0,AND(B544=0,C544=0)),"",IFERROR(INDEX($F$27:$F$36,MATCH(C543,($F$27:$F$36)*($D$27:$D$36&lt;&gt;0),0)),IF(OR(AND(D543=0,B543=0,B544&lt;&gt;0),AND(D543*D542&lt;0,B543&lt;&gt;0)),IF(D543=0,C543,C543*(1-ABS(D543)/(ABS(D543)+ABS(D542)))+C542*(1-ABS(D542)/(ABS(D543)+ABS(D542)))),"")))</f>
        <v>#NAME?</v>
      </c>
    </row>
    <row r="544" spans="2:5" x14ac:dyDescent="0.25">
      <c r="B544" t="e">
        <f t="shared" ca="1" si="17"/>
        <v>#NAME?</v>
      </c>
      <c r="C544">
        <v>501</v>
      </c>
      <c r="D544" t="e">
        <f t="shared" ca="1" si="16"/>
        <v>#NAME?</v>
      </c>
      <c r="E544" s="115" t="e">
        <f t="array" aca="1" ref="E544" ca="1">IF(OR(C543=0,AND(B545=0,C545=0)),"",IFERROR(INDEX($F$27:$F$36,MATCH(C544,($F$27:$F$36)*($D$27:$D$36&lt;&gt;0),0)),IF(OR(AND(D544=0,B544=0,B545&lt;&gt;0),AND(D544*D543&lt;0,B544&lt;&gt;0)),IF(D544=0,C544,C544*(1-ABS(D544)/(ABS(D544)+ABS(D543)))+C543*(1-ABS(D543)/(ABS(D544)+ABS(D543)))),"")))</f>
        <v>#NAME?</v>
      </c>
    </row>
    <row r="545" spans="2:5" x14ac:dyDescent="0.25">
      <c r="B545" t="e">
        <f t="shared" ca="1" si="17"/>
        <v>#NAME?</v>
      </c>
      <c r="C545">
        <v>502</v>
      </c>
      <c r="D545" t="e">
        <f t="shared" ca="1" si="16"/>
        <v>#NAME?</v>
      </c>
      <c r="E545" s="115" t="e">
        <f t="array" aca="1" ref="E545" ca="1">IF(OR(C544=0,AND(B546=0,C546=0)),"",IFERROR(INDEX($F$27:$F$36,MATCH(C545,($F$27:$F$36)*($D$27:$D$36&lt;&gt;0),0)),IF(OR(AND(D545=0,B545=0,B546&lt;&gt;0),AND(D545*D544&lt;0,B545&lt;&gt;0)),IF(D545=0,C545,C545*(1-ABS(D545)/(ABS(D545)+ABS(D544)))+C544*(1-ABS(D544)/(ABS(D545)+ABS(D544)))),"")))</f>
        <v>#NAME?</v>
      </c>
    </row>
    <row r="546" spans="2:5" x14ac:dyDescent="0.25">
      <c r="B546" t="e">
        <f t="shared" ca="1" si="17"/>
        <v>#NAME?</v>
      </c>
      <c r="C546">
        <v>503</v>
      </c>
      <c r="D546" t="e">
        <f t="shared" ca="1" si="16"/>
        <v>#NAME?</v>
      </c>
      <c r="E546" s="115" t="e">
        <f t="array" aca="1" ref="E546" ca="1">IF(OR(C545=0,AND(B547=0,C547=0)),"",IFERROR(INDEX($F$27:$F$36,MATCH(C546,($F$27:$F$36)*($D$27:$D$36&lt;&gt;0),0)),IF(OR(AND(D546=0,B546=0,B547&lt;&gt;0),AND(D546*D545&lt;0,B546&lt;&gt;0)),IF(D546=0,C546,C546*(1-ABS(D546)/(ABS(D546)+ABS(D545)))+C545*(1-ABS(D545)/(ABS(D546)+ABS(D545)))),"")))</f>
        <v>#NAME?</v>
      </c>
    </row>
    <row r="547" spans="2:5" x14ac:dyDescent="0.25">
      <c r="B547" t="e">
        <f t="shared" ca="1" si="17"/>
        <v>#NAME?</v>
      </c>
      <c r="C547">
        <v>504</v>
      </c>
      <c r="D547" t="e">
        <f t="shared" ca="1" si="16"/>
        <v>#NAME?</v>
      </c>
      <c r="E547" s="115" t="e">
        <f t="array" aca="1" ref="E547" ca="1">IF(OR(C546=0,AND(B548=0,C548=0)),"",IFERROR(INDEX($F$27:$F$36,MATCH(C547,($F$27:$F$36)*($D$27:$D$36&lt;&gt;0),0)),IF(OR(AND(D547=0,B547=0,B548&lt;&gt;0),AND(D547*D546&lt;0,B547&lt;&gt;0)),IF(D547=0,C547,C547*(1-ABS(D547)/(ABS(D547)+ABS(D546)))+C546*(1-ABS(D546)/(ABS(D547)+ABS(D546)))),"")))</f>
        <v>#NAME?</v>
      </c>
    </row>
    <row r="548" spans="2:5" x14ac:dyDescent="0.25">
      <c r="B548" t="e">
        <f t="shared" ca="1" si="17"/>
        <v>#NAME?</v>
      </c>
      <c r="C548">
        <v>505</v>
      </c>
      <c r="D548" t="e">
        <f t="shared" ca="1" si="16"/>
        <v>#NAME?</v>
      </c>
      <c r="E548" s="115" t="e">
        <f t="array" aca="1" ref="E548" ca="1">IF(OR(C547=0,AND(B549=0,C549=0)),"",IFERROR(INDEX($F$27:$F$36,MATCH(C548,($F$27:$F$36)*($D$27:$D$36&lt;&gt;0),0)),IF(OR(AND(D548=0,B548=0,B549&lt;&gt;0),AND(D548*D547&lt;0,B548&lt;&gt;0)),IF(D548=0,C548,C548*(1-ABS(D548)/(ABS(D548)+ABS(D547)))+C547*(1-ABS(D547)/(ABS(D548)+ABS(D547)))),"")))</f>
        <v>#NAME?</v>
      </c>
    </row>
    <row r="549" spans="2:5" x14ac:dyDescent="0.25">
      <c r="B549" t="e">
        <f t="shared" ca="1" si="17"/>
        <v>#NAME?</v>
      </c>
      <c r="C549">
        <v>506</v>
      </c>
      <c r="D549" t="e">
        <f t="shared" ca="1" si="16"/>
        <v>#NAME?</v>
      </c>
      <c r="E549" s="115" t="e">
        <f t="array" aca="1" ref="E549" ca="1">IF(OR(C548=0,AND(B550=0,C550=0)),"",IFERROR(INDEX($F$27:$F$36,MATCH(C549,($F$27:$F$36)*($D$27:$D$36&lt;&gt;0),0)),IF(OR(AND(D549=0,B549=0,B550&lt;&gt;0),AND(D549*D548&lt;0,B549&lt;&gt;0)),IF(D549=0,C549,C549*(1-ABS(D549)/(ABS(D549)+ABS(D548)))+C548*(1-ABS(D548)/(ABS(D549)+ABS(D548)))),"")))</f>
        <v>#NAME?</v>
      </c>
    </row>
    <row r="550" spans="2:5" x14ac:dyDescent="0.25">
      <c r="B550" t="e">
        <f t="shared" ca="1" si="17"/>
        <v>#NAME?</v>
      </c>
      <c r="C550">
        <v>507</v>
      </c>
      <c r="D550" t="e">
        <f t="shared" ca="1" si="16"/>
        <v>#NAME?</v>
      </c>
      <c r="E550" s="115" t="e">
        <f t="array" aca="1" ref="E550" ca="1">IF(OR(C549=0,AND(B551=0,C551=0)),"",IFERROR(INDEX($F$27:$F$36,MATCH(C550,($F$27:$F$36)*($D$27:$D$36&lt;&gt;0),0)),IF(OR(AND(D550=0,B550=0,B551&lt;&gt;0),AND(D550*D549&lt;0,B550&lt;&gt;0)),IF(D550=0,C550,C550*(1-ABS(D550)/(ABS(D550)+ABS(D549)))+C549*(1-ABS(D549)/(ABS(D550)+ABS(D549)))),"")))</f>
        <v>#NAME?</v>
      </c>
    </row>
    <row r="551" spans="2:5" x14ac:dyDescent="0.25">
      <c r="B551" t="e">
        <f t="shared" ca="1" si="17"/>
        <v>#NAME?</v>
      </c>
      <c r="C551">
        <v>508</v>
      </c>
      <c r="D551" t="e">
        <f t="shared" ca="1" si="16"/>
        <v>#NAME?</v>
      </c>
      <c r="E551" s="115" t="e">
        <f t="array" aca="1" ref="E551" ca="1">IF(OR(C550=0,AND(B552=0,C552=0)),"",IFERROR(INDEX($F$27:$F$36,MATCH(C551,($F$27:$F$36)*($D$27:$D$36&lt;&gt;0),0)),IF(OR(AND(D551=0,B551=0,B552&lt;&gt;0),AND(D551*D550&lt;0,B551&lt;&gt;0)),IF(D551=0,C551,C551*(1-ABS(D551)/(ABS(D551)+ABS(D550)))+C550*(1-ABS(D550)/(ABS(D551)+ABS(D550)))),"")))</f>
        <v>#NAME?</v>
      </c>
    </row>
    <row r="552" spans="2:5" x14ac:dyDescent="0.25">
      <c r="B552" t="e">
        <f t="shared" ca="1" si="17"/>
        <v>#NAME?</v>
      </c>
      <c r="C552">
        <v>509</v>
      </c>
      <c r="D552" t="e">
        <f t="shared" ca="1" si="16"/>
        <v>#NAME?</v>
      </c>
      <c r="E552" s="115" t="e">
        <f t="array" aca="1" ref="E552" ca="1">IF(OR(C551=0,AND(B553=0,C553=0)),"",IFERROR(INDEX($F$27:$F$36,MATCH(C552,($F$27:$F$36)*($D$27:$D$36&lt;&gt;0),0)),IF(OR(AND(D552=0,B552=0,B553&lt;&gt;0),AND(D552*D551&lt;0,B552&lt;&gt;0)),IF(D552=0,C552,C552*(1-ABS(D552)/(ABS(D552)+ABS(D551)))+C551*(1-ABS(D551)/(ABS(D552)+ABS(D551)))),"")))</f>
        <v>#NAME?</v>
      </c>
    </row>
    <row r="553" spans="2:5" x14ac:dyDescent="0.25">
      <c r="B553" t="e">
        <f t="shared" ca="1" si="17"/>
        <v>#NAME?</v>
      </c>
      <c r="C553">
        <v>510</v>
      </c>
      <c r="D553" t="e">
        <f t="shared" ca="1" si="16"/>
        <v>#NAME?</v>
      </c>
      <c r="E553" s="115" t="e">
        <f t="array" aca="1" ref="E553" ca="1">IF(OR(C552=0,AND(B554=0,C554=0)),"",IFERROR(INDEX($F$27:$F$36,MATCH(C553,($F$27:$F$36)*($D$27:$D$36&lt;&gt;0),0)),IF(OR(AND(D553=0,B553=0,B554&lt;&gt;0),AND(D553*D552&lt;0,B553&lt;&gt;0)),IF(D553=0,C553,C553*(1-ABS(D553)/(ABS(D553)+ABS(D552)))+C552*(1-ABS(D552)/(ABS(D553)+ABS(D552)))),"")))</f>
        <v>#NAME?</v>
      </c>
    </row>
    <row r="554" spans="2:5" x14ac:dyDescent="0.25">
      <c r="B554" t="e">
        <f t="shared" ca="1" si="17"/>
        <v>#NAME?</v>
      </c>
      <c r="C554">
        <v>511</v>
      </c>
      <c r="D554" t="e">
        <f t="shared" ca="1" si="16"/>
        <v>#NAME?</v>
      </c>
      <c r="E554" s="115" t="e">
        <f t="array" aca="1" ref="E554" ca="1">IF(OR(C553=0,AND(B555=0,C555=0)),"",IFERROR(INDEX($F$27:$F$36,MATCH(C554,($F$27:$F$36)*($D$27:$D$36&lt;&gt;0),0)),IF(OR(AND(D554=0,B554=0,B555&lt;&gt;0),AND(D554*D553&lt;0,B554&lt;&gt;0)),IF(D554=0,C554,C554*(1-ABS(D554)/(ABS(D554)+ABS(D553)))+C553*(1-ABS(D553)/(ABS(D554)+ABS(D553)))),"")))</f>
        <v>#NAME?</v>
      </c>
    </row>
    <row r="555" spans="2:5" x14ac:dyDescent="0.25">
      <c r="B555" t="e">
        <f t="shared" ca="1" si="17"/>
        <v>#NAME?</v>
      </c>
      <c r="C555">
        <v>512</v>
      </c>
      <c r="D555" t="e">
        <f t="shared" ref="D555:D618" ca="1" si="18">SUMPRODUCT(--($J$27:$J$37&gt;0),--($C555-$F$27:$F$37&gt;0),($D$27:$D$37),($C555-$F$27:$F$37))+SUMPRODUCT(--($J$27:$J$37&lt;0),--($F$27:$F$37-$C555&gt;0),($D$27:$D$37),($F$27:$F$37-$C555))-SUMPRODUCT($D$27:$D$37,$E$27:$E$37)</f>
        <v>#NAME?</v>
      </c>
      <c r="E555" s="115" t="e">
        <f t="array" aca="1" ref="E555" ca="1">IF(OR(C554=0,AND(B556=0,C556=0)),"",IFERROR(INDEX($F$27:$F$36,MATCH(C555,($F$27:$F$36)*($D$27:$D$36&lt;&gt;0),0)),IF(OR(AND(D555=0,B555=0,B556&lt;&gt;0),AND(D555*D554&lt;0,B555&lt;&gt;0)),IF(D555=0,C555,C555*(1-ABS(D555)/(ABS(D555)+ABS(D554)))+C554*(1-ABS(D554)/(ABS(D555)+ABS(D554)))),"")))</f>
        <v>#NAME?</v>
      </c>
    </row>
    <row r="556" spans="2:5" x14ac:dyDescent="0.25">
      <c r="B556" t="e">
        <f t="shared" ref="B556:B619" ca="1" si="19">ROUND((D556-D555)/(C556-C555),12)</f>
        <v>#NAME?</v>
      </c>
      <c r="C556">
        <v>513</v>
      </c>
      <c r="D556" t="e">
        <f t="shared" ca="1" si="18"/>
        <v>#NAME?</v>
      </c>
      <c r="E556" s="115" t="e">
        <f t="array" aca="1" ref="E556" ca="1">IF(OR(C555=0,AND(B557=0,C557=0)),"",IFERROR(INDEX($F$27:$F$36,MATCH(C556,($F$27:$F$36)*($D$27:$D$36&lt;&gt;0),0)),IF(OR(AND(D556=0,B556=0,B557&lt;&gt;0),AND(D556*D555&lt;0,B556&lt;&gt;0)),IF(D556=0,C556,C556*(1-ABS(D556)/(ABS(D556)+ABS(D555)))+C555*(1-ABS(D555)/(ABS(D556)+ABS(D555)))),"")))</f>
        <v>#NAME?</v>
      </c>
    </row>
    <row r="557" spans="2:5" x14ac:dyDescent="0.25">
      <c r="B557" t="e">
        <f t="shared" ca="1" si="19"/>
        <v>#NAME?</v>
      </c>
      <c r="C557">
        <v>514</v>
      </c>
      <c r="D557" t="e">
        <f t="shared" ca="1" si="18"/>
        <v>#NAME?</v>
      </c>
      <c r="E557" s="115" t="e">
        <f t="array" aca="1" ref="E557" ca="1">IF(OR(C556=0,AND(B558=0,C558=0)),"",IFERROR(INDEX($F$27:$F$36,MATCH(C557,($F$27:$F$36)*($D$27:$D$36&lt;&gt;0),0)),IF(OR(AND(D557=0,B557=0,B558&lt;&gt;0),AND(D557*D556&lt;0,B557&lt;&gt;0)),IF(D557=0,C557,C557*(1-ABS(D557)/(ABS(D557)+ABS(D556)))+C556*(1-ABS(D556)/(ABS(D557)+ABS(D556)))),"")))</f>
        <v>#NAME?</v>
      </c>
    </row>
    <row r="558" spans="2:5" x14ac:dyDescent="0.25">
      <c r="B558" t="e">
        <f t="shared" ca="1" si="19"/>
        <v>#NAME?</v>
      </c>
      <c r="C558">
        <v>515</v>
      </c>
      <c r="D558" t="e">
        <f t="shared" ca="1" si="18"/>
        <v>#NAME?</v>
      </c>
      <c r="E558" s="115" t="e">
        <f t="array" aca="1" ref="E558" ca="1">IF(OR(C557=0,AND(B559=0,C559=0)),"",IFERROR(INDEX($F$27:$F$36,MATCH(C558,($F$27:$F$36)*($D$27:$D$36&lt;&gt;0),0)),IF(OR(AND(D558=0,B558=0,B559&lt;&gt;0),AND(D558*D557&lt;0,B558&lt;&gt;0)),IF(D558=0,C558,C558*(1-ABS(D558)/(ABS(D558)+ABS(D557)))+C557*(1-ABS(D557)/(ABS(D558)+ABS(D557)))),"")))</f>
        <v>#NAME?</v>
      </c>
    </row>
    <row r="559" spans="2:5" x14ac:dyDescent="0.25">
      <c r="B559" t="e">
        <f t="shared" ca="1" si="19"/>
        <v>#NAME?</v>
      </c>
      <c r="C559">
        <v>516</v>
      </c>
      <c r="D559" t="e">
        <f t="shared" ca="1" si="18"/>
        <v>#NAME?</v>
      </c>
      <c r="E559" s="115" t="e">
        <f t="array" aca="1" ref="E559" ca="1">IF(OR(C558=0,AND(B560=0,C560=0)),"",IFERROR(INDEX($F$27:$F$36,MATCH(C559,($F$27:$F$36)*($D$27:$D$36&lt;&gt;0),0)),IF(OR(AND(D559=0,B559=0,B560&lt;&gt;0),AND(D559*D558&lt;0,B559&lt;&gt;0)),IF(D559=0,C559,C559*(1-ABS(D559)/(ABS(D559)+ABS(D558)))+C558*(1-ABS(D558)/(ABS(D559)+ABS(D558)))),"")))</f>
        <v>#NAME?</v>
      </c>
    </row>
    <row r="560" spans="2:5" x14ac:dyDescent="0.25">
      <c r="B560" t="e">
        <f t="shared" ca="1" si="19"/>
        <v>#NAME?</v>
      </c>
      <c r="C560">
        <v>517</v>
      </c>
      <c r="D560" t="e">
        <f t="shared" ca="1" si="18"/>
        <v>#NAME?</v>
      </c>
      <c r="E560" s="115" t="e">
        <f t="array" aca="1" ref="E560" ca="1">IF(OR(C559=0,AND(B561=0,C561=0)),"",IFERROR(INDEX($F$27:$F$36,MATCH(C560,($F$27:$F$36)*($D$27:$D$36&lt;&gt;0),0)),IF(OR(AND(D560=0,B560=0,B561&lt;&gt;0),AND(D560*D559&lt;0,B560&lt;&gt;0)),IF(D560=0,C560,C560*(1-ABS(D560)/(ABS(D560)+ABS(D559)))+C559*(1-ABS(D559)/(ABS(D560)+ABS(D559)))),"")))</f>
        <v>#NAME?</v>
      </c>
    </row>
    <row r="561" spans="2:5" x14ac:dyDescent="0.25">
      <c r="B561" t="e">
        <f t="shared" ca="1" si="19"/>
        <v>#NAME?</v>
      </c>
      <c r="C561">
        <v>518</v>
      </c>
      <c r="D561" t="e">
        <f t="shared" ca="1" si="18"/>
        <v>#NAME?</v>
      </c>
      <c r="E561" s="115" t="e">
        <f t="array" aca="1" ref="E561" ca="1">IF(OR(C560=0,AND(B562=0,C562=0)),"",IFERROR(INDEX($F$27:$F$36,MATCH(C561,($F$27:$F$36)*($D$27:$D$36&lt;&gt;0),0)),IF(OR(AND(D561=0,B561=0,B562&lt;&gt;0),AND(D561*D560&lt;0,B561&lt;&gt;0)),IF(D561=0,C561,C561*(1-ABS(D561)/(ABS(D561)+ABS(D560)))+C560*(1-ABS(D560)/(ABS(D561)+ABS(D560)))),"")))</f>
        <v>#NAME?</v>
      </c>
    </row>
    <row r="562" spans="2:5" x14ac:dyDescent="0.25">
      <c r="B562" t="e">
        <f t="shared" ca="1" si="19"/>
        <v>#NAME?</v>
      </c>
      <c r="C562">
        <v>519</v>
      </c>
      <c r="D562" t="e">
        <f t="shared" ca="1" si="18"/>
        <v>#NAME?</v>
      </c>
      <c r="E562" s="115" t="e">
        <f t="array" aca="1" ref="E562" ca="1">IF(OR(C561=0,AND(B563=0,C563=0)),"",IFERROR(INDEX($F$27:$F$36,MATCH(C562,($F$27:$F$36)*($D$27:$D$36&lt;&gt;0),0)),IF(OR(AND(D562=0,B562=0,B563&lt;&gt;0),AND(D562*D561&lt;0,B562&lt;&gt;0)),IF(D562=0,C562,C562*(1-ABS(D562)/(ABS(D562)+ABS(D561)))+C561*(1-ABS(D561)/(ABS(D562)+ABS(D561)))),"")))</f>
        <v>#NAME?</v>
      </c>
    </row>
    <row r="563" spans="2:5" x14ac:dyDescent="0.25">
      <c r="B563" t="e">
        <f t="shared" ca="1" si="19"/>
        <v>#NAME?</v>
      </c>
      <c r="C563">
        <v>520</v>
      </c>
      <c r="D563" t="e">
        <f t="shared" ca="1" si="18"/>
        <v>#NAME?</v>
      </c>
      <c r="E563" s="115" t="e">
        <f t="array" aca="1" ref="E563" ca="1">IF(OR(C562=0,AND(B564=0,C564=0)),"",IFERROR(INDEX($F$27:$F$36,MATCH(C563,($F$27:$F$36)*($D$27:$D$36&lt;&gt;0),0)),IF(OR(AND(D563=0,B563=0,B564&lt;&gt;0),AND(D563*D562&lt;0,B563&lt;&gt;0)),IF(D563=0,C563,C563*(1-ABS(D563)/(ABS(D563)+ABS(D562)))+C562*(1-ABS(D562)/(ABS(D563)+ABS(D562)))),"")))</f>
        <v>#NAME?</v>
      </c>
    </row>
    <row r="564" spans="2:5" x14ac:dyDescent="0.25">
      <c r="B564" t="e">
        <f t="shared" ca="1" si="19"/>
        <v>#NAME?</v>
      </c>
      <c r="C564">
        <v>521</v>
      </c>
      <c r="D564" t="e">
        <f t="shared" ca="1" si="18"/>
        <v>#NAME?</v>
      </c>
      <c r="E564" s="115" t="e">
        <f t="array" aca="1" ref="E564" ca="1">IF(OR(C563=0,AND(B565=0,C565=0)),"",IFERROR(INDEX($F$27:$F$36,MATCH(C564,($F$27:$F$36)*($D$27:$D$36&lt;&gt;0),0)),IF(OR(AND(D564=0,B564=0,B565&lt;&gt;0),AND(D564*D563&lt;0,B564&lt;&gt;0)),IF(D564=0,C564,C564*(1-ABS(D564)/(ABS(D564)+ABS(D563)))+C563*(1-ABS(D563)/(ABS(D564)+ABS(D563)))),"")))</f>
        <v>#NAME?</v>
      </c>
    </row>
    <row r="565" spans="2:5" x14ac:dyDescent="0.25">
      <c r="B565" t="e">
        <f t="shared" ca="1" si="19"/>
        <v>#NAME?</v>
      </c>
      <c r="C565">
        <v>522</v>
      </c>
      <c r="D565" t="e">
        <f t="shared" ca="1" si="18"/>
        <v>#NAME?</v>
      </c>
      <c r="E565" s="115" t="e">
        <f t="array" aca="1" ref="E565" ca="1">IF(OR(C564=0,AND(B566=0,C566=0)),"",IFERROR(INDEX($F$27:$F$36,MATCH(C565,($F$27:$F$36)*($D$27:$D$36&lt;&gt;0),0)),IF(OR(AND(D565=0,B565=0,B566&lt;&gt;0),AND(D565*D564&lt;0,B565&lt;&gt;0)),IF(D565=0,C565,C565*(1-ABS(D565)/(ABS(D565)+ABS(D564)))+C564*(1-ABS(D564)/(ABS(D565)+ABS(D564)))),"")))</f>
        <v>#NAME?</v>
      </c>
    </row>
    <row r="566" spans="2:5" x14ac:dyDescent="0.25">
      <c r="B566" t="e">
        <f t="shared" ca="1" si="19"/>
        <v>#NAME?</v>
      </c>
      <c r="C566">
        <v>523</v>
      </c>
      <c r="D566" t="e">
        <f t="shared" ca="1" si="18"/>
        <v>#NAME?</v>
      </c>
      <c r="E566" s="115" t="e">
        <f t="array" aca="1" ref="E566" ca="1">IF(OR(C565=0,AND(B567=0,C567=0)),"",IFERROR(INDEX($F$27:$F$36,MATCH(C566,($F$27:$F$36)*($D$27:$D$36&lt;&gt;0),0)),IF(OR(AND(D566=0,B566=0,B567&lt;&gt;0),AND(D566*D565&lt;0,B566&lt;&gt;0)),IF(D566=0,C566,C566*(1-ABS(D566)/(ABS(D566)+ABS(D565)))+C565*(1-ABS(D565)/(ABS(D566)+ABS(D565)))),"")))</f>
        <v>#NAME?</v>
      </c>
    </row>
    <row r="567" spans="2:5" x14ac:dyDescent="0.25">
      <c r="B567" t="e">
        <f t="shared" ca="1" si="19"/>
        <v>#NAME?</v>
      </c>
      <c r="C567">
        <v>524</v>
      </c>
      <c r="D567" t="e">
        <f t="shared" ca="1" si="18"/>
        <v>#NAME?</v>
      </c>
      <c r="E567" s="115" t="e">
        <f t="array" aca="1" ref="E567" ca="1">IF(OR(C566=0,AND(B568=0,C568=0)),"",IFERROR(INDEX($F$27:$F$36,MATCH(C567,($F$27:$F$36)*($D$27:$D$36&lt;&gt;0),0)),IF(OR(AND(D567=0,B567=0,B568&lt;&gt;0),AND(D567*D566&lt;0,B567&lt;&gt;0)),IF(D567=0,C567,C567*(1-ABS(D567)/(ABS(D567)+ABS(D566)))+C566*(1-ABS(D566)/(ABS(D567)+ABS(D566)))),"")))</f>
        <v>#NAME?</v>
      </c>
    </row>
    <row r="568" spans="2:5" x14ac:dyDescent="0.25">
      <c r="B568" t="e">
        <f t="shared" ca="1" si="19"/>
        <v>#NAME?</v>
      </c>
      <c r="C568">
        <v>525</v>
      </c>
      <c r="D568" t="e">
        <f t="shared" ca="1" si="18"/>
        <v>#NAME?</v>
      </c>
      <c r="E568" s="115" t="e">
        <f t="array" aca="1" ref="E568" ca="1">IF(OR(C567=0,AND(B569=0,C569=0)),"",IFERROR(INDEX($F$27:$F$36,MATCH(C568,($F$27:$F$36)*($D$27:$D$36&lt;&gt;0),0)),IF(OR(AND(D568=0,B568=0,B569&lt;&gt;0),AND(D568*D567&lt;0,B568&lt;&gt;0)),IF(D568=0,C568,C568*(1-ABS(D568)/(ABS(D568)+ABS(D567)))+C567*(1-ABS(D567)/(ABS(D568)+ABS(D567)))),"")))</f>
        <v>#NAME?</v>
      </c>
    </row>
    <row r="569" spans="2:5" x14ac:dyDescent="0.25">
      <c r="B569" t="e">
        <f t="shared" ca="1" si="19"/>
        <v>#NAME?</v>
      </c>
      <c r="C569">
        <v>526</v>
      </c>
      <c r="D569" t="e">
        <f t="shared" ca="1" si="18"/>
        <v>#NAME?</v>
      </c>
      <c r="E569" s="115" t="e">
        <f t="array" aca="1" ref="E569" ca="1">IF(OR(C568=0,AND(B570=0,C570=0)),"",IFERROR(INDEX($F$27:$F$36,MATCH(C569,($F$27:$F$36)*($D$27:$D$36&lt;&gt;0),0)),IF(OR(AND(D569=0,B569=0,B570&lt;&gt;0),AND(D569*D568&lt;0,B569&lt;&gt;0)),IF(D569=0,C569,C569*(1-ABS(D569)/(ABS(D569)+ABS(D568)))+C568*(1-ABS(D568)/(ABS(D569)+ABS(D568)))),"")))</f>
        <v>#NAME?</v>
      </c>
    </row>
    <row r="570" spans="2:5" x14ac:dyDescent="0.25">
      <c r="B570" t="e">
        <f t="shared" ca="1" si="19"/>
        <v>#NAME?</v>
      </c>
      <c r="C570">
        <v>527</v>
      </c>
      <c r="D570" t="e">
        <f t="shared" ca="1" si="18"/>
        <v>#NAME?</v>
      </c>
      <c r="E570" s="115" t="e">
        <f t="array" aca="1" ref="E570" ca="1">IF(OR(C569=0,AND(B571=0,C571=0)),"",IFERROR(INDEX($F$27:$F$36,MATCH(C570,($F$27:$F$36)*($D$27:$D$36&lt;&gt;0),0)),IF(OR(AND(D570=0,B570=0,B571&lt;&gt;0),AND(D570*D569&lt;0,B570&lt;&gt;0)),IF(D570=0,C570,C570*(1-ABS(D570)/(ABS(D570)+ABS(D569)))+C569*(1-ABS(D569)/(ABS(D570)+ABS(D569)))),"")))</f>
        <v>#NAME?</v>
      </c>
    </row>
    <row r="571" spans="2:5" x14ac:dyDescent="0.25">
      <c r="B571" t="e">
        <f t="shared" ca="1" si="19"/>
        <v>#NAME?</v>
      </c>
      <c r="C571">
        <v>528</v>
      </c>
      <c r="D571" t="e">
        <f t="shared" ca="1" si="18"/>
        <v>#NAME?</v>
      </c>
      <c r="E571" s="115" t="e">
        <f t="array" aca="1" ref="E571" ca="1">IF(OR(C570=0,AND(B572=0,C572=0)),"",IFERROR(INDEX($F$27:$F$36,MATCH(C571,($F$27:$F$36)*($D$27:$D$36&lt;&gt;0),0)),IF(OR(AND(D571=0,B571=0,B572&lt;&gt;0),AND(D571*D570&lt;0,B571&lt;&gt;0)),IF(D571=0,C571,C571*(1-ABS(D571)/(ABS(D571)+ABS(D570)))+C570*(1-ABS(D570)/(ABS(D571)+ABS(D570)))),"")))</f>
        <v>#NAME?</v>
      </c>
    </row>
    <row r="572" spans="2:5" x14ac:dyDescent="0.25">
      <c r="B572" t="e">
        <f t="shared" ca="1" si="19"/>
        <v>#NAME?</v>
      </c>
      <c r="C572">
        <v>529</v>
      </c>
      <c r="D572" t="e">
        <f t="shared" ca="1" si="18"/>
        <v>#NAME?</v>
      </c>
      <c r="E572" s="115" t="e">
        <f t="array" aca="1" ref="E572" ca="1">IF(OR(C571=0,AND(B573=0,C573=0)),"",IFERROR(INDEX($F$27:$F$36,MATCH(C572,($F$27:$F$36)*($D$27:$D$36&lt;&gt;0),0)),IF(OR(AND(D572=0,B572=0,B573&lt;&gt;0),AND(D572*D571&lt;0,B572&lt;&gt;0)),IF(D572=0,C572,C572*(1-ABS(D572)/(ABS(D572)+ABS(D571)))+C571*(1-ABS(D571)/(ABS(D572)+ABS(D571)))),"")))</f>
        <v>#NAME?</v>
      </c>
    </row>
    <row r="573" spans="2:5" x14ac:dyDescent="0.25">
      <c r="B573" t="e">
        <f t="shared" ca="1" si="19"/>
        <v>#NAME?</v>
      </c>
      <c r="C573">
        <v>530</v>
      </c>
      <c r="D573" t="e">
        <f t="shared" ca="1" si="18"/>
        <v>#NAME?</v>
      </c>
      <c r="E573" s="115" t="e">
        <f t="array" aca="1" ref="E573" ca="1">IF(OR(C572=0,AND(B574=0,C574=0)),"",IFERROR(INDEX($F$27:$F$36,MATCH(C573,($F$27:$F$36)*($D$27:$D$36&lt;&gt;0),0)),IF(OR(AND(D573=0,B573=0,B574&lt;&gt;0),AND(D573*D572&lt;0,B573&lt;&gt;0)),IF(D573=0,C573,C573*(1-ABS(D573)/(ABS(D573)+ABS(D572)))+C572*(1-ABS(D572)/(ABS(D573)+ABS(D572)))),"")))</f>
        <v>#NAME?</v>
      </c>
    </row>
    <row r="574" spans="2:5" x14ac:dyDescent="0.25">
      <c r="B574" t="e">
        <f t="shared" ca="1" si="19"/>
        <v>#NAME?</v>
      </c>
      <c r="C574">
        <v>531</v>
      </c>
      <c r="D574" t="e">
        <f t="shared" ca="1" si="18"/>
        <v>#NAME?</v>
      </c>
      <c r="E574" s="115" t="e">
        <f t="array" aca="1" ref="E574" ca="1">IF(OR(C573=0,AND(B575=0,C575=0)),"",IFERROR(INDEX($F$27:$F$36,MATCH(C574,($F$27:$F$36)*($D$27:$D$36&lt;&gt;0),0)),IF(OR(AND(D574=0,B574=0,B575&lt;&gt;0),AND(D574*D573&lt;0,B574&lt;&gt;0)),IF(D574=0,C574,C574*(1-ABS(D574)/(ABS(D574)+ABS(D573)))+C573*(1-ABS(D573)/(ABS(D574)+ABS(D573)))),"")))</f>
        <v>#NAME?</v>
      </c>
    </row>
    <row r="575" spans="2:5" x14ac:dyDescent="0.25">
      <c r="B575" t="e">
        <f t="shared" ca="1" si="19"/>
        <v>#NAME?</v>
      </c>
      <c r="C575">
        <v>532</v>
      </c>
      <c r="D575" t="e">
        <f t="shared" ca="1" si="18"/>
        <v>#NAME?</v>
      </c>
      <c r="E575" s="115" t="e">
        <f t="array" aca="1" ref="E575" ca="1">IF(OR(C574=0,AND(B576=0,C576=0)),"",IFERROR(INDEX($F$27:$F$36,MATCH(C575,($F$27:$F$36)*($D$27:$D$36&lt;&gt;0),0)),IF(OR(AND(D575=0,B575=0,B576&lt;&gt;0),AND(D575*D574&lt;0,B575&lt;&gt;0)),IF(D575=0,C575,C575*(1-ABS(D575)/(ABS(D575)+ABS(D574)))+C574*(1-ABS(D574)/(ABS(D575)+ABS(D574)))),"")))</f>
        <v>#NAME?</v>
      </c>
    </row>
    <row r="576" spans="2:5" x14ac:dyDescent="0.25">
      <c r="B576" t="e">
        <f t="shared" ca="1" si="19"/>
        <v>#NAME?</v>
      </c>
      <c r="C576">
        <v>533</v>
      </c>
      <c r="D576" t="e">
        <f t="shared" ca="1" si="18"/>
        <v>#NAME?</v>
      </c>
      <c r="E576" s="115" t="e">
        <f t="array" aca="1" ref="E576" ca="1">IF(OR(C575=0,AND(B577=0,C577=0)),"",IFERROR(INDEX($F$27:$F$36,MATCH(C576,($F$27:$F$36)*($D$27:$D$36&lt;&gt;0),0)),IF(OR(AND(D576=0,B576=0,B577&lt;&gt;0),AND(D576*D575&lt;0,B576&lt;&gt;0)),IF(D576=0,C576,C576*(1-ABS(D576)/(ABS(D576)+ABS(D575)))+C575*(1-ABS(D575)/(ABS(D576)+ABS(D575)))),"")))</f>
        <v>#NAME?</v>
      </c>
    </row>
    <row r="577" spans="2:5" x14ac:dyDescent="0.25">
      <c r="B577" t="e">
        <f t="shared" ca="1" si="19"/>
        <v>#NAME?</v>
      </c>
      <c r="C577">
        <v>534</v>
      </c>
      <c r="D577" t="e">
        <f t="shared" ca="1" si="18"/>
        <v>#NAME?</v>
      </c>
      <c r="E577" s="115" t="e">
        <f t="array" aca="1" ref="E577" ca="1">IF(OR(C576=0,AND(B578=0,C578=0)),"",IFERROR(INDEX($F$27:$F$36,MATCH(C577,($F$27:$F$36)*($D$27:$D$36&lt;&gt;0),0)),IF(OR(AND(D577=0,B577=0,B578&lt;&gt;0),AND(D577*D576&lt;0,B577&lt;&gt;0)),IF(D577=0,C577,C577*(1-ABS(D577)/(ABS(D577)+ABS(D576)))+C576*(1-ABS(D576)/(ABS(D577)+ABS(D576)))),"")))</f>
        <v>#NAME?</v>
      </c>
    </row>
    <row r="578" spans="2:5" x14ac:dyDescent="0.25">
      <c r="B578" t="e">
        <f t="shared" ca="1" si="19"/>
        <v>#NAME?</v>
      </c>
      <c r="C578">
        <v>535</v>
      </c>
      <c r="D578" t="e">
        <f t="shared" ca="1" si="18"/>
        <v>#NAME?</v>
      </c>
      <c r="E578" s="115" t="e">
        <f t="array" aca="1" ref="E578" ca="1">IF(OR(C577=0,AND(B579=0,C579=0)),"",IFERROR(INDEX($F$27:$F$36,MATCH(C578,($F$27:$F$36)*($D$27:$D$36&lt;&gt;0),0)),IF(OR(AND(D578=0,B578=0,B579&lt;&gt;0),AND(D578*D577&lt;0,B578&lt;&gt;0)),IF(D578=0,C578,C578*(1-ABS(D578)/(ABS(D578)+ABS(D577)))+C577*(1-ABS(D577)/(ABS(D578)+ABS(D577)))),"")))</f>
        <v>#NAME?</v>
      </c>
    </row>
    <row r="579" spans="2:5" x14ac:dyDescent="0.25">
      <c r="B579" t="e">
        <f t="shared" ca="1" si="19"/>
        <v>#NAME?</v>
      </c>
      <c r="C579">
        <v>536</v>
      </c>
      <c r="D579" t="e">
        <f t="shared" ca="1" si="18"/>
        <v>#NAME?</v>
      </c>
      <c r="E579" s="115" t="e">
        <f t="array" aca="1" ref="E579" ca="1">IF(OR(C578=0,AND(B580=0,C580=0)),"",IFERROR(INDEX($F$27:$F$36,MATCH(C579,($F$27:$F$36)*($D$27:$D$36&lt;&gt;0),0)),IF(OR(AND(D579=0,B579=0,B580&lt;&gt;0),AND(D579*D578&lt;0,B579&lt;&gt;0)),IF(D579=0,C579,C579*(1-ABS(D579)/(ABS(D579)+ABS(D578)))+C578*(1-ABS(D578)/(ABS(D579)+ABS(D578)))),"")))</f>
        <v>#NAME?</v>
      </c>
    </row>
    <row r="580" spans="2:5" x14ac:dyDescent="0.25">
      <c r="B580" t="e">
        <f t="shared" ca="1" si="19"/>
        <v>#NAME?</v>
      </c>
      <c r="C580">
        <v>537</v>
      </c>
      <c r="D580" t="e">
        <f t="shared" ca="1" si="18"/>
        <v>#NAME?</v>
      </c>
      <c r="E580" s="115" t="e">
        <f t="array" aca="1" ref="E580" ca="1">IF(OR(C579=0,AND(B581=0,C581=0)),"",IFERROR(INDEX($F$27:$F$36,MATCH(C580,($F$27:$F$36)*($D$27:$D$36&lt;&gt;0),0)),IF(OR(AND(D580=0,B580=0,B581&lt;&gt;0),AND(D580*D579&lt;0,B580&lt;&gt;0)),IF(D580=0,C580,C580*(1-ABS(D580)/(ABS(D580)+ABS(D579)))+C579*(1-ABS(D579)/(ABS(D580)+ABS(D579)))),"")))</f>
        <v>#NAME?</v>
      </c>
    </row>
    <row r="581" spans="2:5" x14ac:dyDescent="0.25">
      <c r="B581" t="e">
        <f t="shared" ca="1" si="19"/>
        <v>#NAME?</v>
      </c>
      <c r="C581">
        <v>538</v>
      </c>
      <c r="D581" t="e">
        <f t="shared" ca="1" si="18"/>
        <v>#NAME?</v>
      </c>
      <c r="E581" s="115" t="e">
        <f t="array" aca="1" ref="E581" ca="1">IF(OR(C580=0,AND(B582=0,C582=0)),"",IFERROR(INDEX($F$27:$F$36,MATCH(C581,($F$27:$F$36)*($D$27:$D$36&lt;&gt;0),0)),IF(OR(AND(D581=0,B581=0,B582&lt;&gt;0),AND(D581*D580&lt;0,B581&lt;&gt;0)),IF(D581=0,C581,C581*(1-ABS(D581)/(ABS(D581)+ABS(D580)))+C580*(1-ABS(D580)/(ABS(D581)+ABS(D580)))),"")))</f>
        <v>#NAME?</v>
      </c>
    </row>
    <row r="582" spans="2:5" x14ac:dyDescent="0.25">
      <c r="B582" t="e">
        <f t="shared" ca="1" si="19"/>
        <v>#NAME?</v>
      </c>
      <c r="C582">
        <v>539</v>
      </c>
      <c r="D582" t="e">
        <f t="shared" ca="1" si="18"/>
        <v>#NAME?</v>
      </c>
      <c r="E582" s="115" t="e">
        <f t="array" aca="1" ref="E582" ca="1">IF(OR(C581=0,AND(B583=0,C583=0)),"",IFERROR(INDEX($F$27:$F$36,MATCH(C582,($F$27:$F$36)*($D$27:$D$36&lt;&gt;0),0)),IF(OR(AND(D582=0,B582=0,B583&lt;&gt;0),AND(D582*D581&lt;0,B582&lt;&gt;0)),IF(D582=0,C582,C582*(1-ABS(D582)/(ABS(D582)+ABS(D581)))+C581*(1-ABS(D581)/(ABS(D582)+ABS(D581)))),"")))</f>
        <v>#NAME?</v>
      </c>
    </row>
    <row r="583" spans="2:5" x14ac:dyDescent="0.25">
      <c r="B583" t="e">
        <f t="shared" ca="1" si="19"/>
        <v>#NAME?</v>
      </c>
      <c r="C583">
        <v>540</v>
      </c>
      <c r="D583" t="e">
        <f t="shared" ca="1" si="18"/>
        <v>#NAME?</v>
      </c>
      <c r="E583" s="115" t="e">
        <f t="array" aca="1" ref="E583" ca="1">IF(OR(C582=0,AND(B584=0,C584=0)),"",IFERROR(INDEX($F$27:$F$36,MATCH(C583,($F$27:$F$36)*($D$27:$D$36&lt;&gt;0),0)),IF(OR(AND(D583=0,B583=0,B584&lt;&gt;0),AND(D583*D582&lt;0,B583&lt;&gt;0)),IF(D583=0,C583,C583*(1-ABS(D583)/(ABS(D583)+ABS(D582)))+C582*(1-ABS(D582)/(ABS(D583)+ABS(D582)))),"")))</f>
        <v>#NAME?</v>
      </c>
    </row>
    <row r="584" spans="2:5" x14ac:dyDescent="0.25">
      <c r="B584" t="e">
        <f t="shared" ca="1" si="19"/>
        <v>#NAME?</v>
      </c>
      <c r="C584">
        <v>541</v>
      </c>
      <c r="D584" t="e">
        <f t="shared" ca="1" si="18"/>
        <v>#NAME?</v>
      </c>
      <c r="E584" s="115" t="e">
        <f t="array" aca="1" ref="E584" ca="1">IF(OR(C583=0,AND(B585=0,C585=0)),"",IFERROR(INDEX($F$27:$F$36,MATCH(C584,($F$27:$F$36)*($D$27:$D$36&lt;&gt;0),0)),IF(OR(AND(D584=0,B584=0,B585&lt;&gt;0),AND(D584*D583&lt;0,B584&lt;&gt;0)),IF(D584=0,C584,C584*(1-ABS(D584)/(ABS(D584)+ABS(D583)))+C583*(1-ABS(D583)/(ABS(D584)+ABS(D583)))),"")))</f>
        <v>#NAME?</v>
      </c>
    </row>
    <row r="585" spans="2:5" x14ac:dyDescent="0.25">
      <c r="B585" t="e">
        <f t="shared" ca="1" si="19"/>
        <v>#NAME?</v>
      </c>
      <c r="C585">
        <v>542</v>
      </c>
      <c r="D585" t="e">
        <f t="shared" ca="1" si="18"/>
        <v>#NAME?</v>
      </c>
      <c r="E585" s="115" t="e">
        <f t="array" aca="1" ref="E585" ca="1">IF(OR(C584=0,AND(B586=0,C586=0)),"",IFERROR(INDEX($F$27:$F$36,MATCH(C585,($F$27:$F$36)*($D$27:$D$36&lt;&gt;0),0)),IF(OR(AND(D585=0,B585=0,B586&lt;&gt;0),AND(D585*D584&lt;0,B585&lt;&gt;0)),IF(D585=0,C585,C585*(1-ABS(D585)/(ABS(D585)+ABS(D584)))+C584*(1-ABS(D584)/(ABS(D585)+ABS(D584)))),"")))</f>
        <v>#NAME?</v>
      </c>
    </row>
    <row r="586" spans="2:5" x14ac:dyDescent="0.25">
      <c r="B586" t="e">
        <f t="shared" ca="1" si="19"/>
        <v>#NAME?</v>
      </c>
      <c r="C586">
        <v>543</v>
      </c>
      <c r="D586" t="e">
        <f t="shared" ca="1" si="18"/>
        <v>#NAME?</v>
      </c>
      <c r="E586" s="115" t="e">
        <f t="array" aca="1" ref="E586" ca="1">IF(OR(C585=0,AND(B587=0,C587=0)),"",IFERROR(INDEX($F$27:$F$36,MATCH(C586,($F$27:$F$36)*($D$27:$D$36&lt;&gt;0),0)),IF(OR(AND(D586=0,B586=0,B587&lt;&gt;0),AND(D586*D585&lt;0,B586&lt;&gt;0)),IF(D586=0,C586,C586*(1-ABS(D586)/(ABS(D586)+ABS(D585)))+C585*(1-ABS(D585)/(ABS(D586)+ABS(D585)))),"")))</f>
        <v>#NAME?</v>
      </c>
    </row>
    <row r="587" spans="2:5" x14ac:dyDescent="0.25">
      <c r="B587" t="e">
        <f t="shared" ca="1" si="19"/>
        <v>#NAME?</v>
      </c>
      <c r="C587">
        <v>544</v>
      </c>
      <c r="D587" t="e">
        <f t="shared" ca="1" si="18"/>
        <v>#NAME?</v>
      </c>
      <c r="E587" s="115" t="e">
        <f t="array" aca="1" ref="E587" ca="1">IF(OR(C586=0,AND(B588=0,C588=0)),"",IFERROR(INDEX($F$27:$F$36,MATCH(C587,($F$27:$F$36)*($D$27:$D$36&lt;&gt;0),0)),IF(OR(AND(D587=0,B587=0,B588&lt;&gt;0),AND(D587*D586&lt;0,B587&lt;&gt;0)),IF(D587=0,C587,C587*(1-ABS(D587)/(ABS(D587)+ABS(D586)))+C586*(1-ABS(D586)/(ABS(D587)+ABS(D586)))),"")))</f>
        <v>#NAME?</v>
      </c>
    </row>
    <row r="588" spans="2:5" x14ac:dyDescent="0.25">
      <c r="B588" t="e">
        <f t="shared" ca="1" si="19"/>
        <v>#NAME?</v>
      </c>
      <c r="C588">
        <v>545</v>
      </c>
      <c r="D588" t="e">
        <f t="shared" ca="1" si="18"/>
        <v>#NAME?</v>
      </c>
      <c r="E588" s="115" t="e">
        <f t="array" aca="1" ref="E588" ca="1">IF(OR(C587=0,AND(B589=0,C589=0)),"",IFERROR(INDEX($F$27:$F$36,MATCH(C588,($F$27:$F$36)*($D$27:$D$36&lt;&gt;0),0)),IF(OR(AND(D588=0,B588=0,B589&lt;&gt;0),AND(D588*D587&lt;0,B588&lt;&gt;0)),IF(D588=0,C588,C588*(1-ABS(D588)/(ABS(D588)+ABS(D587)))+C587*(1-ABS(D587)/(ABS(D588)+ABS(D587)))),"")))</f>
        <v>#NAME?</v>
      </c>
    </row>
    <row r="589" spans="2:5" x14ac:dyDescent="0.25">
      <c r="B589" t="e">
        <f t="shared" ca="1" si="19"/>
        <v>#NAME?</v>
      </c>
      <c r="C589">
        <v>546</v>
      </c>
      <c r="D589" t="e">
        <f t="shared" ca="1" si="18"/>
        <v>#NAME?</v>
      </c>
      <c r="E589" s="115" t="e">
        <f t="array" aca="1" ref="E589" ca="1">IF(OR(C588=0,AND(B590=0,C590=0)),"",IFERROR(INDEX($F$27:$F$36,MATCH(C589,($F$27:$F$36)*($D$27:$D$36&lt;&gt;0),0)),IF(OR(AND(D589=0,B589=0,B590&lt;&gt;0),AND(D589*D588&lt;0,B589&lt;&gt;0)),IF(D589=0,C589,C589*(1-ABS(D589)/(ABS(D589)+ABS(D588)))+C588*(1-ABS(D588)/(ABS(D589)+ABS(D588)))),"")))</f>
        <v>#NAME?</v>
      </c>
    </row>
    <row r="590" spans="2:5" x14ac:dyDescent="0.25">
      <c r="B590" t="e">
        <f t="shared" ca="1" si="19"/>
        <v>#NAME?</v>
      </c>
      <c r="C590">
        <v>547</v>
      </c>
      <c r="D590" t="e">
        <f t="shared" ca="1" si="18"/>
        <v>#NAME?</v>
      </c>
      <c r="E590" s="115" t="e">
        <f t="array" aca="1" ref="E590" ca="1">IF(OR(C589=0,AND(B591=0,C591=0)),"",IFERROR(INDEX($F$27:$F$36,MATCH(C590,($F$27:$F$36)*($D$27:$D$36&lt;&gt;0),0)),IF(OR(AND(D590=0,B590=0,B591&lt;&gt;0),AND(D590*D589&lt;0,B590&lt;&gt;0)),IF(D590=0,C590,C590*(1-ABS(D590)/(ABS(D590)+ABS(D589)))+C589*(1-ABS(D589)/(ABS(D590)+ABS(D589)))),"")))</f>
        <v>#NAME?</v>
      </c>
    </row>
    <row r="591" spans="2:5" x14ac:dyDescent="0.25">
      <c r="B591" t="e">
        <f t="shared" ca="1" si="19"/>
        <v>#NAME?</v>
      </c>
      <c r="C591">
        <v>548</v>
      </c>
      <c r="D591" t="e">
        <f t="shared" ca="1" si="18"/>
        <v>#NAME?</v>
      </c>
      <c r="E591" s="115" t="e">
        <f t="array" aca="1" ref="E591" ca="1">IF(OR(C590=0,AND(B592=0,C592=0)),"",IFERROR(INDEX($F$27:$F$36,MATCH(C591,($F$27:$F$36)*($D$27:$D$36&lt;&gt;0),0)),IF(OR(AND(D591=0,B591=0,B592&lt;&gt;0),AND(D591*D590&lt;0,B591&lt;&gt;0)),IF(D591=0,C591,C591*(1-ABS(D591)/(ABS(D591)+ABS(D590)))+C590*(1-ABS(D590)/(ABS(D591)+ABS(D590)))),"")))</f>
        <v>#NAME?</v>
      </c>
    </row>
    <row r="592" spans="2:5" x14ac:dyDescent="0.25">
      <c r="B592" t="e">
        <f t="shared" ca="1" si="19"/>
        <v>#NAME?</v>
      </c>
      <c r="C592">
        <v>549</v>
      </c>
      <c r="D592" t="e">
        <f t="shared" ca="1" si="18"/>
        <v>#NAME?</v>
      </c>
      <c r="E592" s="115" t="e">
        <f t="array" aca="1" ref="E592" ca="1">IF(OR(C591=0,AND(B593=0,C593=0)),"",IFERROR(INDEX($F$27:$F$36,MATCH(C592,($F$27:$F$36)*($D$27:$D$36&lt;&gt;0),0)),IF(OR(AND(D592=0,B592=0,B593&lt;&gt;0),AND(D592*D591&lt;0,B592&lt;&gt;0)),IF(D592=0,C592,C592*(1-ABS(D592)/(ABS(D592)+ABS(D591)))+C591*(1-ABS(D591)/(ABS(D592)+ABS(D591)))),"")))</f>
        <v>#NAME?</v>
      </c>
    </row>
    <row r="593" spans="2:5" x14ac:dyDescent="0.25">
      <c r="B593" t="e">
        <f t="shared" ca="1" si="19"/>
        <v>#NAME?</v>
      </c>
      <c r="C593">
        <v>550</v>
      </c>
      <c r="D593" t="e">
        <f t="shared" ca="1" si="18"/>
        <v>#NAME?</v>
      </c>
      <c r="E593" s="115" t="e">
        <f t="array" aca="1" ref="E593" ca="1">IF(OR(C592=0,AND(B594=0,C594=0)),"",IFERROR(INDEX($F$27:$F$36,MATCH(C593,($F$27:$F$36)*($D$27:$D$36&lt;&gt;0),0)),IF(OR(AND(D593=0,B593=0,B594&lt;&gt;0),AND(D593*D592&lt;0,B593&lt;&gt;0)),IF(D593=0,C593,C593*(1-ABS(D593)/(ABS(D593)+ABS(D592)))+C592*(1-ABS(D592)/(ABS(D593)+ABS(D592)))),"")))</f>
        <v>#NAME?</v>
      </c>
    </row>
    <row r="594" spans="2:5" x14ac:dyDescent="0.25">
      <c r="B594" t="e">
        <f t="shared" ca="1" si="19"/>
        <v>#NAME?</v>
      </c>
      <c r="C594">
        <v>551</v>
      </c>
      <c r="D594" t="e">
        <f t="shared" ca="1" si="18"/>
        <v>#NAME?</v>
      </c>
      <c r="E594" s="115" t="e">
        <f t="array" aca="1" ref="E594" ca="1">IF(OR(C593=0,AND(B595=0,C595=0)),"",IFERROR(INDEX($F$27:$F$36,MATCH(C594,($F$27:$F$36)*($D$27:$D$36&lt;&gt;0),0)),IF(OR(AND(D594=0,B594=0,B595&lt;&gt;0),AND(D594*D593&lt;0,B594&lt;&gt;0)),IF(D594=0,C594,C594*(1-ABS(D594)/(ABS(D594)+ABS(D593)))+C593*(1-ABS(D593)/(ABS(D594)+ABS(D593)))),"")))</f>
        <v>#NAME?</v>
      </c>
    </row>
    <row r="595" spans="2:5" x14ac:dyDescent="0.25">
      <c r="B595" t="e">
        <f t="shared" ca="1" si="19"/>
        <v>#NAME?</v>
      </c>
      <c r="C595">
        <v>552</v>
      </c>
      <c r="D595" t="e">
        <f t="shared" ca="1" si="18"/>
        <v>#NAME?</v>
      </c>
      <c r="E595" s="115" t="e">
        <f t="array" aca="1" ref="E595" ca="1">IF(OR(C594=0,AND(B596=0,C596=0)),"",IFERROR(INDEX($F$27:$F$36,MATCH(C595,($F$27:$F$36)*($D$27:$D$36&lt;&gt;0),0)),IF(OR(AND(D595=0,B595=0,B596&lt;&gt;0),AND(D595*D594&lt;0,B595&lt;&gt;0)),IF(D595=0,C595,C595*(1-ABS(D595)/(ABS(D595)+ABS(D594)))+C594*(1-ABS(D594)/(ABS(D595)+ABS(D594)))),"")))</f>
        <v>#NAME?</v>
      </c>
    </row>
    <row r="596" spans="2:5" x14ac:dyDescent="0.25">
      <c r="B596" t="e">
        <f t="shared" ca="1" si="19"/>
        <v>#NAME?</v>
      </c>
      <c r="C596">
        <v>553</v>
      </c>
      <c r="D596" t="e">
        <f t="shared" ca="1" si="18"/>
        <v>#NAME?</v>
      </c>
      <c r="E596" s="115" t="e">
        <f t="array" aca="1" ref="E596" ca="1">IF(OR(C595=0,AND(B597=0,C597=0)),"",IFERROR(INDEX($F$27:$F$36,MATCH(C596,($F$27:$F$36)*($D$27:$D$36&lt;&gt;0),0)),IF(OR(AND(D596=0,B596=0,B597&lt;&gt;0),AND(D596*D595&lt;0,B596&lt;&gt;0)),IF(D596=0,C596,C596*(1-ABS(D596)/(ABS(D596)+ABS(D595)))+C595*(1-ABS(D595)/(ABS(D596)+ABS(D595)))),"")))</f>
        <v>#NAME?</v>
      </c>
    </row>
    <row r="597" spans="2:5" x14ac:dyDescent="0.25">
      <c r="B597" t="e">
        <f t="shared" ca="1" si="19"/>
        <v>#NAME?</v>
      </c>
      <c r="C597">
        <v>554</v>
      </c>
      <c r="D597" t="e">
        <f t="shared" ca="1" si="18"/>
        <v>#NAME?</v>
      </c>
      <c r="E597" s="115" t="e">
        <f t="array" aca="1" ref="E597" ca="1">IF(OR(C596=0,AND(B598=0,C598=0)),"",IFERROR(INDEX($F$27:$F$36,MATCH(C597,($F$27:$F$36)*($D$27:$D$36&lt;&gt;0),0)),IF(OR(AND(D597=0,B597=0,B598&lt;&gt;0),AND(D597*D596&lt;0,B597&lt;&gt;0)),IF(D597=0,C597,C597*(1-ABS(D597)/(ABS(D597)+ABS(D596)))+C596*(1-ABS(D596)/(ABS(D597)+ABS(D596)))),"")))</f>
        <v>#NAME?</v>
      </c>
    </row>
    <row r="598" spans="2:5" x14ac:dyDescent="0.25">
      <c r="B598" t="e">
        <f t="shared" ca="1" si="19"/>
        <v>#NAME?</v>
      </c>
      <c r="C598">
        <v>555</v>
      </c>
      <c r="D598" t="e">
        <f t="shared" ca="1" si="18"/>
        <v>#NAME?</v>
      </c>
      <c r="E598" s="115" t="e">
        <f t="array" aca="1" ref="E598" ca="1">IF(OR(C597=0,AND(B599=0,C599=0)),"",IFERROR(INDEX($F$27:$F$36,MATCH(C598,($F$27:$F$36)*($D$27:$D$36&lt;&gt;0),0)),IF(OR(AND(D598=0,B598=0,B599&lt;&gt;0),AND(D598*D597&lt;0,B598&lt;&gt;0)),IF(D598=0,C598,C598*(1-ABS(D598)/(ABS(D598)+ABS(D597)))+C597*(1-ABS(D597)/(ABS(D598)+ABS(D597)))),"")))</f>
        <v>#NAME?</v>
      </c>
    </row>
    <row r="599" spans="2:5" x14ac:dyDescent="0.25">
      <c r="B599" t="e">
        <f t="shared" ca="1" si="19"/>
        <v>#NAME?</v>
      </c>
      <c r="C599">
        <v>556</v>
      </c>
      <c r="D599" t="e">
        <f t="shared" ca="1" si="18"/>
        <v>#NAME?</v>
      </c>
      <c r="E599" s="115" t="e">
        <f t="array" aca="1" ref="E599" ca="1">IF(OR(C598=0,AND(B600=0,C600=0)),"",IFERROR(INDEX($F$27:$F$36,MATCH(C599,($F$27:$F$36)*($D$27:$D$36&lt;&gt;0),0)),IF(OR(AND(D599=0,B599=0,B600&lt;&gt;0),AND(D599*D598&lt;0,B599&lt;&gt;0)),IF(D599=0,C599,C599*(1-ABS(D599)/(ABS(D599)+ABS(D598)))+C598*(1-ABS(D598)/(ABS(D599)+ABS(D598)))),"")))</f>
        <v>#NAME?</v>
      </c>
    </row>
    <row r="600" spans="2:5" x14ac:dyDescent="0.25">
      <c r="B600" t="e">
        <f t="shared" ca="1" si="19"/>
        <v>#NAME?</v>
      </c>
      <c r="C600">
        <v>557</v>
      </c>
      <c r="D600" t="e">
        <f t="shared" ca="1" si="18"/>
        <v>#NAME?</v>
      </c>
      <c r="E600" s="115" t="e">
        <f t="array" aca="1" ref="E600" ca="1">IF(OR(C599=0,AND(B601=0,C601=0)),"",IFERROR(INDEX($F$27:$F$36,MATCH(C600,($F$27:$F$36)*($D$27:$D$36&lt;&gt;0),0)),IF(OR(AND(D600=0,B600=0,B601&lt;&gt;0),AND(D600*D599&lt;0,B600&lt;&gt;0)),IF(D600=0,C600,C600*(1-ABS(D600)/(ABS(D600)+ABS(D599)))+C599*(1-ABS(D599)/(ABS(D600)+ABS(D599)))),"")))</f>
        <v>#NAME?</v>
      </c>
    </row>
    <row r="601" spans="2:5" x14ac:dyDescent="0.25">
      <c r="B601" t="e">
        <f t="shared" ca="1" si="19"/>
        <v>#NAME?</v>
      </c>
      <c r="C601">
        <v>558</v>
      </c>
      <c r="D601" t="e">
        <f t="shared" ca="1" si="18"/>
        <v>#NAME?</v>
      </c>
      <c r="E601" s="115" t="e">
        <f t="array" aca="1" ref="E601" ca="1">IF(OR(C600=0,AND(B602=0,C602=0)),"",IFERROR(INDEX($F$27:$F$36,MATCH(C601,($F$27:$F$36)*($D$27:$D$36&lt;&gt;0),0)),IF(OR(AND(D601=0,B601=0,B602&lt;&gt;0),AND(D601*D600&lt;0,B601&lt;&gt;0)),IF(D601=0,C601,C601*(1-ABS(D601)/(ABS(D601)+ABS(D600)))+C600*(1-ABS(D600)/(ABS(D601)+ABS(D600)))),"")))</f>
        <v>#NAME?</v>
      </c>
    </row>
    <row r="602" spans="2:5" x14ac:dyDescent="0.25">
      <c r="B602" t="e">
        <f t="shared" ca="1" si="19"/>
        <v>#NAME?</v>
      </c>
      <c r="C602">
        <v>559</v>
      </c>
      <c r="D602" t="e">
        <f t="shared" ca="1" si="18"/>
        <v>#NAME?</v>
      </c>
      <c r="E602" s="115" t="e">
        <f t="array" aca="1" ref="E602" ca="1">IF(OR(C601=0,AND(B603=0,C603=0)),"",IFERROR(INDEX($F$27:$F$36,MATCH(C602,($F$27:$F$36)*($D$27:$D$36&lt;&gt;0),0)),IF(OR(AND(D602=0,B602=0,B603&lt;&gt;0),AND(D602*D601&lt;0,B602&lt;&gt;0)),IF(D602=0,C602,C602*(1-ABS(D602)/(ABS(D602)+ABS(D601)))+C601*(1-ABS(D601)/(ABS(D602)+ABS(D601)))),"")))</f>
        <v>#NAME?</v>
      </c>
    </row>
    <row r="603" spans="2:5" x14ac:dyDescent="0.25">
      <c r="B603" t="e">
        <f t="shared" ca="1" si="19"/>
        <v>#NAME?</v>
      </c>
      <c r="C603">
        <v>560</v>
      </c>
      <c r="D603" t="e">
        <f t="shared" ca="1" si="18"/>
        <v>#NAME?</v>
      </c>
      <c r="E603" s="115" t="e">
        <f t="array" aca="1" ref="E603" ca="1">IF(OR(C602=0,AND(B604=0,C604=0)),"",IFERROR(INDEX($F$27:$F$36,MATCH(C603,($F$27:$F$36)*($D$27:$D$36&lt;&gt;0),0)),IF(OR(AND(D603=0,B603=0,B604&lt;&gt;0),AND(D603*D602&lt;0,B603&lt;&gt;0)),IF(D603=0,C603,C603*(1-ABS(D603)/(ABS(D603)+ABS(D602)))+C602*(1-ABS(D602)/(ABS(D603)+ABS(D602)))),"")))</f>
        <v>#NAME?</v>
      </c>
    </row>
    <row r="604" spans="2:5" x14ac:dyDescent="0.25">
      <c r="B604" t="e">
        <f t="shared" ca="1" si="19"/>
        <v>#NAME?</v>
      </c>
      <c r="C604">
        <v>561</v>
      </c>
      <c r="D604" t="e">
        <f t="shared" ca="1" si="18"/>
        <v>#NAME?</v>
      </c>
      <c r="E604" s="115" t="e">
        <f t="array" aca="1" ref="E604" ca="1">IF(OR(C603=0,AND(B605=0,C605=0)),"",IFERROR(INDEX($F$27:$F$36,MATCH(C604,($F$27:$F$36)*($D$27:$D$36&lt;&gt;0),0)),IF(OR(AND(D604=0,B604=0,B605&lt;&gt;0),AND(D604*D603&lt;0,B604&lt;&gt;0)),IF(D604=0,C604,C604*(1-ABS(D604)/(ABS(D604)+ABS(D603)))+C603*(1-ABS(D603)/(ABS(D604)+ABS(D603)))),"")))</f>
        <v>#NAME?</v>
      </c>
    </row>
    <row r="605" spans="2:5" x14ac:dyDescent="0.25">
      <c r="B605" t="e">
        <f t="shared" ca="1" si="19"/>
        <v>#NAME?</v>
      </c>
      <c r="C605">
        <v>562</v>
      </c>
      <c r="D605" t="e">
        <f t="shared" ca="1" si="18"/>
        <v>#NAME?</v>
      </c>
      <c r="E605" s="115" t="e">
        <f t="array" aca="1" ref="E605" ca="1">IF(OR(C604=0,AND(B606=0,C606=0)),"",IFERROR(INDEX($F$27:$F$36,MATCH(C605,($F$27:$F$36)*($D$27:$D$36&lt;&gt;0),0)),IF(OR(AND(D605=0,B605=0,B606&lt;&gt;0),AND(D605*D604&lt;0,B605&lt;&gt;0)),IF(D605=0,C605,C605*(1-ABS(D605)/(ABS(D605)+ABS(D604)))+C604*(1-ABS(D604)/(ABS(D605)+ABS(D604)))),"")))</f>
        <v>#NAME?</v>
      </c>
    </row>
    <row r="606" spans="2:5" x14ac:dyDescent="0.25">
      <c r="B606" t="e">
        <f t="shared" ca="1" si="19"/>
        <v>#NAME?</v>
      </c>
      <c r="C606">
        <v>563</v>
      </c>
      <c r="D606" t="e">
        <f t="shared" ca="1" si="18"/>
        <v>#NAME?</v>
      </c>
      <c r="E606" s="115" t="e">
        <f t="array" aca="1" ref="E606" ca="1">IF(OR(C605=0,AND(B607=0,C607=0)),"",IFERROR(INDEX($F$27:$F$36,MATCH(C606,($F$27:$F$36)*($D$27:$D$36&lt;&gt;0),0)),IF(OR(AND(D606=0,B606=0,B607&lt;&gt;0),AND(D606*D605&lt;0,B606&lt;&gt;0)),IF(D606=0,C606,C606*(1-ABS(D606)/(ABS(D606)+ABS(D605)))+C605*(1-ABS(D605)/(ABS(D606)+ABS(D605)))),"")))</f>
        <v>#NAME?</v>
      </c>
    </row>
    <row r="607" spans="2:5" x14ac:dyDescent="0.25">
      <c r="B607" t="e">
        <f t="shared" ca="1" si="19"/>
        <v>#NAME?</v>
      </c>
      <c r="C607">
        <v>564</v>
      </c>
      <c r="D607" t="e">
        <f t="shared" ca="1" si="18"/>
        <v>#NAME?</v>
      </c>
      <c r="E607" s="115" t="e">
        <f t="array" aca="1" ref="E607" ca="1">IF(OR(C606=0,AND(B608=0,C608=0)),"",IFERROR(INDEX($F$27:$F$36,MATCH(C607,($F$27:$F$36)*($D$27:$D$36&lt;&gt;0),0)),IF(OR(AND(D607=0,B607=0,B608&lt;&gt;0),AND(D607*D606&lt;0,B607&lt;&gt;0)),IF(D607=0,C607,C607*(1-ABS(D607)/(ABS(D607)+ABS(D606)))+C606*(1-ABS(D606)/(ABS(D607)+ABS(D606)))),"")))</f>
        <v>#NAME?</v>
      </c>
    </row>
    <row r="608" spans="2:5" x14ac:dyDescent="0.25">
      <c r="B608" t="e">
        <f t="shared" ca="1" si="19"/>
        <v>#NAME?</v>
      </c>
      <c r="C608">
        <v>565</v>
      </c>
      <c r="D608" t="e">
        <f t="shared" ca="1" si="18"/>
        <v>#NAME?</v>
      </c>
      <c r="E608" s="115" t="e">
        <f t="array" aca="1" ref="E608" ca="1">IF(OR(C607=0,AND(B609=0,C609=0)),"",IFERROR(INDEX($F$27:$F$36,MATCH(C608,($F$27:$F$36)*($D$27:$D$36&lt;&gt;0),0)),IF(OR(AND(D608=0,B608=0,B609&lt;&gt;0),AND(D608*D607&lt;0,B608&lt;&gt;0)),IF(D608=0,C608,C608*(1-ABS(D608)/(ABS(D608)+ABS(D607)))+C607*(1-ABS(D607)/(ABS(D608)+ABS(D607)))),"")))</f>
        <v>#NAME?</v>
      </c>
    </row>
    <row r="609" spans="2:5" x14ac:dyDescent="0.25">
      <c r="B609" t="e">
        <f t="shared" ca="1" si="19"/>
        <v>#NAME?</v>
      </c>
      <c r="C609">
        <v>566</v>
      </c>
      <c r="D609" t="e">
        <f t="shared" ca="1" si="18"/>
        <v>#NAME?</v>
      </c>
      <c r="E609" s="115" t="e">
        <f t="array" aca="1" ref="E609" ca="1">IF(OR(C608=0,AND(B610=0,C610=0)),"",IFERROR(INDEX($F$27:$F$36,MATCH(C609,($F$27:$F$36)*($D$27:$D$36&lt;&gt;0),0)),IF(OR(AND(D609=0,B609=0,B610&lt;&gt;0),AND(D609*D608&lt;0,B609&lt;&gt;0)),IF(D609=0,C609,C609*(1-ABS(D609)/(ABS(D609)+ABS(D608)))+C608*(1-ABS(D608)/(ABS(D609)+ABS(D608)))),"")))</f>
        <v>#NAME?</v>
      </c>
    </row>
    <row r="610" spans="2:5" x14ac:dyDescent="0.25">
      <c r="B610" t="e">
        <f t="shared" ca="1" si="19"/>
        <v>#NAME?</v>
      </c>
      <c r="C610">
        <v>567</v>
      </c>
      <c r="D610" t="e">
        <f t="shared" ca="1" si="18"/>
        <v>#NAME?</v>
      </c>
      <c r="E610" s="115" t="e">
        <f t="array" aca="1" ref="E610" ca="1">IF(OR(C609=0,AND(B611=0,C611=0)),"",IFERROR(INDEX($F$27:$F$36,MATCH(C610,($F$27:$F$36)*($D$27:$D$36&lt;&gt;0),0)),IF(OR(AND(D610=0,B610=0,B611&lt;&gt;0),AND(D610*D609&lt;0,B610&lt;&gt;0)),IF(D610=0,C610,C610*(1-ABS(D610)/(ABS(D610)+ABS(D609)))+C609*(1-ABS(D609)/(ABS(D610)+ABS(D609)))),"")))</f>
        <v>#NAME?</v>
      </c>
    </row>
    <row r="611" spans="2:5" x14ac:dyDescent="0.25">
      <c r="B611" t="e">
        <f t="shared" ca="1" si="19"/>
        <v>#NAME?</v>
      </c>
      <c r="C611">
        <v>568</v>
      </c>
      <c r="D611" t="e">
        <f t="shared" ca="1" si="18"/>
        <v>#NAME?</v>
      </c>
      <c r="E611" s="115" t="e">
        <f t="array" aca="1" ref="E611" ca="1">IF(OR(C610=0,AND(B612=0,C612=0)),"",IFERROR(INDEX($F$27:$F$36,MATCH(C611,($F$27:$F$36)*($D$27:$D$36&lt;&gt;0),0)),IF(OR(AND(D611=0,B611=0,B612&lt;&gt;0),AND(D611*D610&lt;0,B611&lt;&gt;0)),IF(D611=0,C611,C611*(1-ABS(D611)/(ABS(D611)+ABS(D610)))+C610*(1-ABS(D610)/(ABS(D611)+ABS(D610)))),"")))</f>
        <v>#NAME?</v>
      </c>
    </row>
    <row r="612" spans="2:5" x14ac:dyDescent="0.25">
      <c r="B612" t="e">
        <f t="shared" ca="1" si="19"/>
        <v>#NAME?</v>
      </c>
      <c r="C612">
        <v>569</v>
      </c>
      <c r="D612" t="e">
        <f t="shared" ca="1" si="18"/>
        <v>#NAME?</v>
      </c>
      <c r="E612" s="115" t="e">
        <f t="array" aca="1" ref="E612" ca="1">IF(OR(C611=0,AND(B613=0,C613=0)),"",IFERROR(INDEX($F$27:$F$36,MATCH(C612,($F$27:$F$36)*($D$27:$D$36&lt;&gt;0),0)),IF(OR(AND(D612=0,B612=0,B613&lt;&gt;0),AND(D612*D611&lt;0,B612&lt;&gt;0)),IF(D612=0,C612,C612*(1-ABS(D612)/(ABS(D612)+ABS(D611)))+C611*(1-ABS(D611)/(ABS(D612)+ABS(D611)))),"")))</f>
        <v>#NAME?</v>
      </c>
    </row>
    <row r="613" spans="2:5" x14ac:dyDescent="0.25">
      <c r="B613" t="e">
        <f t="shared" ca="1" si="19"/>
        <v>#NAME?</v>
      </c>
      <c r="C613">
        <v>570</v>
      </c>
      <c r="D613" t="e">
        <f t="shared" ca="1" si="18"/>
        <v>#NAME?</v>
      </c>
      <c r="E613" s="115" t="e">
        <f t="array" aca="1" ref="E613" ca="1">IF(OR(C612=0,AND(B614=0,C614=0)),"",IFERROR(INDEX($F$27:$F$36,MATCH(C613,($F$27:$F$36)*($D$27:$D$36&lt;&gt;0),0)),IF(OR(AND(D613=0,B613=0,B614&lt;&gt;0),AND(D613*D612&lt;0,B613&lt;&gt;0)),IF(D613=0,C613,C613*(1-ABS(D613)/(ABS(D613)+ABS(D612)))+C612*(1-ABS(D612)/(ABS(D613)+ABS(D612)))),"")))</f>
        <v>#NAME?</v>
      </c>
    </row>
    <row r="614" spans="2:5" x14ac:dyDescent="0.25">
      <c r="B614" t="e">
        <f t="shared" ca="1" si="19"/>
        <v>#NAME?</v>
      </c>
      <c r="C614">
        <v>571</v>
      </c>
      <c r="D614" t="e">
        <f t="shared" ca="1" si="18"/>
        <v>#NAME?</v>
      </c>
      <c r="E614" s="115" t="e">
        <f t="array" aca="1" ref="E614" ca="1">IF(OR(C613=0,AND(B615=0,C615=0)),"",IFERROR(INDEX($F$27:$F$36,MATCH(C614,($F$27:$F$36)*($D$27:$D$36&lt;&gt;0),0)),IF(OR(AND(D614=0,B614=0,B615&lt;&gt;0),AND(D614*D613&lt;0,B614&lt;&gt;0)),IF(D614=0,C614,C614*(1-ABS(D614)/(ABS(D614)+ABS(D613)))+C613*(1-ABS(D613)/(ABS(D614)+ABS(D613)))),"")))</f>
        <v>#NAME?</v>
      </c>
    </row>
    <row r="615" spans="2:5" x14ac:dyDescent="0.25">
      <c r="B615" t="e">
        <f t="shared" ca="1" si="19"/>
        <v>#NAME?</v>
      </c>
      <c r="C615">
        <v>572</v>
      </c>
      <c r="D615" t="e">
        <f t="shared" ca="1" si="18"/>
        <v>#NAME?</v>
      </c>
      <c r="E615" s="115" t="e">
        <f t="array" aca="1" ref="E615" ca="1">IF(OR(C614=0,AND(B616=0,C616=0)),"",IFERROR(INDEX($F$27:$F$36,MATCH(C615,($F$27:$F$36)*($D$27:$D$36&lt;&gt;0),0)),IF(OR(AND(D615=0,B615=0,B616&lt;&gt;0),AND(D615*D614&lt;0,B615&lt;&gt;0)),IF(D615=0,C615,C615*(1-ABS(D615)/(ABS(D615)+ABS(D614)))+C614*(1-ABS(D614)/(ABS(D615)+ABS(D614)))),"")))</f>
        <v>#NAME?</v>
      </c>
    </row>
    <row r="616" spans="2:5" x14ac:dyDescent="0.25">
      <c r="B616" t="e">
        <f t="shared" ca="1" si="19"/>
        <v>#NAME?</v>
      </c>
      <c r="C616">
        <v>573</v>
      </c>
      <c r="D616" t="e">
        <f t="shared" ca="1" si="18"/>
        <v>#NAME?</v>
      </c>
      <c r="E616" s="115" t="e">
        <f t="array" aca="1" ref="E616" ca="1">IF(OR(C615=0,AND(B617=0,C617=0)),"",IFERROR(INDEX($F$27:$F$36,MATCH(C616,($F$27:$F$36)*($D$27:$D$36&lt;&gt;0),0)),IF(OR(AND(D616=0,B616=0,B617&lt;&gt;0),AND(D616*D615&lt;0,B616&lt;&gt;0)),IF(D616=0,C616,C616*(1-ABS(D616)/(ABS(D616)+ABS(D615)))+C615*(1-ABS(D615)/(ABS(D616)+ABS(D615)))),"")))</f>
        <v>#NAME?</v>
      </c>
    </row>
    <row r="617" spans="2:5" x14ac:dyDescent="0.25">
      <c r="B617" t="e">
        <f t="shared" ca="1" si="19"/>
        <v>#NAME?</v>
      </c>
      <c r="C617">
        <v>574</v>
      </c>
      <c r="D617" t="e">
        <f t="shared" ca="1" si="18"/>
        <v>#NAME?</v>
      </c>
      <c r="E617" s="115" t="e">
        <f t="array" aca="1" ref="E617" ca="1">IF(OR(C616=0,AND(B618=0,C618=0)),"",IFERROR(INDEX($F$27:$F$36,MATCH(C617,($F$27:$F$36)*($D$27:$D$36&lt;&gt;0),0)),IF(OR(AND(D617=0,B617=0,B618&lt;&gt;0),AND(D617*D616&lt;0,B617&lt;&gt;0)),IF(D617=0,C617,C617*(1-ABS(D617)/(ABS(D617)+ABS(D616)))+C616*(1-ABS(D616)/(ABS(D617)+ABS(D616)))),"")))</f>
        <v>#NAME?</v>
      </c>
    </row>
    <row r="618" spans="2:5" x14ac:dyDescent="0.25">
      <c r="B618" t="e">
        <f t="shared" ca="1" si="19"/>
        <v>#NAME?</v>
      </c>
      <c r="C618">
        <v>575</v>
      </c>
      <c r="D618" t="e">
        <f t="shared" ca="1" si="18"/>
        <v>#NAME?</v>
      </c>
      <c r="E618" s="115" t="e">
        <f t="array" aca="1" ref="E618" ca="1">IF(OR(C617=0,AND(B619=0,C619=0)),"",IFERROR(INDEX($F$27:$F$36,MATCH(C618,($F$27:$F$36)*($D$27:$D$36&lt;&gt;0),0)),IF(OR(AND(D618=0,B618=0,B619&lt;&gt;0),AND(D618*D617&lt;0,B618&lt;&gt;0)),IF(D618=0,C618,C618*(1-ABS(D618)/(ABS(D618)+ABS(D617)))+C617*(1-ABS(D617)/(ABS(D618)+ABS(D617)))),"")))</f>
        <v>#NAME?</v>
      </c>
    </row>
    <row r="619" spans="2:5" x14ac:dyDescent="0.25">
      <c r="B619" t="e">
        <f t="shared" ca="1" si="19"/>
        <v>#NAME?</v>
      </c>
      <c r="C619">
        <v>576</v>
      </c>
      <c r="D619" t="e">
        <f t="shared" ref="D619:D682" ca="1" si="20">SUMPRODUCT(--($J$27:$J$37&gt;0),--($C619-$F$27:$F$37&gt;0),($D$27:$D$37),($C619-$F$27:$F$37))+SUMPRODUCT(--($J$27:$J$37&lt;0),--($F$27:$F$37-$C619&gt;0),($D$27:$D$37),($F$27:$F$37-$C619))-SUMPRODUCT($D$27:$D$37,$E$27:$E$37)</f>
        <v>#NAME?</v>
      </c>
      <c r="E619" s="115" t="e">
        <f t="array" aca="1" ref="E619" ca="1">IF(OR(C618=0,AND(B620=0,C620=0)),"",IFERROR(INDEX($F$27:$F$36,MATCH(C619,($F$27:$F$36)*($D$27:$D$36&lt;&gt;0),0)),IF(OR(AND(D619=0,B619=0,B620&lt;&gt;0),AND(D619*D618&lt;0,B619&lt;&gt;0)),IF(D619=0,C619,C619*(1-ABS(D619)/(ABS(D619)+ABS(D618)))+C618*(1-ABS(D618)/(ABS(D619)+ABS(D618)))),"")))</f>
        <v>#NAME?</v>
      </c>
    </row>
    <row r="620" spans="2:5" x14ac:dyDescent="0.25">
      <c r="B620" t="e">
        <f t="shared" ref="B620:B683" ca="1" si="21">ROUND((D620-D619)/(C620-C619),12)</f>
        <v>#NAME?</v>
      </c>
      <c r="C620">
        <v>577</v>
      </c>
      <c r="D620" t="e">
        <f t="shared" ca="1" si="20"/>
        <v>#NAME?</v>
      </c>
      <c r="E620" s="115" t="e">
        <f t="array" aca="1" ref="E620" ca="1">IF(OR(C619=0,AND(B621=0,C621=0)),"",IFERROR(INDEX($F$27:$F$36,MATCH(C620,($F$27:$F$36)*($D$27:$D$36&lt;&gt;0),0)),IF(OR(AND(D620=0,B620=0,B621&lt;&gt;0),AND(D620*D619&lt;0,B620&lt;&gt;0)),IF(D620=0,C620,C620*(1-ABS(D620)/(ABS(D620)+ABS(D619)))+C619*(1-ABS(D619)/(ABS(D620)+ABS(D619)))),"")))</f>
        <v>#NAME?</v>
      </c>
    </row>
    <row r="621" spans="2:5" x14ac:dyDescent="0.25">
      <c r="B621" t="e">
        <f t="shared" ca="1" si="21"/>
        <v>#NAME?</v>
      </c>
      <c r="C621">
        <v>578</v>
      </c>
      <c r="D621" t="e">
        <f t="shared" ca="1" si="20"/>
        <v>#NAME?</v>
      </c>
      <c r="E621" s="115" t="e">
        <f t="array" aca="1" ref="E621" ca="1">IF(OR(C620=0,AND(B622=0,C622=0)),"",IFERROR(INDEX($F$27:$F$36,MATCH(C621,($F$27:$F$36)*($D$27:$D$36&lt;&gt;0),0)),IF(OR(AND(D621=0,B621=0,B622&lt;&gt;0),AND(D621*D620&lt;0,B621&lt;&gt;0)),IF(D621=0,C621,C621*(1-ABS(D621)/(ABS(D621)+ABS(D620)))+C620*(1-ABS(D620)/(ABS(D621)+ABS(D620)))),"")))</f>
        <v>#NAME?</v>
      </c>
    </row>
    <row r="622" spans="2:5" x14ac:dyDescent="0.25">
      <c r="B622" t="e">
        <f t="shared" ca="1" si="21"/>
        <v>#NAME?</v>
      </c>
      <c r="C622">
        <v>579</v>
      </c>
      <c r="D622" t="e">
        <f t="shared" ca="1" si="20"/>
        <v>#NAME?</v>
      </c>
      <c r="E622" s="115" t="e">
        <f t="array" aca="1" ref="E622" ca="1">IF(OR(C621=0,AND(B623=0,C623=0)),"",IFERROR(INDEX($F$27:$F$36,MATCH(C622,($F$27:$F$36)*($D$27:$D$36&lt;&gt;0),0)),IF(OR(AND(D622=0,B622=0,B623&lt;&gt;0),AND(D622*D621&lt;0,B622&lt;&gt;0)),IF(D622=0,C622,C622*(1-ABS(D622)/(ABS(D622)+ABS(D621)))+C621*(1-ABS(D621)/(ABS(D622)+ABS(D621)))),"")))</f>
        <v>#NAME?</v>
      </c>
    </row>
    <row r="623" spans="2:5" x14ac:dyDescent="0.25">
      <c r="B623" t="e">
        <f t="shared" ca="1" si="21"/>
        <v>#NAME?</v>
      </c>
      <c r="C623">
        <v>580</v>
      </c>
      <c r="D623" t="e">
        <f t="shared" ca="1" si="20"/>
        <v>#NAME?</v>
      </c>
      <c r="E623" s="115" t="e">
        <f t="array" aca="1" ref="E623" ca="1">IF(OR(C622=0,AND(B624=0,C624=0)),"",IFERROR(INDEX($F$27:$F$36,MATCH(C623,($F$27:$F$36)*($D$27:$D$36&lt;&gt;0),0)),IF(OR(AND(D623=0,B623=0,B624&lt;&gt;0),AND(D623*D622&lt;0,B623&lt;&gt;0)),IF(D623=0,C623,C623*(1-ABS(D623)/(ABS(D623)+ABS(D622)))+C622*(1-ABS(D622)/(ABS(D623)+ABS(D622)))),"")))</f>
        <v>#NAME?</v>
      </c>
    </row>
    <row r="624" spans="2:5" x14ac:dyDescent="0.25">
      <c r="B624" t="e">
        <f t="shared" ca="1" si="21"/>
        <v>#NAME?</v>
      </c>
      <c r="C624">
        <v>581</v>
      </c>
      <c r="D624" t="e">
        <f t="shared" ca="1" si="20"/>
        <v>#NAME?</v>
      </c>
      <c r="E624" s="115" t="e">
        <f t="array" aca="1" ref="E624" ca="1">IF(OR(C623=0,AND(B625=0,C625=0)),"",IFERROR(INDEX($F$27:$F$36,MATCH(C624,($F$27:$F$36)*($D$27:$D$36&lt;&gt;0),0)),IF(OR(AND(D624=0,B624=0,B625&lt;&gt;0),AND(D624*D623&lt;0,B624&lt;&gt;0)),IF(D624=0,C624,C624*(1-ABS(D624)/(ABS(D624)+ABS(D623)))+C623*(1-ABS(D623)/(ABS(D624)+ABS(D623)))),"")))</f>
        <v>#NAME?</v>
      </c>
    </row>
    <row r="625" spans="2:5" x14ac:dyDescent="0.25">
      <c r="B625" t="e">
        <f t="shared" ca="1" si="21"/>
        <v>#NAME?</v>
      </c>
      <c r="C625">
        <v>582</v>
      </c>
      <c r="D625" t="e">
        <f t="shared" ca="1" si="20"/>
        <v>#NAME?</v>
      </c>
      <c r="E625" s="115" t="e">
        <f t="array" aca="1" ref="E625" ca="1">IF(OR(C624=0,AND(B626=0,C626=0)),"",IFERROR(INDEX($F$27:$F$36,MATCH(C625,($F$27:$F$36)*($D$27:$D$36&lt;&gt;0),0)),IF(OR(AND(D625=0,B625=0,B626&lt;&gt;0),AND(D625*D624&lt;0,B625&lt;&gt;0)),IF(D625=0,C625,C625*(1-ABS(D625)/(ABS(D625)+ABS(D624)))+C624*(1-ABS(D624)/(ABS(D625)+ABS(D624)))),"")))</f>
        <v>#NAME?</v>
      </c>
    </row>
    <row r="626" spans="2:5" x14ac:dyDescent="0.25">
      <c r="B626" t="e">
        <f t="shared" ca="1" si="21"/>
        <v>#NAME?</v>
      </c>
      <c r="C626">
        <v>583</v>
      </c>
      <c r="D626" t="e">
        <f t="shared" ca="1" si="20"/>
        <v>#NAME?</v>
      </c>
      <c r="E626" s="115" t="e">
        <f t="array" aca="1" ref="E626" ca="1">IF(OR(C625=0,AND(B627=0,C627=0)),"",IFERROR(INDEX($F$27:$F$36,MATCH(C626,($F$27:$F$36)*($D$27:$D$36&lt;&gt;0),0)),IF(OR(AND(D626=0,B626=0,B627&lt;&gt;0),AND(D626*D625&lt;0,B626&lt;&gt;0)),IF(D626=0,C626,C626*(1-ABS(D626)/(ABS(D626)+ABS(D625)))+C625*(1-ABS(D625)/(ABS(D626)+ABS(D625)))),"")))</f>
        <v>#NAME?</v>
      </c>
    </row>
    <row r="627" spans="2:5" x14ac:dyDescent="0.25">
      <c r="B627" t="e">
        <f t="shared" ca="1" si="21"/>
        <v>#NAME?</v>
      </c>
      <c r="C627">
        <v>584</v>
      </c>
      <c r="D627" t="e">
        <f t="shared" ca="1" si="20"/>
        <v>#NAME?</v>
      </c>
      <c r="E627" s="115" t="e">
        <f t="array" aca="1" ref="E627" ca="1">IF(OR(C626=0,AND(B628=0,C628=0)),"",IFERROR(INDEX($F$27:$F$36,MATCH(C627,($F$27:$F$36)*($D$27:$D$36&lt;&gt;0),0)),IF(OR(AND(D627=0,B627=0,B628&lt;&gt;0),AND(D627*D626&lt;0,B627&lt;&gt;0)),IF(D627=0,C627,C627*(1-ABS(D627)/(ABS(D627)+ABS(D626)))+C626*(1-ABS(D626)/(ABS(D627)+ABS(D626)))),"")))</f>
        <v>#NAME?</v>
      </c>
    </row>
    <row r="628" spans="2:5" x14ac:dyDescent="0.25">
      <c r="B628" t="e">
        <f t="shared" ca="1" si="21"/>
        <v>#NAME?</v>
      </c>
      <c r="C628">
        <v>585</v>
      </c>
      <c r="D628" t="e">
        <f t="shared" ca="1" si="20"/>
        <v>#NAME?</v>
      </c>
      <c r="E628" s="115" t="e">
        <f t="array" aca="1" ref="E628" ca="1">IF(OR(C627=0,AND(B629=0,C629=0)),"",IFERROR(INDEX($F$27:$F$36,MATCH(C628,($F$27:$F$36)*($D$27:$D$36&lt;&gt;0),0)),IF(OR(AND(D628=0,B628=0,B629&lt;&gt;0),AND(D628*D627&lt;0,B628&lt;&gt;0)),IF(D628=0,C628,C628*(1-ABS(D628)/(ABS(D628)+ABS(D627)))+C627*(1-ABS(D627)/(ABS(D628)+ABS(D627)))),"")))</f>
        <v>#NAME?</v>
      </c>
    </row>
    <row r="629" spans="2:5" x14ac:dyDescent="0.25">
      <c r="B629" t="e">
        <f t="shared" ca="1" si="21"/>
        <v>#NAME?</v>
      </c>
      <c r="C629">
        <v>586</v>
      </c>
      <c r="D629" t="e">
        <f t="shared" ca="1" si="20"/>
        <v>#NAME?</v>
      </c>
      <c r="E629" s="115" t="e">
        <f t="array" aca="1" ref="E629" ca="1">IF(OR(C628=0,AND(B630=0,C630=0)),"",IFERROR(INDEX($F$27:$F$36,MATCH(C629,($F$27:$F$36)*($D$27:$D$36&lt;&gt;0),0)),IF(OR(AND(D629=0,B629=0,B630&lt;&gt;0),AND(D629*D628&lt;0,B629&lt;&gt;0)),IF(D629=0,C629,C629*(1-ABS(D629)/(ABS(D629)+ABS(D628)))+C628*(1-ABS(D628)/(ABS(D629)+ABS(D628)))),"")))</f>
        <v>#NAME?</v>
      </c>
    </row>
    <row r="630" spans="2:5" x14ac:dyDescent="0.25">
      <c r="B630" t="e">
        <f t="shared" ca="1" si="21"/>
        <v>#NAME?</v>
      </c>
      <c r="C630">
        <v>587</v>
      </c>
      <c r="D630" t="e">
        <f t="shared" ca="1" si="20"/>
        <v>#NAME?</v>
      </c>
      <c r="E630" s="115" t="e">
        <f t="array" aca="1" ref="E630" ca="1">IF(OR(C629=0,AND(B631=0,C631=0)),"",IFERROR(INDEX($F$27:$F$36,MATCH(C630,($F$27:$F$36)*($D$27:$D$36&lt;&gt;0),0)),IF(OR(AND(D630=0,B630=0,B631&lt;&gt;0),AND(D630*D629&lt;0,B630&lt;&gt;0)),IF(D630=0,C630,C630*(1-ABS(D630)/(ABS(D630)+ABS(D629)))+C629*(1-ABS(D629)/(ABS(D630)+ABS(D629)))),"")))</f>
        <v>#NAME?</v>
      </c>
    </row>
    <row r="631" spans="2:5" x14ac:dyDescent="0.25">
      <c r="B631" t="e">
        <f t="shared" ca="1" si="21"/>
        <v>#NAME?</v>
      </c>
      <c r="C631">
        <v>588</v>
      </c>
      <c r="D631" t="e">
        <f t="shared" ca="1" si="20"/>
        <v>#NAME?</v>
      </c>
      <c r="E631" s="115" t="e">
        <f t="array" aca="1" ref="E631" ca="1">IF(OR(C630=0,AND(B632=0,C632=0)),"",IFERROR(INDEX($F$27:$F$36,MATCH(C631,($F$27:$F$36)*($D$27:$D$36&lt;&gt;0),0)),IF(OR(AND(D631=0,B631=0,B632&lt;&gt;0),AND(D631*D630&lt;0,B631&lt;&gt;0)),IF(D631=0,C631,C631*(1-ABS(D631)/(ABS(D631)+ABS(D630)))+C630*(1-ABS(D630)/(ABS(D631)+ABS(D630)))),"")))</f>
        <v>#NAME?</v>
      </c>
    </row>
    <row r="632" spans="2:5" x14ac:dyDescent="0.25">
      <c r="B632" t="e">
        <f t="shared" ca="1" si="21"/>
        <v>#NAME?</v>
      </c>
      <c r="C632">
        <v>589</v>
      </c>
      <c r="D632" t="e">
        <f t="shared" ca="1" si="20"/>
        <v>#NAME?</v>
      </c>
      <c r="E632" s="115" t="e">
        <f t="array" aca="1" ref="E632" ca="1">IF(OR(C631=0,AND(B633=0,C633=0)),"",IFERROR(INDEX($F$27:$F$36,MATCH(C632,($F$27:$F$36)*($D$27:$D$36&lt;&gt;0),0)),IF(OR(AND(D632=0,B632=0,B633&lt;&gt;0),AND(D632*D631&lt;0,B632&lt;&gt;0)),IF(D632=0,C632,C632*(1-ABS(D632)/(ABS(D632)+ABS(D631)))+C631*(1-ABS(D631)/(ABS(D632)+ABS(D631)))),"")))</f>
        <v>#NAME?</v>
      </c>
    </row>
    <row r="633" spans="2:5" x14ac:dyDescent="0.25">
      <c r="B633" t="e">
        <f t="shared" ca="1" si="21"/>
        <v>#NAME?</v>
      </c>
      <c r="C633">
        <v>590</v>
      </c>
      <c r="D633" t="e">
        <f t="shared" ca="1" si="20"/>
        <v>#NAME?</v>
      </c>
      <c r="E633" s="115" t="e">
        <f t="array" aca="1" ref="E633" ca="1">IF(OR(C632=0,AND(B634=0,C634=0)),"",IFERROR(INDEX($F$27:$F$36,MATCH(C633,($F$27:$F$36)*($D$27:$D$36&lt;&gt;0),0)),IF(OR(AND(D633=0,B633=0,B634&lt;&gt;0),AND(D633*D632&lt;0,B633&lt;&gt;0)),IF(D633=0,C633,C633*(1-ABS(D633)/(ABS(D633)+ABS(D632)))+C632*(1-ABS(D632)/(ABS(D633)+ABS(D632)))),"")))</f>
        <v>#NAME?</v>
      </c>
    </row>
    <row r="634" spans="2:5" x14ac:dyDescent="0.25">
      <c r="B634" t="e">
        <f t="shared" ca="1" si="21"/>
        <v>#NAME?</v>
      </c>
      <c r="C634">
        <v>591</v>
      </c>
      <c r="D634" t="e">
        <f t="shared" ca="1" si="20"/>
        <v>#NAME?</v>
      </c>
      <c r="E634" s="115" t="e">
        <f t="array" aca="1" ref="E634" ca="1">IF(OR(C633=0,AND(B635=0,C635=0)),"",IFERROR(INDEX($F$27:$F$36,MATCH(C634,($F$27:$F$36)*($D$27:$D$36&lt;&gt;0),0)),IF(OR(AND(D634=0,B634=0,B635&lt;&gt;0),AND(D634*D633&lt;0,B634&lt;&gt;0)),IF(D634=0,C634,C634*(1-ABS(D634)/(ABS(D634)+ABS(D633)))+C633*(1-ABS(D633)/(ABS(D634)+ABS(D633)))),"")))</f>
        <v>#NAME?</v>
      </c>
    </row>
    <row r="635" spans="2:5" x14ac:dyDescent="0.25">
      <c r="B635" t="e">
        <f t="shared" ca="1" si="21"/>
        <v>#NAME?</v>
      </c>
      <c r="C635">
        <v>592</v>
      </c>
      <c r="D635" t="e">
        <f t="shared" ca="1" si="20"/>
        <v>#NAME?</v>
      </c>
      <c r="E635" s="115" t="e">
        <f t="array" aca="1" ref="E635" ca="1">IF(OR(C634=0,AND(B636=0,C636=0)),"",IFERROR(INDEX($F$27:$F$36,MATCH(C635,($F$27:$F$36)*($D$27:$D$36&lt;&gt;0),0)),IF(OR(AND(D635=0,B635=0,B636&lt;&gt;0),AND(D635*D634&lt;0,B635&lt;&gt;0)),IF(D635=0,C635,C635*(1-ABS(D635)/(ABS(D635)+ABS(D634)))+C634*(1-ABS(D634)/(ABS(D635)+ABS(D634)))),"")))</f>
        <v>#NAME?</v>
      </c>
    </row>
    <row r="636" spans="2:5" x14ac:dyDescent="0.25">
      <c r="B636" t="e">
        <f t="shared" ca="1" si="21"/>
        <v>#NAME?</v>
      </c>
      <c r="C636">
        <v>593</v>
      </c>
      <c r="D636" t="e">
        <f t="shared" ca="1" si="20"/>
        <v>#NAME?</v>
      </c>
      <c r="E636" s="115" t="e">
        <f t="array" aca="1" ref="E636" ca="1">IF(OR(C635=0,AND(B637=0,C637=0)),"",IFERROR(INDEX($F$27:$F$36,MATCH(C636,($F$27:$F$36)*($D$27:$D$36&lt;&gt;0),0)),IF(OR(AND(D636=0,B636=0,B637&lt;&gt;0),AND(D636*D635&lt;0,B636&lt;&gt;0)),IF(D636=0,C636,C636*(1-ABS(D636)/(ABS(D636)+ABS(D635)))+C635*(1-ABS(D635)/(ABS(D636)+ABS(D635)))),"")))</f>
        <v>#NAME?</v>
      </c>
    </row>
    <row r="637" spans="2:5" x14ac:dyDescent="0.25">
      <c r="B637" t="e">
        <f t="shared" ca="1" si="21"/>
        <v>#NAME?</v>
      </c>
      <c r="C637">
        <v>594</v>
      </c>
      <c r="D637" t="e">
        <f t="shared" ca="1" si="20"/>
        <v>#NAME?</v>
      </c>
      <c r="E637" s="115" t="e">
        <f t="array" aca="1" ref="E637" ca="1">IF(OR(C636=0,AND(B638=0,C638=0)),"",IFERROR(INDEX($F$27:$F$36,MATCH(C637,($F$27:$F$36)*($D$27:$D$36&lt;&gt;0),0)),IF(OR(AND(D637=0,B637=0,B638&lt;&gt;0),AND(D637*D636&lt;0,B637&lt;&gt;0)),IF(D637=0,C637,C637*(1-ABS(D637)/(ABS(D637)+ABS(D636)))+C636*(1-ABS(D636)/(ABS(D637)+ABS(D636)))),"")))</f>
        <v>#NAME?</v>
      </c>
    </row>
    <row r="638" spans="2:5" x14ac:dyDescent="0.25">
      <c r="B638" t="e">
        <f t="shared" ca="1" si="21"/>
        <v>#NAME?</v>
      </c>
      <c r="C638">
        <v>595</v>
      </c>
      <c r="D638" t="e">
        <f t="shared" ca="1" si="20"/>
        <v>#NAME?</v>
      </c>
      <c r="E638" s="115" t="e">
        <f t="array" aca="1" ref="E638" ca="1">IF(OR(C637=0,AND(B639=0,C639=0)),"",IFERROR(INDEX($F$27:$F$36,MATCH(C638,($F$27:$F$36)*($D$27:$D$36&lt;&gt;0),0)),IF(OR(AND(D638=0,B638=0,B639&lt;&gt;0),AND(D638*D637&lt;0,B638&lt;&gt;0)),IF(D638=0,C638,C638*(1-ABS(D638)/(ABS(D638)+ABS(D637)))+C637*(1-ABS(D637)/(ABS(D638)+ABS(D637)))),"")))</f>
        <v>#NAME?</v>
      </c>
    </row>
    <row r="639" spans="2:5" x14ac:dyDescent="0.25">
      <c r="B639" t="e">
        <f t="shared" ca="1" si="21"/>
        <v>#NAME?</v>
      </c>
      <c r="C639">
        <v>596</v>
      </c>
      <c r="D639" t="e">
        <f t="shared" ca="1" si="20"/>
        <v>#NAME?</v>
      </c>
      <c r="E639" s="115" t="e">
        <f t="array" aca="1" ref="E639" ca="1">IF(OR(C638=0,AND(B640=0,C640=0)),"",IFERROR(INDEX($F$27:$F$36,MATCH(C639,($F$27:$F$36)*($D$27:$D$36&lt;&gt;0),0)),IF(OR(AND(D639=0,B639=0,B640&lt;&gt;0),AND(D639*D638&lt;0,B639&lt;&gt;0)),IF(D639=0,C639,C639*(1-ABS(D639)/(ABS(D639)+ABS(D638)))+C638*(1-ABS(D638)/(ABS(D639)+ABS(D638)))),"")))</f>
        <v>#NAME?</v>
      </c>
    </row>
    <row r="640" spans="2:5" x14ac:dyDescent="0.25">
      <c r="B640" t="e">
        <f t="shared" ca="1" si="21"/>
        <v>#NAME?</v>
      </c>
      <c r="C640">
        <v>597</v>
      </c>
      <c r="D640" t="e">
        <f t="shared" ca="1" si="20"/>
        <v>#NAME?</v>
      </c>
      <c r="E640" s="115" t="e">
        <f t="array" aca="1" ref="E640" ca="1">IF(OR(C639=0,AND(B641=0,C641=0)),"",IFERROR(INDEX($F$27:$F$36,MATCH(C640,($F$27:$F$36)*($D$27:$D$36&lt;&gt;0),0)),IF(OR(AND(D640=0,B640=0,B641&lt;&gt;0),AND(D640*D639&lt;0,B640&lt;&gt;0)),IF(D640=0,C640,C640*(1-ABS(D640)/(ABS(D640)+ABS(D639)))+C639*(1-ABS(D639)/(ABS(D640)+ABS(D639)))),"")))</f>
        <v>#NAME?</v>
      </c>
    </row>
    <row r="641" spans="2:5" x14ac:dyDescent="0.25">
      <c r="B641" t="e">
        <f t="shared" ca="1" si="21"/>
        <v>#NAME?</v>
      </c>
      <c r="C641">
        <v>598</v>
      </c>
      <c r="D641" t="e">
        <f t="shared" ca="1" si="20"/>
        <v>#NAME?</v>
      </c>
      <c r="E641" s="115" t="e">
        <f t="array" aca="1" ref="E641" ca="1">IF(OR(C640=0,AND(B642=0,C642=0)),"",IFERROR(INDEX($F$27:$F$36,MATCH(C641,($F$27:$F$36)*($D$27:$D$36&lt;&gt;0),0)),IF(OR(AND(D641=0,B641=0,B642&lt;&gt;0),AND(D641*D640&lt;0,B641&lt;&gt;0)),IF(D641=0,C641,C641*(1-ABS(D641)/(ABS(D641)+ABS(D640)))+C640*(1-ABS(D640)/(ABS(D641)+ABS(D640)))),"")))</f>
        <v>#NAME?</v>
      </c>
    </row>
    <row r="642" spans="2:5" x14ac:dyDescent="0.25">
      <c r="B642" t="e">
        <f t="shared" ca="1" si="21"/>
        <v>#NAME?</v>
      </c>
      <c r="C642">
        <v>599</v>
      </c>
      <c r="D642" t="e">
        <f t="shared" ca="1" si="20"/>
        <v>#NAME?</v>
      </c>
      <c r="E642" s="115" t="e">
        <f t="array" aca="1" ref="E642" ca="1">IF(OR(C641=0,AND(B643=0,C643=0)),"",IFERROR(INDEX($F$27:$F$36,MATCH(C642,($F$27:$F$36)*($D$27:$D$36&lt;&gt;0),0)),IF(OR(AND(D642=0,B642=0,B643&lt;&gt;0),AND(D642*D641&lt;0,B642&lt;&gt;0)),IF(D642=0,C642,C642*(1-ABS(D642)/(ABS(D642)+ABS(D641)))+C641*(1-ABS(D641)/(ABS(D642)+ABS(D641)))),"")))</f>
        <v>#NAME?</v>
      </c>
    </row>
    <row r="643" spans="2:5" x14ac:dyDescent="0.25">
      <c r="B643" t="e">
        <f t="shared" ca="1" si="21"/>
        <v>#NAME?</v>
      </c>
      <c r="C643">
        <v>600</v>
      </c>
      <c r="D643" t="e">
        <f t="shared" ca="1" si="20"/>
        <v>#NAME?</v>
      </c>
      <c r="E643" s="115" t="e">
        <f t="array" aca="1" ref="E643" ca="1">IF(OR(C642=0,AND(B644=0,C644=0)),"",IFERROR(INDEX($F$27:$F$36,MATCH(C643,($F$27:$F$36)*($D$27:$D$36&lt;&gt;0),0)),IF(OR(AND(D643=0,B643=0,B644&lt;&gt;0),AND(D643*D642&lt;0,B643&lt;&gt;0)),IF(D643=0,C643,C643*(1-ABS(D643)/(ABS(D643)+ABS(D642)))+C642*(1-ABS(D642)/(ABS(D643)+ABS(D642)))),"")))</f>
        <v>#NAME?</v>
      </c>
    </row>
    <row r="644" spans="2:5" x14ac:dyDescent="0.25">
      <c r="B644" t="e">
        <f t="shared" ca="1" si="21"/>
        <v>#NAME?</v>
      </c>
      <c r="C644">
        <v>601</v>
      </c>
      <c r="D644" t="e">
        <f t="shared" ca="1" si="20"/>
        <v>#NAME?</v>
      </c>
      <c r="E644" s="115" t="e">
        <f t="array" aca="1" ref="E644" ca="1">IF(OR(C643=0,AND(B645=0,C645=0)),"",IFERROR(INDEX($F$27:$F$36,MATCH(C644,($F$27:$F$36)*($D$27:$D$36&lt;&gt;0),0)),IF(OR(AND(D644=0,B644=0,B645&lt;&gt;0),AND(D644*D643&lt;0,B644&lt;&gt;0)),IF(D644=0,C644,C644*(1-ABS(D644)/(ABS(D644)+ABS(D643)))+C643*(1-ABS(D643)/(ABS(D644)+ABS(D643)))),"")))</f>
        <v>#NAME?</v>
      </c>
    </row>
    <row r="645" spans="2:5" x14ac:dyDescent="0.25">
      <c r="B645" t="e">
        <f t="shared" ca="1" si="21"/>
        <v>#NAME?</v>
      </c>
      <c r="C645">
        <v>602</v>
      </c>
      <c r="D645" t="e">
        <f t="shared" ca="1" si="20"/>
        <v>#NAME?</v>
      </c>
      <c r="E645" s="115" t="e">
        <f t="array" aca="1" ref="E645" ca="1">IF(OR(C644=0,AND(B646=0,C646=0)),"",IFERROR(INDEX($F$27:$F$36,MATCH(C645,($F$27:$F$36)*($D$27:$D$36&lt;&gt;0),0)),IF(OR(AND(D645=0,B645=0,B646&lt;&gt;0),AND(D645*D644&lt;0,B645&lt;&gt;0)),IF(D645=0,C645,C645*(1-ABS(D645)/(ABS(D645)+ABS(D644)))+C644*(1-ABS(D644)/(ABS(D645)+ABS(D644)))),"")))</f>
        <v>#NAME?</v>
      </c>
    </row>
    <row r="646" spans="2:5" x14ac:dyDescent="0.25">
      <c r="B646" t="e">
        <f t="shared" ca="1" si="21"/>
        <v>#NAME?</v>
      </c>
      <c r="C646">
        <v>603</v>
      </c>
      <c r="D646" t="e">
        <f t="shared" ca="1" si="20"/>
        <v>#NAME?</v>
      </c>
      <c r="E646" s="115" t="e">
        <f t="array" aca="1" ref="E646" ca="1">IF(OR(C645=0,AND(B647=0,C647=0)),"",IFERROR(INDEX($F$27:$F$36,MATCH(C646,($F$27:$F$36)*($D$27:$D$36&lt;&gt;0),0)),IF(OR(AND(D646=0,B646=0,B647&lt;&gt;0),AND(D646*D645&lt;0,B646&lt;&gt;0)),IF(D646=0,C646,C646*(1-ABS(D646)/(ABS(D646)+ABS(D645)))+C645*(1-ABS(D645)/(ABS(D646)+ABS(D645)))),"")))</f>
        <v>#NAME?</v>
      </c>
    </row>
    <row r="647" spans="2:5" x14ac:dyDescent="0.25">
      <c r="B647" t="e">
        <f t="shared" ca="1" si="21"/>
        <v>#NAME?</v>
      </c>
      <c r="C647">
        <v>604</v>
      </c>
      <c r="D647" t="e">
        <f t="shared" ca="1" si="20"/>
        <v>#NAME?</v>
      </c>
      <c r="E647" s="115" t="e">
        <f t="array" aca="1" ref="E647" ca="1">IF(OR(C646=0,AND(B648=0,C648=0)),"",IFERROR(INDEX($F$27:$F$36,MATCH(C647,($F$27:$F$36)*($D$27:$D$36&lt;&gt;0),0)),IF(OR(AND(D647=0,B647=0,B648&lt;&gt;0),AND(D647*D646&lt;0,B647&lt;&gt;0)),IF(D647=0,C647,C647*(1-ABS(D647)/(ABS(D647)+ABS(D646)))+C646*(1-ABS(D646)/(ABS(D647)+ABS(D646)))),"")))</f>
        <v>#NAME?</v>
      </c>
    </row>
    <row r="648" spans="2:5" x14ac:dyDescent="0.25">
      <c r="B648" t="e">
        <f t="shared" ca="1" si="21"/>
        <v>#NAME?</v>
      </c>
      <c r="C648">
        <v>605</v>
      </c>
      <c r="D648" t="e">
        <f t="shared" ca="1" si="20"/>
        <v>#NAME?</v>
      </c>
      <c r="E648" s="115" t="e">
        <f t="array" aca="1" ref="E648" ca="1">IF(OR(C647=0,AND(B649=0,C649=0)),"",IFERROR(INDEX($F$27:$F$36,MATCH(C648,($F$27:$F$36)*($D$27:$D$36&lt;&gt;0),0)),IF(OR(AND(D648=0,B648=0,B649&lt;&gt;0),AND(D648*D647&lt;0,B648&lt;&gt;0)),IF(D648=0,C648,C648*(1-ABS(D648)/(ABS(D648)+ABS(D647)))+C647*(1-ABS(D647)/(ABS(D648)+ABS(D647)))),"")))</f>
        <v>#NAME?</v>
      </c>
    </row>
    <row r="649" spans="2:5" x14ac:dyDescent="0.25">
      <c r="B649" t="e">
        <f t="shared" ca="1" si="21"/>
        <v>#NAME?</v>
      </c>
      <c r="C649">
        <v>606</v>
      </c>
      <c r="D649" t="e">
        <f t="shared" ca="1" si="20"/>
        <v>#NAME?</v>
      </c>
      <c r="E649" s="115" t="e">
        <f t="array" aca="1" ref="E649" ca="1">IF(OR(C648=0,AND(B650=0,C650=0)),"",IFERROR(INDEX($F$27:$F$36,MATCH(C649,($F$27:$F$36)*($D$27:$D$36&lt;&gt;0),0)),IF(OR(AND(D649=0,B649=0,B650&lt;&gt;0),AND(D649*D648&lt;0,B649&lt;&gt;0)),IF(D649=0,C649,C649*(1-ABS(D649)/(ABS(D649)+ABS(D648)))+C648*(1-ABS(D648)/(ABS(D649)+ABS(D648)))),"")))</f>
        <v>#NAME?</v>
      </c>
    </row>
    <row r="650" spans="2:5" x14ac:dyDescent="0.25">
      <c r="B650" t="e">
        <f t="shared" ca="1" si="21"/>
        <v>#NAME?</v>
      </c>
      <c r="C650">
        <v>607</v>
      </c>
      <c r="D650" t="e">
        <f t="shared" ca="1" si="20"/>
        <v>#NAME?</v>
      </c>
      <c r="E650" s="115" t="e">
        <f t="array" aca="1" ref="E650" ca="1">IF(OR(C649=0,AND(B651=0,C651=0)),"",IFERROR(INDEX($F$27:$F$36,MATCH(C650,($F$27:$F$36)*($D$27:$D$36&lt;&gt;0),0)),IF(OR(AND(D650=0,B650=0,B651&lt;&gt;0),AND(D650*D649&lt;0,B650&lt;&gt;0)),IF(D650=0,C650,C650*(1-ABS(D650)/(ABS(D650)+ABS(D649)))+C649*(1-ABS(D649)/(ABS(D650)+ABS(D649)))),"")))</f>
        <v>#NAME?</v>
      </c>
    </row>
    <row r="651" spans="2:5" x14ac:dyDescent="0.25">
      <c r="B651" t="e">
        <f t="shared" ca="1" si="21"/>
        <v>#NAME?</v>
      </c>
      <c r="C651">
        <v>608</v>
      </c>
      <c r="D651" t="e">
        <f t="shared" ca="1" si="20"/>
        <v>#NAME?</v>
      </c>
      <c r="E651" s="115" t="e">
        <f t="array" aca="1" ref="E651" ca="1">IF(OR(C650=0,AND(B652=0,C652=0)),"",IFERROR(INDEX($F$27:$F$36,MATCH(C651,($F$27:$F$36)*($D$27:$D$36&lt;&gt;0),0)),IF(OR(AND(D651=0,B651=0,B652&lt;&gt;0),AND(D651*D650&lt;0,B651&lt;&gt;0)),IF(D651=0,C651,C651*(1-ABS(D651)/(ABS(D651)+ABS(D650)))+C650*(1-ABS(D650)/(ABS(D651)+ABS(D650)))),"")))</f>
        <v>#NAME?</v>
      </c>
    </row>
    <row r="652" spans="2:5" x14ac:dyDescent="0.25">
      <c r="B652" t="e">
        <f t="shared" ca="1" si="21"/>
        <v>#NAME?</v>
      </c>
      <c r="C652">
        <v>609</v>
      </c>
      <c r="D652" t="e">
        <f t="shared" ca="1" si="20"/>
        <v>#NAME?</v>
      </c>
      <c r="E652" s="115" t="e">
        <f t="array" aca="1" ref="E652" ca="1">IF(OR(C651=0,AND(B653=0,C653=0)),"",IFERROR(INDEX($F$27:$F$36,MATCH(C652,($F$27:$F$36)*($D$27:$D$36&lt;&gt;0),0)),IF(OR(AND(D652=0,B652=0,B653&lt;&gt;0),AND(D652*D651&lt;0,B652&lt;&gt;0)),IF(D652=0,C652,C652*(1-ABS(D652)/(ABS(D652)+ABS(D651)))+C651*(1-ABS(D651)/(ABS(D652)+ABS(D651)))),"")))</f>
        <v>#NAME?</v>
      </c>
    </row>
    <row r="653" spans="2:5" x14ac:dyDescent="0.25">
      <c r="B653" t="e">
        <f t="shared" ca="1" si="21"/>
        <v>#NAME?</v>
      </c>
      <c r="C653">
        <v>610</v>
      </c>
      <c r="D653" t="e">
        <f t="shared" ca="1" si="20"/>
        <v>#NAME?</v>
      </c>
      <c r="E653" s="115" t="e">
        <f t="array" aca="1" ref="E653" ca="1">IF(OR(C652=0,AND(B654=0,C654=0)),"",IFERROR(INDEX($F$27:$F$36,MATCH(C653,($F$27:$F$36)*($D$27:$D$36&lt;&gt;0),0)),IF(OR(AND(D653=0,B653=0,B654&lt;&gt;0),AND(D653*D652&lt;0,B653&lt;&gt;0)),IF(D653=0,C653,C653*(1-ABS(D653)/(ABS(D653)+ABS(D652)))+C652*(1-ABS(D652)/(ABS(D653)+ABS(D652)))),"")))</f>
        <v>#NAME?</v>
      </c>
    </row>
    <row r="654" spans="2:5" x14ac:dyDescent="0.25">
      <c r="B654" t="e">
        <f t="shared" ca="1" si="21"/>
        <v>#NAME?</v>
      </c>
      <c r="C654">
        <v>611</v>
      </c>
      <c r="D654" t="e">
        <f t="shared" ca="1" si="20"/>
        <v>#NAME?</v>
      </c>
      <c r="E654" s="115" t="e">
        <f t="array" aca="1" ref="E654" ca="1">IF(OR(C653=0,AND(B655=0,C655=0)),"",IFERROR(INDEX($F$27:$F$36,MATCH(C654,($F$27:$F$36)*($D$27:$D$36&lt;&gt;0),0)),IF(OR(AND(D654=0,B654=0,B655&lt;&gt;0),AND(D654*D653&lt;0,B654&lt;&gt;0)),IF(D654=0,C654,C654*(1-ABS(D654)/(ABS(D654)+ABS(D653)))+C653*(1-ABS(D653)/(ABS(D654)+ABS(D653)))),"")))</f>
        <v>#NAME?</v>
      </c>
    </row>
    <row r="655" spans="2:5" x14ac:dyDescent="0.25">
      <c r="B655" t="e">
        <f t="shared" ca="1" si="21"/>
        <v>#NAME?</v>
      </c>
      <c r="C655">
        <v>612</v>
      </c>
      <c r="D655" t="e">
        <f t="shared" ca="1" si="20"/>
        <v>#NAME?</v>
      </c>
      <c r="E655" s="115" t="e">
        <f t="array" aca="1" ref="E655" ca="1">IF(OR(C654=0,AND(B656=0,C656=0)),"",IFERROR(INDEX($F$27:$F$36,MATCH(C655,($F$27:$F$36)*($D$27:$D$36&lt;&gt;0),0)),IF(OR(AND(D655=0,B655=0,B656&lt;&gt;0),AND(D655*D654&lt;0,B655&lt;&gt;0)),IF(D655=0,C655,C655*(1-ABS(D655)/(ABS(D655)+ABS(D654)))+C654*(1-ABS(D654)/(ABS(D655)+ABS(D654)))),"")))</f>
        <v>#NAME?</v>
      </c>
    </row>
    <row r="656" spans="2:5" x14ac:dyDescent="0.25">
      <c r="B656" t="e">
        <f t="shared" ca="1" si="21"/>
        <v>#NAME?</v>
      </c>
      <c r="C656">
        <v>613</v>
      </c>
      <c r="D656" t="e">
        <f t="shared" ca="1" si="20"/>
        <v>#NAME?</v>
      </c>
      <c r="E656" s="115" t="e">
        <f t="array" aca="1" ref="E656" ca="1">IF(OR(C655=0,AND(B657=0,C657=0)),"",IFERROR(INDEX($F$27:$F$36,MATCH(C656,($F$27:$F$36)*($D$27:$D$36&lt;&gt;0),0)),IF(OR(AND(D656=0,B656=0,B657&lt;&gt;0),AND(D656*D655&lt;0,B656&lt;&gt;0)),IF(D656=0,C656,C656*(1-ABS(D656)/(ABS(D656)+ABS(D655)))+C655*(1-ABS(D655)/(ABS(D656)+ABS(D655)))),"")))</f>
        <v>#NAME?</v>
      </c>
    </row>
    <row r="657" spans="2:5" x14ac:dyDescent="0.25">
      <c r="B657" t="e">
        <f t="shared" ca="1" si="21"/>
        <v>#NAME?</v>
      </c>
      <c r="C657">
        <v>614</v>
      </c>
      <c r="D657" t="e">
        <f t="shared" ca="1" si="20"/>
        <v>#NAME?</v>
      </c>
      <c r="E657" s="115" t="e">
        <f t="array" aca="1" ref="E657" ca="1">IF(OR(C656=0,AND(B658=0,C658=0)),"",IFERROR(INDEX($F$27:$F$36,MATCH(C657,($F$27:$F$36)*($D$27:$D$36&lt;&gt;0),0)),IF(OR(AND(D657=0,B657=0,B658&lt;&gt;0),AND(D657*D656&lt;0,B657&lt;&gt;0)),IF(D657=0,C657,C657*(1-ABS(D657)/(ABS(D657)+ABS(D656)))+C656*(1-ABS(D656)/(ABS(D657)+ABS(D656)))),"")))</f>
        <v>#NAME?</v>
      </c>
    </row>
    <row r="658" spans="2:5" x14ac:dyDescent="0.25">
      <c r="B658" t="e">
        <f t="shared" ca="1" si="21"/>
        <v>#NAME?</v>
      </c>
      <c r="C658">
        <v>615</v>
      </c>
      <c r="D658" t="e">
        <f t="shared" ca="1" si="20"/>
        <v>#NAME?</v>
      </c>
      <c r="E658" s="115" t="e">
        <f t="array" aca="1" ref="E658" ca="1">IF(OR(C657=0,AND(B659=0,C659=0)),"",IFERROR(INDEX($F$27:$F$36,MATCH(C658,($F$27:$F$36)*($D$27:$D$36&lt;&gt;0),0)),IF(OR(AND(D658=0,B658=0,B659&lt;&gt;0),AND(D658*D657&lt;0,B658&lt;&gt;0)),IF(D658=0,C658,C658*(1-ABS(D658)/(ABS(D658)+ABS(D657)))+C657*(1-ABS(D657)/(ABS(D658)+ABS(D657)))),"")))</f>
        <v>#NAME?</v>
      </c>
    </row>
    <row r="659" spans="2:5" x14ac:dyDescent="0.25">
      <c r="B659" t="e">
        <f t="shared" ca="1" si="21"/>
        <v>#NAME?</v>
      </c>
      <c r="C659">
        <v>616</v>
      </c>
      <c r="D659" t="e">
        <f t="shared" ca="1" si="20"/>
        <v>#NAME?</v>
      </c>
      <c r="E659" s="115" t="e">
        <f t="array" aca="1" ref="E659" ca="1">IF(OR(C658=0,AND(B660=0,C660=0)),"",IFERROR(INDEX($F$27:$F$36,MATCH(C659,($F$27:$F$36)*($D$27:$D$36&lt;&gt;0),0)),IF(OR(AND(D659=0,B659=0,B660&lt;&gt;0),AND(D659*D658&lt;0,B659&lt;&gt;0)),IF(D659=0,C659,C659*(1-ABS(D659)/(ABS(D659)+ABS(D658)))+C658*(1-ABS(D658)/(ABS(D659)+ABS(D658)))),"")))</f>
        <v>#NAME?</v>
      </c>
    </row>
    <row r="660" spans="2:5" x14ac:dyDescent="0.25">
      <c r="B660" t="e">
        <f t="shared" ca="1" si="21"/>
        <v>#NAME?</v>
      </c>
      <c r="C660">
        <v>617</v>
      </c>
      <c r="D660" t="e">
        <f t="shared" ca="1" si="20"/>
        <v>#NAME?</v>
      </c>
      <c r="E660" s="115" t="e">
        <f t="array" aca="1" ref="E660" ca="1">IF(OR(C659=0,AND(B661=0,C661=0)),"",IFERROR(INDEX($F$27:$F$36,MATCH(C660,($F$27:$F$36)*($D$27:$D$36&lt;&gt;0),0)),IF(OR(AND(D660=0,B660=0,B661&lt;&gt;0),AND(D660*D659&lt;0,B660&lt;&gt;0)),IF(D660=0,C660,C660*(1-ABS(D660)/(ABS(D660)+ABS(D659)))+C659*(1-ABS(D659)/(ABS(D660)+ABS(D659)))),"")))</f>
        <v>#NAME?</v>
      </c>
    </row>
    <row r="661" spans="2:5" x14ac:dyDescent="0.25">
      <c r="B661" t="e">
        <f t="shared" ca="1" si="21"/>
        <v>#NAME?</v>
      </c>
      <c r="C661">
        <v>618</v>
      </c>
      <c r="D661" t="e">
        <f t="shared" ca="1" si="20"/>
        <v>#NAME?</v>
      </c>
      <c r="E661" s="115" t="e">
        <f t="array" aca="1" ref="E661" ca="1">IF(OR(C660=0,AND(B662=0,C662=0)),"",IFERROR(INDEX($F$27:$F$36,MATCH(C661,($F$27:$F$36)*($D$27:$D$36&lt;&gt;0),0)),IF(OR(AND(D661=0,B661=0,B662&lt;&gt;0),AND(D661*D660&lt;0,B661&lt;&gt;0)),IF(D661=0,C661,C661*(1-ABS(D661)/(ABS(D661)+ABS(D660)))+C660*(1-ABS(D660)/(ABS(D661)+ABS(D660)))),"")))</f>
        <v>#NAME?</v>
      </c>
    </row>
    <row r="662" spans="2:5" x14ac:dyDescent="0.25">
      <c r="B662" t="e">
        <f t="shared" ca="1" si="21"/>
        <v>#NAME?</v>
      </c>
      <c r="C662">
        <v>619</v>
      </c>
      <c r="D662" t="e">
        <f t="shared" ca="1" si="20"/>
        <v>#NAME?</v>
      </c>
      <c r="E662" s="115" t="e">
        <f t="array" aca="1" ref="E662" ca="1">IF(OR(C661=0,AND(B663=0,C663=0)),"",IFERROR(INDEX($F$27:$F$36,MATCH(C662,($F$27:$F$36)*($D$27:$D$36&lt;&gt;0),0)),IF(OR(AND(D662=0,B662=0,B663&lt;&gt;0),AND(D662*D661&lt;0,B662&lt;&gt;0)),IF(D662=0,C662,C662*(1-ABS(D662)/(ABS(D662)+ABS(D661)))+C661*(1-ABS(D661)/(ABS(D662)+ABS(D661)))),"")))</f>
        <v>#NAME?</v>
      </c>
    </row>
    <row r="663" spans="2:5" x14ac:dyDescent="0.25">
      <c r="B663" t="e">
        <f t="shared" ca="1" si="21"/>
        <v>#NAME?</v>
      </c>
      <c r="C663">
        <v>620</v>
      </c>
      <c r="D663" t="e">
        <f t="shared" ca="1" si="20"/>
        <v>#NAME?</v>
      </c>
      <c r="E663" s="115" t="e">
        <f t="array" aca="1" ref="E663" ca="1">IF(OR(C662=0,AND(B664=0,C664=0)),"",IFERROR(INDEX($F$27:$F$36,MATCH(C663,($F$27:$F$36)*($D$27:$D$36&lt;&gt;0),0)),IF(OR(AND(D663=0,B663=0,B664&lt;&gt;0),AND(D663*D662&lt;0,B663&lt;&gt;0)),IF(D663=0,C663,C663*(1-ABS(D663)/(ABS(D663)+ABS(D662)))+C662*(1-ABS(D662)/(ABS(D663)+ABS(D662)))),"")))</f>
        <v>#NAME?</v>
      </c>
    </row>
    <row r="664" spans="2:5" x14ac:dyDescent="0.25">
      <c r="B664" t="e">
        <f t="shared" ca="1" si="21"/>
        <v>#NAME?</v>
      </c>
      <c r="C664">
        <v>621</v>
      </c>
      <c r="D664" t="e">
        <f t="shared" ca="1" si="20"/>
        <v>#NAME?</v>
      </c>
      <c r="E664" s="115" t="e">
        <f t="array" aca="1" ref="E664" ca="1">IF(OR(C663=0,AND(B665=0,C665=0)),"",IFERROR(INDEX($F$27:$F$36,MATCH(C664,($F$27:$F$36)*($D$27:$D$36&lt;&gt;0),0)),IF(OR(AND(D664=0,B664=0,B665&lt;&gt;0),AND(D664*D663&lt;0,B664&lt;&gt;0)),IF(D664=0,C664,C664*(1-ABS(D664)/(ABS(D664)+ABS(D663)))+C663*(1-ABS(D663)/(ABS(D664)+ABS(D663)))),"")))</f>
        <v>#NAME?</v>
      </c>
    </row>
    <row r="665" spans="2:5" x14ac:dyDescent="0.25">
      <c r="B665" t="e">
        <f t="shared" ca="1" si="21"/>
        <v>#NAME?</v>
      </c>
      <c r="C665">
        <v>622</v>
      </c>
      <c r="D665" t="e">
        <f t="shared" ca="1" si="20"/>
        <v>#NAME?</v>
      </c>
      <c r="E665" s="115" t="e">
        <f t="array" aca="1" ref="E665" ca="1">IF(OR(C664=0,AND(B666=0,C666=0)),"",IFERROR(INDEX($F$27:$F$36,MATCH(C665,($F$27:$F$36)*($D$27:$D$36&lt;&gt;0),0)),IF(OR(AND(D665=0,B665=0,B666&lt;&gt;0),AND(D665*D664&lt;0,B665&lt;&gt;0)),IF(D665=0,C665,C665*(1-ABS(D665)/(ABS(D665)+ABS(D664)))+C664*(1-ABS(D664)/(ABS(D665)+ABS(D664)))),"")))</f>
        <v>#NAME?</v>
      </c>
    </row>
    <row r="666" spans="2:5" x14ac:dyDescent="0.25">
      <c r="B666" t="e">
        <f t="shared" ca="1" si="21"/>
        <v>#NAME?</v>
      </c>
      <c r="C666">
        <v>623</v>
      </c>
      <c r="D666" t="e">
        <f t="shared" ca="1" si="20"/>
        <v>#NAME?</v>
      </c>
      <c r="E666" s="115" t="e">
        <f t="array" aca="1" ref="E666" ca="1">IF(OR(C665=0,AND(B667=0,C667=0)),"",IFERROR(INDEX($F$27:$F$36,MATCH(C666,($F$27:$F$36)*($D$27:$D$36&lt;&gt;0),0)),IF(OR(AND(D666=0,B666=0,B667&lt;&gt;0),AND(D666*D665&lt;0,B666&lt;&gt;0)),IF(D666=0,C666,C666*(1-ABS(D666)/(ABS(D666)+ABS(D665)))+C665*(1-ABS(D665)/(ABS(D666)+ABS(D665)))),"")))</f>
        <v>#NAME?</v>
      </c>
    </row>
    <row r="667" spans="2:5" x14ac:dyDescent="0.25">
      <c r="B667" t="e">
        <f t="shared" ca="1" si="21"/>
        <v>#NAME?</v>
      </c>
      <c r="C667">
        <v>624</v>
      </c>
      <c r="D667" t="e">
        <f t="shared" ca="1" si="20"/>
        <v>#NAME?</v>
      </c>
      <c r="E667" s="115" t="e">
        <f t="array" aca="1" ref="E667" ca="1">IF(OR(C666=0,AND(B668=0,C668=0)),"",IFERROR(INDEX($F$27:$F$36,MATCH(C667,($F$27:$F$36)*($D$27:$D$36&lt;&gt;0),0)),IF(OR(AND(D667=0,B667=0,B668&lt;&gt;0),AND(D667*D666&lt;0,B667&lt;&gt;0)),IF(D667=0,C667,C667*(1-ABS(D667)/(ABS(D667)+ABS(D666)))+C666*(1-ABS(D666)/(ABS(D667)+ABS(D666)))),"")))</f>
        <v>#NAME?</v>
      </c>
    </row>
    <row r="668" spans="2:5" x14ac:dyDescent="0.25">
      <c r="B668" t="e">
        <f t="shared" ca="1" si="21"/>
        <v>#NAME?</v>
      </c>
      <c r="C668">
        <v>625</v>
      </c>
      <c r="D668" t="e">
        <f t="shared" ca="1" si="20"/>
        <v>#NAME?</v>
      </c>
      <c r="E668" s="115" t="e">
        <f t="array" aca="1" ref="E668" ca="1">IF(OR(C667=0,AND(B669=0,C669=0)),"",IFERROR(INDEX($F$27:$F$36,MATCH(C668,($F$27:$F$36)*($D$27:$D$36&lt;&gt;0),0)),IF(OR(AND(D668=0,B668=0,B669&lt;&gt;0),AND(D668*D667&lt;0,B668&lt;&gt;0)),IF(D668=0,C668,C668*(1-ABS(D668)/(ABS(D668)+ABS(D667)))+C667*(1-ABS(D667)/(ABS(D668)+ABS(D667)))),"")))</f>
        <v>#NAME?</v>
      </c>
    </row>
    <row r="669" spans="2:5" x14ac:dyDescent="0.25">
      <c r="B669" t="e">
        <f t="shared" ca="1" si="21"/>
        <v>#NAME?</v>
      </c>
      <c r="C669">
        <v>626</v>
      </c>
      <c r="D669" t="e">
        <f t="shared" ca="1" si="20"/>
        <v>#NAME?</v>
      </c>
      <c r="E669" s="115" t="e">
        <f t="array" aca="1" ref="E669" ca="1">IF(OR(C668=0,AND(B670=0,C670=0)),"",IFERROR(INDEX($F$27:$F$36,MATCH(C669,($F$27:$F$36)*($D$27:$D$36&lt;&gt;0),0)),IF(OR(AND(D669=0,B669=0,B670&lt;&gt;0),AND(D669*D668&lt;0,B669&lt;&gt;0)),IF(D669=0,C669,C669*(1-ABS(D669)/(ABS(D669)+ABS(D668)))+C668*(1-ABS(D668)/(ABS(D669)+ABS(D668)))),"")))</f>
        <v>#NAME?</v>
      </c>
    </row>
    <row r="670" spans="2:5" x14ac:dyDescent="0.25">
      <c r="B670" t="e">
        <f t="shared" ca="1" si="21"/>
        <v>#NAME?</v>
      </c>
      <c r="C670">
        <v>627</v>
      </c>
      <c r="D670" t="e">
        <f t="shared" ca="1" si="20"/>
        <v>#NAME?</v>
      </c>
      <c r="E670" s="115" t="e">
        <f t="array" aca="1" ref="E670" ca="1">IF(OR(C669=0,AND(B671=0,C671=0)),"",IFERROR(INDEX($F$27:$F$36,MATCH(C670,($F$27:$F$36)*($D$27:$D$36&lt;&gt;0),0)),IF(OR(AND(D670=0,B670=0,B671&lt;&gt;0),AND(D670*D669&lt;0,B670&lt;&gt;0)),IF(D670=0,C670,C670*(1-ABS(D670)/(ABS(D670)+ABS(D669)))+C669*(1-ABS(D669)/(ABS(D670)+ABS(D669)))),"")))</f>
        <v>#NAME?</v>
      </c>
    </row>
    <row r="671" spans="2:5" x14ac:dyDescent="0.25">
      <c r="B671" t="e">
        <f t="shared" ca="1" si="21"/>
        <v>#NAME?</v>
      </c>
      <c r="C671">
        <v>628</v>
      </c>
      <c r="D671" t="e">
        <f t="shared" ca="1" si="20"/>
        <v>#NAME?</v>
      </c>
      <c r="E671" s="115" t="e">
        <f t="array" aca="1" ref="E671" ca="1">IF(OR(C670=0,AND(B672=0,C672=0)),"",IFERROR(INDEX($F$27:$F$36,MATCH(C671,($F$27:$F$36)*($D$27:$D$36&lt;&gt;0),0)),IF(OR(AND(D671=0,B671=0,B672&lt;&gt;0),AND(D671*D670&lt;0,B671&lt;&gt;0)),IF(D671=0,C671,C671*(1-ABS(D671)/(ABS(D671)+ABS(D670)))+C670*(1-ABS(D670)/(ABS(D671)+ABS(D670)))),"")))</f>
        <v>#NAME?</v>
      </c>
    </row>
    <row r="672" spans="2:5" x14ac:dyDescent="0.25">
      <c r="B672" t="e">
        <f t="shared" ca="1" si="21"/>
        <v>#NAME?</v>
      </c>
      <c r="C672">
        <v>629</v>
      </c>
      <c r="D672" t="e">
        <f t="shared" ca="1" si="20"/>
        <v>#NAME?</v>
      </c>
      <c r="E672" s="115" t="e">
        <f t="array" aca="1" ref="E672" ca="1">IF(OR(C671=0,AND(B673=0,C673=0)),"",IFERROR(INDEX($F$27:$F$36,MATCH(C672,($F$27:$F$36)*($D$27:$D$36&lt;&gt;0),0)),IF(OR(AND(D672=0,B672=0,B673&lt;&gt;0),AND(D672*D671&lt;0,B672&lt;&gt;0)),IF(D672=0,C672,C672*(1-ABS(D672)/(ABS(D672)+ABS(D671)))+C671*(1-ABS(D671)/(ABS(D672)+ABS(D671)))),"")))</f>
        <v>#NAME?</v>
      </c>
    </row>
    <row r="673" spans="2:5" x14ac:dyDescent="0.25">
      <c r="B673" t="e">
        <f t="shared" ca="1" si="21"/>
        <v>#NAME?</v>
      </c>
      <c r="C673">
        <v>630</v>
      </c>
      <c r="D673" t="e">
        <f t="shared" ca="1" si="20"/>
        <v>#NAME?</v>
      </c>
      <c r="E673" s="115" t="e">
        <f t="array" aca="1" ref="E673" ca="1">IF(OR(C672=0,AND(B674=0,C674=0)),"",IFERROR(INDEX($F$27:$F$36,MATCH(C673,($F$27:$F$36)*($D$27:$D$36&lt;&gt;0),0)),IF(OR(AND(D673=0,B673=0,B674&lt;&gt;0),AND(D673*D672&lt;0,B673&lt;&gt;0)),IF(D673=0,C673,C673*(1-ABS(D673)/(ABS(D673)+ABS(D672)))+C672*(1-ABS(D672)/(ABS(D673)+ABS(D672)))),"")))</f>
        <v>#NAME?</v>
      </c>
    </row>
    <row r="674" spans="2:5" x14ac:dyDescent="0.25">
      <c r="B674" t="e">
        <f t="shared" ca="1" si="21"/>
        <v>#NAME?</v>
      </c>
      <c r="C674">
        <v>631</v>
      </c>
      <c r="D674" t="e">
        <f t="shared" ca="1" si="20"/>
        <v>#NAME?</v>
      </c>
      <c r="E674" s="115" t="e">
        <f t="array" aca="1" ref="E674" ca="1">IF(OR(C673=0,AND(B675=0,C675=0)),"",IFERROR(INDEX($F$27:$F$36,MATCH(C674,($F$27:$F$36)*($D$27:$D$36&lt;&gt;0),0)),IF(OR(AND(D674=0,B674=0,B675&lt;&gt;0),AND(D674*D673&lt;0,B674&lt;&gt;0)),IF(D674=0,C674,C674*(1-ABS(D674)/(ABS(D674)+ABS(D673)))+C673*(1-ABS(D673)/(ABS(D674)+ABS(D673)))),"")))</f>
        <v>#NAME?</v>
      </c>
    </row>
    <row r="675" spans="2:5" x14ac:dyDescent="0.25">
      <c r="B675" t="e">
        <f t="shared" ca="1" si="21"/>
        <v>#NAME?</v>
      </c>
      <c r="C675">
        <v>632</v>
      </c>
      <c r="D675" t="e">
        <f t="shared" ca="1" si="20"/>
        <v>#NAME?</v>
      </c>
      <c r="E675" s="115" t="e">
        <f t="array" aca="1" ref="E675" ca="1">IF(OR(C674=0,AND(B676=0,C676=0)),"",IFERROR(INDEX($F$27:$F$36,MATCH(C675,($F$27:$F$36)*($D$27:$D$36&lt;&gt;0),0)),IF(OR(AND(D675=0,B675=0,B676&lt;&gt;0),AND(D675*D674&lt;0,B675&lt;&gt;0)),IF(D675=0,C675,C675*(1-ABS(D675)/(ABS(D675)+ABS(D674)))+C674*(1-ABS(D674)/(ABS(D675)+ABS(D674)))),"")))</f>
        <v>#NAME?</v>
      </c>
    </row>
    <row r="676" spans="2:5" x14ac:dyDescent="0.25">
      <c r="B676" t="e">
        <f t="shared" ca="1" si="21"/>
        <v>#NAME?</v>
      </c>
      <c r="C676">
        <v>633</v>
      </c>
      <c r="D676" t="e">
        <f t="shared" ca="1" si="20"/>
        <v>#NAME?</v>
      </c>
      <c r="E676" s="115" t="e">
        <f t="array" aca="1" ref="E676" ca="1">IF(OR(C675=0,AND(B677=0,C677=0)),"",IFERROR(INDEX($F$27:$F$36,MATCH(C676,($F$27:$F$36)*($D$27:$D$36&lt;&gt;0),0)),IF(OR(AND(D676=0,B676=0,B677&lt;&gt;0),AND(D676*D675&lt;0,B676&lt;&gt;0)),IF(D676=0,C676,C676*(1-ABS(D676)/(ABS(D676)+ABS(D675)))+C675*(1-ABS(D675)/(ABS(D676)+ABS(D675)))),"")))</f>
        <v>#NAME?</v>
      </c>
    </row>
    <row r="677" spans="2:5" x14ac:dyDescent="0.25">
      <c r="B677" t="e">
        <f t="shared" ca="1" si="21"/>
        <v>#NAME?</v>
      </c>
      <c r="C677">
        <v>634</v>
      </c>
      <c r="D677" t="e">
        <f t="shared" ca="1" si="20"/>
        <v>#NAME?</v>
      </c>
      <c r="E677" s="115" t="e">
        <f t="array" aca="1" ref="E677" ca="1">IF(OR(C676=0,AND(B678=0,C678=0)),"",IFERROR(INDEX($F$27:$F$36,MATCH(C677,($F$27:$F$36)*($D$27:$D$36&lt;&gt;0),0)),IF(OR(AND(D677=0,B677=0,B678&lt;&gt;0),AND(D677*D676&lt;0,B677&lt;&gt;0)),IF(D677=0,C677,C677*(1-ABS(D677)/(ABS(D677)+ABS(D676)))+C676*(1-ABS(D676)/(ABS(D677)+ABS(D676)))),"")))</f>
        <v>#NAME?</v>
      </c>
    </row>
    <row r="678" spans="2:5" x14ac:dyDescent="0.25">
      <c r="B678" t="e">
        <f t="shared" ca="1" si="21"/>
        <v>#NAME?</v>
      </c>
      <c r="C678">
        <v>635</v>
      </c>
      <c r="D678" t="e">
        <f t="shared" ca="1" si="20"/>
        <v>#NAME?</v>
      </c>
      <c r="E678" s="115" t="e">
        <f t="array" aca="1" ref="E678" ca="1">IF(OR(C677=0,AND(B679=0,C679=0)),"",IFERROR(INDEX($F$27:$F$36,MATCH(C678,($F$27:$F$36)*($D$27:$D$36&lt;&gt;0),0)),IF(OR(AND(D678=0,B678=0,B679&lt;&gt;0),AND(D678*D677&lt;0,B678&lt;&gt;0)),IF(D678=0,C678,C678*(1-ABS(D678)/(ABS(D678)+ABS(D677)))+C677*(1-ABS(D677)/(ABS(D678)+ABS(D677)))),"")))</f>
        <v>#NAME?</v>
      </c>
    </row>
    <row r="679" spans="2:5" x14ac:dyDescent="0.25">
      <c r="B679" t="e">
        <f t="shared" ca="1" si="21"/>
        <v>#NAME?</v>
      </c>
      <c r="C679">
        <v>636</v>
      </c>
      <c r="D679" t="e">
        <f t="shared" ca="1" si="20"/>
        <v>#NAME?</v>
      </c>
      <c r="E679" s="115" t="e">
        <f t="array" aca="1" ref="E679" ca="1">IF(OR(C678=0,AND(B680=0,C680=0)),"",IFERROR(INDEX($F$27:$F$36,MATCH(C679,($F$27:$F$36)*($D$27:$D$36&lt;&gt;0),0)),IF(OR(AND(D679=0,B679=0,B680&lt;&gt;0),AND(D679*D678&lt;0,B679&lt;&gt;0)),IF(D679=0,C679,C679*(1-ABS(D679)/(ABS(D679)+ABS(D678)))+C678*(1-ABS(D678)/(ABS(D679)+ABS(D678)))),"")))</f>
        <v>#NAME?</v>
      </c>
    </row>
    <row r="680" spans="2:5" x14ac:dyDescent="0.25">
      <c r="B680" t="e">
        <f t="shared" ca="1" si="21"/>
        <v>#NAME?</v>
      </c>
      <c r="C680">
        <v>637</v>
      </c>
      <c r="D680" t="e">
        <f t="shared" ca="1" si="20"/>
        <v>#NAME?</v>
      </c>
      <c r="E680" s="115" t="e">
        <f t="array" aca="1" ref="E680" ca="1">IF(OR(C679=0,AND(B681=0,C681=0)),"",IFERROR(INDEX($F$27:$F$36,MATCH(C680,($F$27:$F$36)*($D$27:$D$36&lt;&gt;0),0)),IF(OR(AND(D680=0,B680=0,B681&lt;&gt;0),AND(D680*D679&lt;0,B680&lt;&gt;0)),IF(D680=0,C680,C680*(1-ABS(D680)/(ABS(D680)+ABS(D679)))+C679*(1-ABS(D679)/(ABS(D680)+ABS(D679)))),"")))</f>
        <v>#NAME?</v>
      </c>
    </row>
    <row r="681" spans="2:5" x14ac:dyDescent="0.25">
      <c r="B681" t="e">
        <f t="shared" ca="1" si="21"/>
        <v>#NAME?</v>
      </c>
      <c r="C681">
        <v>638</v>
      </c>
      <c r="D681" t="e">
        <f t="shared" ca="1" si="20"/>
        <v>#NAME?</v>
      </c>
      <c r="E681" s="115" t="e">
        <f t="array" aca="1" ref="E681" ca="1">IF(OR(C680=0,AND(B682=0,C682=0)),"",IFERROR(INDEX($F$27:$F$36,MATCH(C681,($F$27:$F$36)*($D$27:$D$36&lt;&gt;0),0)),IF(OR(AND(D681=0,B681=0,B682&lt;&gt;0),AND(D681*D680&lt;0,B681&lt;&gt;0)),IF(D681=0,C681,C681*(1-ABS(D681)/(ABS(D681)+ABS(D680)))+C680*(1-ABS(D680)/(ABS(D681)+ABS(D680)))),"")))</f>
        <v>#NAME?</v>
      </c>
    </row>
    <row r="682" spans="2:5" x14ac:dyDescent="0.25">
      <c r="B682" t="e">
        <f t="shared" ca="1" si="21"/>
        <v>#NAME?</v>
      </c>
      <c r="C682">
        <v>639</v>
      </c>
      <c r="D682" t="e">
        <f t="shared" ca="1" si="20"/>
        <v>#NAME?</v>
      </c>
      <c r="E682" s="115" t="e">
        <f t="array" aca="1" ref="E682" ca="1">IF(OR(C681=0,AND(B683=0,C683=0)),"",IFERROR(INDEX($F$27:$F$36,MATCH(C682,($F$27:$F$36)*($D$27:$D$36&lt;&gt;0),0)),IF(OR(AND(D682=0,B682=0,B683&lt;&gt;0),AND(D682*D681&lt;0,B682&lt;&gt;0)),IF(D682=0,C682,C682*(1-ABS(D682)/(ABS(D682)+ABS(D681)))+C681*(1-ABS(D681)/(ABS(D682)+ABS(D681)))),"")))</f>
        <v>#NAME?</v>
      </c>
    </row>
    <row r="683" spans="2:5" x14ac:dyDescent="0.25">
      <c r="B683" t="e">
        <f t="shared" ca="1" si="21"/>
        <v>#NAME?</v>
      </c>
      <c r="C683">
        <v>640</v>
      </c>
      <c r="D683" t="e">
        <f t="shared" ref="D683:D746" ca="1" si="22">SUMPRODUCT(--($J$27:$J$37&gt;0),--($C683-$F$27:$F$37&gt;0),($D$27:$D$37),($C683-$F$27:$F$37))+SUMPRODUCT(--($J$27:$J$37&lt;0),--($F$27:$F$37-$C683&gt;0),($D$27:$D$37),($F$27:$F$37-$C683))-SUMPRODUCT($D$27:$D$37,$E$27:$E$37)</f>
        <v>#NAME?</v>
      </c>
      <c r="E683" s="115" t="e">
        <f t="array" aca="1" ref="E683" ca="1">IF(OR(C682=0,AND(B684=0,C684=0)),"",IFERROR(INDEX($F$27:$F$36,MATCH(C683,($F$27:$F$36)*($D$27:$D$36&lt;&gt;0),0)),IF(OR(AND(D683=0,B683=0,B684&lt;&gt;0),AND(D683*D682&lt;0,B683&lt;&gt;0)),IF(D683=0,C683,C683*(1-ABS(D683)/(ABS(D683)+ABS(D682)))+C682*(1-ABS(D682)/(ABS(D683)+ABS(D682)))),"")))</f>
        <v>#NAME?</v>
      </c>
    </row>
    <row r="684" spans="2:5" x14ac:dyDescent="0.25">
      <c r="B684" t="e">
        <f t="shared" ref="B684:B747" ca="1" si="23">ROUND((D684-D683)/(C684-C683),12)</f>
        <v>#NAME?</v>
      </c>
      <c r="C684">
        <v>641</v>
      </c>
      <c r="D684" t="e">
        <f t="shared" ca="1" si="22"/>
        <v>#NAME?</v>
      </c>
      <c r="E684" s="115" t="e">
        <f t="array" aca="1" ref="E684" ca="1">IF(OR(C683=0,AND(B685=0,C685=0)),"",IFERROR(INDEX($F$27:$F$36,MATCH(C684,($F$27:$F$36)*($D$27:$D$36&lt;&gt;0),0)),IF(OR(AND(D684=0,B684=0,B685&lt;&gt;0),AND(D684*D683&lt;0,B684&lt;&gt;0)),IF(D684=0,C684,C684*(1-ABS(D684)/(ABS(D684)+ABS(D683)))+C683*(1-ABS(D683)/(ABS(D684)+ABS(D683)))),"")))</f>
        <v>#NAME?</v>
      </c>
    </row>
    <row r="685" spans="2:5" x14ac:dyDescent="0.25">
      <c r="B685" t="e">
        <f t="shared" ca="1" si="23"/>
        <v>#NAME?</v>
      </c>
      <c r="C685">
        <v>642</v>
      </c>
      <c r="D685" t="e">
        <f t="shared" ca="1" si="22"/>
        <v>#NAME?</v>
      </c>
      <c r="E685" s="115" t="e">
        <f t="array" aca="1" ref="E685" ca="1">IF(OR(C684=0,AND(B686=0,C686=0)),"",IFERROR(INDEX($F$27:$F$36,MATCH(C685,($F$27:$F$36)*($D$27:$D$36&lt;&gt;0),0)),IF(OR(AND(D685=0,B685=0,B686&lt;&gt;0),AND(D685*D684&lt;0,B685&lt;&gt;0)),IF(D685=0,C685,C685*(1-ABS(D685)/(ABS(D685)+ABS(D684)))+C684*(1-ABS(D684)/(ABS(D685)+ABS(D684)))),"")))</f>
        <v>#NAME?</v>
      </c>
    </row>
    <row r="686" spans="2:5" x14ac:dyDescent="0.25">
      <c r="B686" t="e">
        <f t="shared" ca="1" si="23"/>
        <v>#NAME?</v>
      </c>
      <c r="C686">
        <v>643</v>
      </c>
      <c r="D686" t="e">
        <f t="shared" ca="1" si="22"/>
        <v>#NAME?</v>
      </c>
      <c r="E686" s="115" t="e">
        <f t="array" aca="1" ref="E686" ca="1">IF(OR(C685=0,AND(B687=0,C687=0)),"",IFERROR(INDEX($F$27:$F$36,MATCH(C686,($F$27:$F$36)*($D$27:$D$36&lt;&gt;0),0)),IF(OR(AND(D686=0,B686=0,B687&lt;&gt;0),AND(D686*D685&lt;0,B686&lt;&gt;0)),IF(D686=0,C686,C686*(1-ABS(D686)/(ABS(D686)+ABS(D685)))+C685*(1-ABS(D685)/(ABS(D686)+ABS(D685)))),"")))</f>
        <v>#NAME?</v>
      </c>
    </row>
    <row r="687" spans="2:5" x14ac:dyDescent="0.25">
      <c r="B687" t="e">
        <f t="shared" ca="1" si="23"/>
        <v>#NAME?</v>
      </c>
      <c r="C687">
        <v>644</v>
      </c>
      <c r="D687" t="e">
        <f t="shared" ca="1" si="22"/>
        <v>#NAME?</v>
      </c>
      <c r="E687" s="115" t="e">
        <f t="array" aca="1" ref="E687" ca="1">IF(OR(C686=0,AND(B688=0,C688=0)),"",IFERROR(INDEX($F$27:$F$36,MATCH(C687,($F$27:$F$36)*($D$27:$D$36&lt;&gt;0),0)),IF(OR(AND(D687=0,B687=0,B688&lt;&gt;0),AND(D687*D686&lt;0,B687&lt;&gt;0)),IF(D687=0,C687,C687*(1-ABS(D687)/(ABS(D687)+ABS(D686)))+C686*(1-ABS(D686)/(ABS(D687)+ABS(D686)))),"")))</f>
        <v>#NAME?</v>
      </c>
    </row>
    <row r="688" spans="2:5" x14ac:dyDescent="0.25">
      <c r="B688" t="e">
        <f t="shared" ca="1" si="23"/>
        <v>#NAME?</v>
      </c>
      <c r="C688">
        <v>645</v>
      </c>
      <c r="D688" t="e">
        <f t="shared" ca="1" si="22"/>
        <v>#NAME?</v>
      </c>
      <c r="E688" s="115" t="e">
        <f t="array" aca="1" ref="E688" ca="1">IF(OR(C687=0,AND(B689=0,C689=0)),"",IFERROR(INDEX($F$27:$F$36,MATCH(C688,($F$27:$F$36)*($D$27:$D$36&lt;&gt;0),0)),IF(OR(AND(D688=0,B688=0,B689&lt;&gt;0),AND(D688*D687&lt;0,B688&lt;&gt;0)),IF(D688=0,C688,C688*(1-ABS(D688)/(ABS(D688)+ABS(D687)))+C687*(1-ABS(D687)/(ABS(D688)+ABS(D687)))),"")))</f>
        <v>#NAME?</v>
      </c>
    </row>
    <row r="689" spans="2:5" x14ac:dyDescent="0.25">
      <c r="B689" t="e">
        <f t="shared" ca="1" si="23"/>
        <v>#NAME?</v>
      </c>
      <c r="C689">
        <v>646</v>
      </c>
      <c r="D689" t="e">
        <f t="shared" ca="1" si="22"/>
        <v>#NAME?</v>
      </c>
      <c r="E689" s="115" t="e">
        <f t="array" aca="1" ref="E689" ca="1">IF(OR(C688=0,AND(B690=0,C690=0)),"",IFERROR(INDEX($F$27:$F$36,MATCH(C689,($F$27:$F$36)*($D$27:$D$36&lt;&gt;0),0)),IF(OR(AND(D689=0,B689=0,B690&lt;&gt;0),AND(D689*D688&lt;0,B689&lt;&gt;0)),IF(D689=0,C689,C689*(1-ABS(D689)/(ABS(D689)+ABS(D688)))+C688*(1-ABS(D688)/(ABS(D689)+ABS(D688)))),"")))</f>
        <v>#NAME?</v>
      </c>
    </row>
    <row r="690" spans="2:5" x14ac:dyDescent="0.25">
      <c r="B690" t="e">
        <f t="shared" ca="1" si="23"/>
        <v>#NAME?</v>
      </c>
      <c r="C690">
        <v>647</v>
      </c>
      <c r="D690" t="e">
        <f t="shared" ca="1" si="22"/>
        <v>#NAME?</v>
      </c>
      <c r="E690" s="115" t="e">
        <f t="array" aca="1" ref="E690" ca="1">IF(OR(C689=0,AND(B691=0,C691=0)),"",IFERROR(INDEX($F$27:$F$36,MATCH(C690,($F$27:$F$36)*($D$27:$D$36&lt;&gt;0),0)),IF(OR(AND(D690=0,B690=0,B691&lt;&gt;0),AND(D690*D689&lt;0,B690&lt;&gt;0)),IF(D690=0,C690,C690*(1-ABS(D690)/(ABS(D690)+ABS(D689)))+C689*(1-ABS(D689)/(ABS(D690)+ABS(D689)))),"")))</f>
        <v>#NAME?</v>
      </c>
    </row>
    <row r="691" spans="2:5" x14ac:dyDescent="0.25">
      <c r="B691" t="e">
        <f t="shared" ca="1" si="23"/>
        <v>#NAME?</v>
      </c>
      <c r="C691">
        <v>648</v>
      </c>
      <c r="D691" t="e">
        <f t="shared" ca="1" si="22"/>
        <v>#NAME?</v>
      </c>
      <c r="E691" s="115" t="e">
        <f t="array" aca="1" ref="E691" ca="1">IF(OR(C690=0,AND(B692=0,C692=0)),"",IFERROR(INDEX($F$27:$F$36,MATCH(C691,($F$27:$F$36)*($D$27:$D$36&lt;&gt;0),0)),IF(OR(AND(D691=0,B691=0,B692&lt;&gt;0),AND(D691*D690&lt;0,B691&lt;&gt;0)),IF(D691=0,C691,C691*(1-ABS(D691)/(ABS(D691)+ABS(D690)))+C690*(1-ABS(D690)/(ABS(D691)+ABS(D690)))),"")))</f>
        <v>#NAME?</v>
      </c>
    </row>
    <row r="692" spans="2:5" x14ac:dyDescent="0.25">
      <c r="B692" t="e">
        <f t="shared" ca="1" si="23"/>
        <v>#NAME?</v>
      </c>
      <c r="C692">
        <v>649</v>
      </c>
      <c r="D692" t="e">
        <f t="shared" ca="1" si="22"/>
        <v>#NAME?</v>
      </c>
      <c r="E692" s="115" t="e">
        <f t="array" aca="1" ref="E692" ca="1">IF(OR(C691=0,AND(B693=0,C693=0)),"",IFERROR(INDEX($F$27:$F$36,MATCH(C692,($F$27:$F$36)*($D$27:$D$36&lt;&gt;0),0)),IF(OR(AND(D692=0,B692=0,B693&lt;&gt;0),AND(D692*D691&lt;0,B692&lt;&gt;0)),IF(D692=0,C692,C692*(1-ABS(D692)/(ABS(D692)+ABS(D691)))+C691*(1-ABS(D691)/(ABS(D692)+ABS(D691)))),"")))</f>
        <v>#NAME?</v>
      </c>
    </row>
    <row r="693" spans="2:5" x14ac:dyDescent="0.25">
      <c r="B693" t="e">
        <f t="shared" ca="1" si="23"/>
        <v>#NAME?</v>
      </c>
      <c r="C693">
        <v>650</v>
      </c>
      <c r="D693" t="e">
        <f t="shared" ca="1" si="22"/>
        <v>#NAME?</v>
      </c>
      <c r="E693" s="115" t="e">
        <f t="array" aca="1" ref="E693" ca="1">IF(OR(C692=0,AND(B694=0,C694=0)),"",IFERROR(INDEX($F$27:$F$36,MATCH(C693,($F$27:$F$36)*($D$27:$D$36&lt;&gt;0),0)),IF(OR(AND(D693=0,B693=0,B694&lt;&gt;0),AND(D693*D692&lt;0,B693&lt;&gt;0)),IF(D693=0,C693,C693*(1-ABS(D693)/(ABS(D693)+ABS(D692)))+C692*(1-ABS(D692)/(ABS(D693)+ABS(D692)))),"")))</f>
        <v>#NAME?</v>
      </c>
    </row>
    <row r="694" spans="2:5" x14ac:dyDescent="0.25">
      <c r="B694" t="e">
        <f t="shared" ca="1" si="23"/>
        <v>#NAME?</v>
      </c>
      <c r="C694">
        <v>651</v>
      </c>
      <c r="D694" t="e">
        <f t="shared" ca="1" si="22"/>
        <v>#NAME?</v>
      </c>
      <c r="E694" s="115" t="e">
        <f t="array" aca="1" ref="E694" ca="1">IF(OR(C693=0,AND(B695=0,C695=0)),"",IFERROR(INDEX($F$27:$F$36,MATCH(C694,($F$27:$F$36)*($D$27:$D$36&lt;&gt;0),0)),IF(OR(AND(D694=0,B694=0,B695&lt;&gt;0),AND(D694*D693&lt;0,B694&lt;&gt;0)),IF(D694=0,C694,C694*(1-ABS(D694)/(ABS(D694)+ABS(D693)))+C693*(1-ABS(D693)/(ABS(D694)+ABS(D693)))),"")))</f>
        <v>#NAME?</v>
      </c>
    </row>
    <row r="695" spans="2:5" x14ac:dyDescent="0.25">
      <c r="B695" t="e">
        <f t="shared" ca="1" si="23"/>
        <v>#NAME?</v>
      </c>
      <c r="C695">
        <v>652</v>
      </c>
      <c r="D695" t="e">
        <f t="shared" ca="1" si="22"/>
        <v>#NAME?</v>
      </c>
      <c r="E695" s="115" t="e">
        <f t="array" aca="1" ref="E695" ca="1">IF(OR(C694=0,AND(B696=0,C696=0)),"",IFERROR(INDEX($F$27:$F$36,MATCH(C695,($F$27:$F$36)*($D$27:$D$36&lt;&gt;0),0)),IF(OR(AND(D695=0,B695=0,B696&lt;&gt;0),AND(D695*D694&lt;0,B695&lt;&gt;0)),IF(D695=0,C695,C695*(1-ABS(D695)/(ABS(D695)+ABS(D694)))+C694*(1-ABS(D694)/(ABS(D695)+ABS(D694)))),"")))</f>
        <v>#NAME?</v>
      </c>
    </row>
    <row r="696" spans="2:5" x14ac:dyDescent="0.25">
      <c r="B696" t="e">
        <f t="shared" ca="1" si="23"/>
        <v>#NAME?</v>
      </c>
      <c r="C696">
        <v>653</v>
      </c>
      <c r="D696" t="e">
        <f t="shared" ca="1" si="22"/>
        <v>#NAME?</v>
      </c>
      <c r="E696" s="115" t="e">
        <f t="array" aca="1" ref="E696" ca="1">IF(OR(C695=0,AND(B697=0,C697=0)),"",IFERROR(INDEX($F$27:$F$36,MATCH(C696,($F$27:$F$36)*($D$27:$D$36&lt;&gt;0),0)),IF(OR(AND(D696=0,B696=0,B697&lt;&gt;0),AND(D696*D695&lt;0,B696&lt;&gt;0)),IF(D696=0,C696,C696*(1-ABS(D696)/(ABS(D696)+ABS(D695)))+C695*(1-ABS(D695)/(ABS(D696)+ABS(D695)))),"")))</f>
        <v>#NAME?</v>
      </c>
    </row>
    <row r="697" spans="2:5" x14ac:dyDescent="0.25">
      <c r="B697" t="e">
        <f t="shared" ca="1" si="23"/>
        <v>#NAME?</v>
      </c>
      <c r="C697">
        <v>654</v>
      </c>
      <c r="D697" t="e">
        <f t="shared" ca="1" si="22"/>
        <v>#NAME?</v>
      </c>
      <c r="E697" s="115" t="e">
        <f t="array" aca="1" ref="E697" ca="1">IF(OR(C696=0,AND(B698=0,C698=0)),"",IFERROR(INDEX($F$27:$F$36,MATCH(C697,($F$27:$F$36)*($D$27:$D$36&lt;&gt;0),0)),IF(OR(AND(D697=0,B697=0,B698&lt;&gt;0),AND(D697*D696&lt;0,B697&lt;&gt;0)),IF(D697=0,C697,C697*(1-ABS(D697)/(ABS(D697)+ABS(D696)))+C696*(1-ABS(D696)/(ABS(D697)+ABS(D696)))),"")))</f>
        <v>#NAME?</v>
      </c>
    </row>
    <row r="698" spans="2:5" x14ac:dyDescent="0.25">
      <c r="B698" t="e">
        <f t="shared" ca="1" si="23"/>
        <v>#NAME?</v>
      </c>
      <c r="C698">
        <v>655</v>
      </c>
      <c r="D698" t="e">
        <f t="shared" ca="1" si="22"/>
        <v>#NAME?</v>
      </c>
      <c r="E698" s="115" t="e">
        <f t="array" aca="1" ref="E698" ca="1">IF(OR(C697=0,AND(B699=0,C699=0)),"",IFERROR(INDEX($F$27:$F$36,MATCH(C698,($F$27:$F$36)*($D$27:$D$36&lt;&gt;0),0)),IF(OR(AND(D698=0,B698=0,B699&lt;&gt;0),AND(D698*D697&lt;0,B698&lt;&gt;0)),IF(D698=0,C698,C698*(1-ABS(D698)/(ABS(D698)+ABS(D697)))+C697*(1-ABS(D697)/(ABS(D698)+ABS(D697)))),"")))</f>
        <v>#NAME?</v>
      </c>
    </row>
    <row r="699" spans="2:5" x14ac:dyDescent="0.25">
      <c r="B699" t="e">
        <f t="shared" ca="1" si="23"/>
        <v>#NAME?</v>
      </c>
      <c r="C699">
        <v>656</v>
      </c>
      <c r="D699" t="e">
        <f t="shared" ca="1" si="22"/>
        <v>#NAME?</v>
      </c>
      <c r="E699" s="115" t="e">
        <f t="array" aca="1" ref="E699" ca="1">IF(OR(C698=0,AND(B700=0,C700=0)),"",IFERROR(INDEX($F$27:$F$36,MATCH(C699,($F$27:$F$36)*($D$27:$D$36&lt;&gt;0),0)),IF(OR(AND(D699=0,B699=0,B700&lt;&gt;0),AND(D699*D698&lt;0,B699&lt;&gt;0)),IF(D699=0,C699,C699*(1-ABS(D699)/(ABS(D699)+ABS(D698)))+C698*(1-ABS(D698)/(ABS(D699)+ABS(D698)))),"")))</f>
        <v>#NAME?</v>
      </c>
    </row>
    <row r="700" spans="2:5" x14ac:dyDescent="0.25">
      <c r="B700" t="e">
        <f t="shared" ca="1" si="23"/>
        <v>#NAME?</v>
      </c>
      <c r="C700">
        <v>657</v>
      </c>
      <c r="D700" t="e">
        <f t="shared" ca="1" si="22"/>
        <v>#NAME?</v>
      </c>
      <c r="E700" s="115" t="e">
        <f t="array" aca="1" ref="E700" ca="1">IF(OR(C699=0,AND(B701=0,C701=0)),"",IFERROR(INDEX($F$27:$F$36,MATCH(C700,($F$27:$F$36)*($D$27:$D$36&lt;&gt;0),0)),IF(OR(AND(D700=0,B700=0,B701&lt;&gt;0),AND(D700*D699&lt;0,B700&lt;&gt;0)),IF(D700=0,C700,C700*(1-ABS(D700)/(ABS(D700)+ABS(D699)))+C699*(1-ABS(D699)/(ABS(D700)+ABS(D699)))),"")))</f>
        <v>#NAME?</v>
      </c>
    </row>
    <row r="701" spans="2:5" x14ac:dyDescent="0.25">
      <c r="B701" t="e">
        <f t="shared" ca="1" si="23"/>
        <v>#NAME?</v>
      </c>
      <c r="C701">
        <v>658</v>
      </c>
      <c r="D701" t="e">
        <f t="shared" ca="1" si="22"/>
        <v>#NAME?</v>
      </c>
      <c r="E701" s="115" t="e">
        <f t="array" aca="1" ref="E701" ca="1">IF(OR(C700=0,AND(B702=0,C702=0)),"",IFERROR(INDEX($F$27:$F$36,MATCH(C701,($F$27:$F$36)*($D$27:$D$36&lt;&gt;0),0)),IF(OR(AND(D701=0,B701=0,B702&lt;&gt;0),AND(D701*D700&lt;0,B701&lt;&gt;0)),IF(D701=0,C701,C701*(1-ABS(D701)/(ABS(D701)+ABS(D700)))+C700*(1-ABS(D700)/(ABS(D701)+ABS(D700)))),"")))</f>
        <v>#NAME?</v>
      </c>
    </row>
    <row r="702" spans="2:5" x14ac:dyDescent="0.25">
      <c r="B702" t="e">
        <f t="shared" ca="1" si="23"/>
        <v>#NAME?</v>
      </c>
      <c r="C702">
        <v>659</v>
      </c>
      <c r="D702" t="e">
        <f t="shared" ca="1" si="22"/>
        <v>#NAME?</v>
      </c>
      <c r="E702" s="115" t="e">
        <f t="array" aca="1" ref="E702" ca="1">IF(OR(C701=0,AND(B703=0,C703=0)),"",IFERROR(INDEX($F$27:$F$36,MATCH(C702,($F$27:$F$36)*($D$27:$D$36&lt;&gt;0),0)),IF(OR(AND(D702=0,B702=0,B703&lt;&gt;0),AND(D702*D701&lt;0,B702&lt;&gt;0)),IF(D702=0,C702,C702*(1-ABS(D702)/(ABS(D702)+ABS(D701)))+C701*(1-ABS(D701)/(ABS(D702)+ABS(D701)))),"")))</f>
        <v>#NAME?</v>
      </c>
    </row>
    <row r="703" spans="2:5" x14ac:dyDescent="0.25">
      <c r="B703" t="e">
        <f t="shared" ca="1" si="23"/>
        <v>#NAME?</v>
      </c>
      <c r="C703">
        <v>660</v>
      </c>
      <c r="D703" t="e">
        <f t="shared" ca="1" si="22"/>
        <v>#NAME?</v>
      </c>
      <c r="E703" s="115" t="e">
        <f t="array" aca="1" ref="E703" ca="1">IF(OR(C702=0,AND(B704=0,C704=0)),"",IFERROR(INDEX($F$27:$F$36,MATCH(C703,($F$27:$F$36)*($D$27:$D$36&lt;&gt;0),0)),IF(OR(AND(D703=0,B703=0,B704&lt;&gt;0),AND(D703*D702&lt;0,B703&lt;&gt;0)),IF(D703=0,C703,C703*(1-ABS(D703)/(ABS(D703)+ABS(D702)))+C702*(1-ABS(D702)/(ABS(D703)+ABS(D702)))),"")))</f>
        <v>#NAME?</v>
      </c>
    </row>
    <row r="704" spans="2:5" x14ac:dyDescent="0.25">
      <c r="B704" t="e">
        <f t="shared" ca="1" si="23"/>
        <v>#NAME?</v>
      </c>
      <c r="C704">
        <v>661</v>
      </c>
      <c r="D704" t="e">
        <f t="shared" ca="1" si="22"/>
        <v>#NAME?</v>
      </c>
      <c r="E704" s="115" t="e">
        <f t="array" aca="1" ref="E704" ca="1">IF(OR(C703=0,AND(B705=0,C705=0)),"",IFERROR(INDEX($F$27:$F$36,MATCH(C704,($F$27:$F$36)*($D$27:$D$36&lt;&gt;0),0)),IF(OR(AND(D704=0,B704=0,B705&lt;&gt;0),AND(D704*D703&lt;0,B704&lt;&gt;0)),IF(D704=0,C704,C704*(1-ABS(D704)/(ABS(D704)+ABS(D703)))+C703*(1-ABS(D703)/(ABS(D704)+ABS(D703)))),"")))</f>
        <v>#NAME?</v>
      </c>
    </row>
    <row r="705" spans="2:5" x14ac:dyDescent="0.25">
      <c r="B705" t="e">
        <f t="shared" ca="1" si="23"/>
        <v>#NAME?</v>
      </c>
      <c r="C705">
        <v>662</v>
      </c>
      <c r="D705" t="e">
        <f t="shared" ca="1" si="22"/>
        <v>#NAME?</v>
      </c>
      <c r="E705" s="115" t="e">
        <f t="array" aca="1" ref="E705" ca="1">IF(OR(C704=0,AND(B706=0,C706=0)),"",IFERROR(INDEX($F$27:$F$36,MATCH(C705,($F$27:$F$36)*($D$27:$D$36&lt;&gt;0),0)),IF(OR(AND(D705=0,B705=0,B706&lt;&gt;0),AND(D705*D704&lt;0,B705&lt;&gt;0)),IF(D705=0,C705,C705*(1-ABS(D705)/(ABS(D705)+ABS(D704)))+C704*(1-ABS(D704)/(ABS(D705)+ABS(D704)))),"")))</f>
        <v>#NAME?</v>
      </c>
    </row>
    <row r="706" spans="2:5" x14ac:dyDescent="0.25">
      <c r="B706" t="e">
        <f t="shared" ca="1" si="23"/>
        <v>#NAME?</v>
      </c>
      <c r="C706">
        <v>663</v>
      </c>
      <c r="D706" t="e">
        <f t="shared" ca="1" si="22"/>
        <v>#NAME?</v>
      </c>
      <c r="E706" s="115" t="e">
        <f t="array" aca="1" ref="E706" ca="1">IF(OR(C705=0,AND(B707=0,C707=0)),"",IFERROR(INDEX($F$27:$F$36,MATCH(C706,($F$27:$F$36)*($D$27:$D$36&lt;&gt;0),0)),IF(OR(AND(D706=0,B706=0,B707&lt;&gt;0),AND(D706*D705&lt;0,B706&lt;&gt;0)),IF(D706=0,C706,C706*(1-ABS(D706)/(ABS(D706)+ABS(D705)))+C705*(1-ABS(D705)/(ABS(D706)+ABS(D705)))),"")))</f>
        <v>#NAME?</v>
      </c>
    </row>
    <row r="707" spans="2:5" x14ac:dyDescent="0.25">
      <c r="B707" t="e">
        <f t="shared" ca="1" si="23"/>
        <v>#NAME?</v>
      </c>
      <c r="C707">
        <v>664</v>
      </c>
      <c r="D707" t="e">
        <f t="shared" ca="1" si="22"/>
        <v>#NAME?</v>
      </c>
      <c r="E707" s="115" t="e">
        <f t="array" aca="1" ref="E707" ca="1">IF(OR(C706=0,AND(B708=0,C708=0)),"",IFERROR(INDEX($F$27:$F$36,MATCH(C707,($F$27:$F$36)*($D$27:$D$36&lt;&gt;0),0)),IF(OR(AND(D707=0,B707=0,B708&lt;&gt;0),AND(D707*D706&lt;0,B707&lt;&gt;0)),IF(D707=0,C707,C707*(1-ABS(D707)/(ABS(D707)+ABS(D706)))+C706*(1-ABS(D706)/(ABS(D707)+ABS(D706)))),"")))</f>
        <v>#NAME?</v>
      </c>
    </row>
    <row r="708" spans="2:5" x14ac:dyDescent="0.25">
      <c r="B708" t="e">
        <f t="shared" ca="1" si="23"/>
        <v>#NAME?</v>
      </c>
      <c r="C708">
        <v>665</v>
      </c>
      <c r="D708" t="e">
        <f t="shared" ca="1" si="22"/>
        <v>#NAME?</v>
      </c>
      <c r="E708" s="115" t="e">
        <f t="array" aca="1" ref="E708" ca="1">IF(OR(C707=0,AND(B709=0,C709=0)),"",IFERROR(INDEX($F$27:$F$36,MATCH(C708,($F$27:$F$36)*($D$27:$D$36&lt;&gt;0),0)),IF(OR(AND(D708=0,B708=0,B709&lt;&gt;0),AND(D708*D707&lt;0,B708&lt;&gt;0)),IF(D708=0,C708,C708*(1-ABS(D708)/(ABS(D708)+ABS(D707)))+C707*(1-ABS(D707)/(ABS(D708)+ABS(D707)))),"")))</f>
        <v>#NAME?</v>
      </c>
    </row>
    <row r="709" spans="2:5" x14ac:dyDescent="0.25">
      <c r="B709" t="e">
        <f t="shared" ca="1" si="23"/>
        <v>#NAME?</v>
      </c>
      <c r="C709">
        <v>666</v>
      </c>
      <c r="D709" t="e">
        <f t="shared" ca="1" si="22"/>
        <v>#NAME?</v>
      </c>
      <c r="E709" s="115" t="e">
        <f t="array" aca="1" ref="E709" ca="1">IF(OR(C708=0,AND(B710=0,C710=0)),"",IFERROR(INDEX($F$27:$F$36,MATCH(C709,($F$27:$F$36)*($D$27:$D$36&lt;&gt;0),0)),IF(OR(AND(D709=0,B709=0,B710&lt;&gt;0),AND(D709*D708&lt;0,B709&lt;&gt;0)),IF(D709=0,C709,C709*(1-ABS(D709)/(ABS(D709)+ABS(D708)))+C708*(1-ABS(D708)/(ABS(D709)+ABS(D708)))),"")))</f>
        <v>#NAME?</v>
      </c>
    </row>
    <row r="710" spans="2:5" x14ac:dyDescent="0.25">
      <c r="B710" t="e">
        <f t="shared" ca="1" si="23"/>
        <v>#NAME?</v>
      </c>
      <c r="C710">
        <v>667</v>
      </c>
      <c r="D710" t="e">
        <f t="shared" ca="1" si="22"/>
        <v>#NAME?</v>
      </c>
      <c r="E710" s="115" t="e">
        <f t="array" aca="1" ref="E710" ca="1">IF(OR(C709=0,AND(B711=0,C711=0)),"",IFERROR(INDEX($F$27:$F$36,MATCH(C710,($F$27:$F$36)*($D$27:$D$36&lt;&gt;0),0)),IF(OR(AND(D710=0,B710=0,B711&lt;&gt;0),AND(D710*D709&lt;0,B710&lt;&gt;0)),IF(D710=0,C710,C710*(1-ABS(D710)/(ABS(D710)+ABS(D709)))+C709*(1-ABS(D709)/(ABS(D710)+ABS(D709)))),"")))</f>
        <v>#NAME?</v>
      </c>
    </row>
    <row r="711" spans="2:5" x14ac:dyDescent="0.25">
      <c r="B711" t="e">
        <f t="shared" ca="1" si="23"/>
        <v>#NAME?</v>
      </c>
      <c r="C711">
        <v>668</v>
      </c>
      <c r="D711" t="e">
        <f t="shared" ca="1" si="22"/>
        <v>#NAME?</v>
      </c>
      <c r="E711" s="115" t="e">
        <f t="array" aca="1" ref="E711" ca="1">IF(OR(C710=0,AND(B712=0,C712=0)),"",IFERROR(INDEX($F$27:$F$36,MATCH(C711,($F$27:$F$36)*($D$27:$D$36&lt;&gt;0),0)),IF(OR(AND(D711=0,B711=0,B712&lt;&gt;0),AND(D711*D710&lt;0,B711&lt;&gt;0)),IF(D711=0,C711,C711*(1-ABS(D711)/(ABS(D711)+ABS(D710)))+C710*(1-ABS(D710)/(ABS(D711)+ABS(D710)))),"")))</f>
        <v>#NAME?</v>
      </c>
    </row>
    <row r="712" spans="2:5" x14ac:dyDescent="0.25">
      <c r="B712" t="e">
        <f t="shared" ca="1" si="23"/>
        <v>#NAME?</v>
      </c>
      <c r="C712">
        <v>669</v>
      </c>
      <c r="D712" t="e">
        <f t="shared" ca="1" si="22"/>
        <v>#NAME?</v>
      </c>
      <c r="E712" s="115" t="e">
        <f t="array" aca="1" ref="E712" ca="1">IF(OR(C711=0,AND(B713=0,C713=0)),"",IFERROR(INDEX($F$27:$F$36,MATCH(C712,($F$27:$F$36)*($D$27:$D$36&lt;&gt;0),0)),IF(OR(AND(D712=0,B712=0,B713&lt;&gt;0),AND(D712*D711&lt;0,B712&lt;&gt;0)),IF(D712=0,C712,C712*(1-ABS(D712)/(ABS(D712)+ABS(D711)))+C711*(1-ABS(D711)/(ABS(D712)+ABS(D711)))),"")))</f>
        <v>#NAME?</v>
      </c>
    </row>
    <row r="713" spans="2:5" x14ac:dyDescent="0.25">
      <c r="B713" t="e">
        <f t="shared" ca="1" si="23"/>
        <v>#NAME?</v>
      </c>
      <c r="C713">
        <v>670</v>
      </c>
      <c r="D713" t="e">
        <f t="shared" ca="1" si="22"/>
        <v>#NAME?</v>
      </c>
      <c r="E713" s="115" t="e">
        <f t="array" aca="1" ref="E713" ca="1">IF(OR(C712=0,AND(B714=0,C714=0)),"",IFERROR(INDEX($F$27:$F$36,MATCH(C713,($F$27:$F$36)*($D$27:$D$36&lt;&gt;0),0)),IF(OR(AND(D713=0,B713=0,B714&lt;&gt;0),AND(D713*D712&lt;0,B713&lt;&gt;0)),IF(D713=0,C713,C713*(1-ABS(D713)/(ABS(D713)+ABS(D712)))+C712*(1-ABS(D712)/(ABS(D713)+ABS(D712)))),"")))</f>
        <v>#NAME?</v>
      </c>
    </row>
    <row r="714" spans="2:5" x14ac:dyDescent="0.25">
      <c r="B714" t="e">
        <f t="shared" ca="1" si="23"/>
        <v>#NAME?</v>
      </c>
      <c r="C714">
        <v>671</v>
      </c>
      <c r="D714" t="e">
        <f t="shared" ca="1" si="22"/>
        <v>#NAME?</v>
      </c>
      <c r="E714" s="115" t="e">
        <f t="array" aca="1" ref="E714" ca="1">IF(OR(C713=0,AND(B715=0,C715=0)),"",IFERROR(INDEX($F$27:$F$36,MATCH(C714,($F$27:$F$36)*($D$27:$D$36&lt;&gt;0),0)),IF(OR(AND(D714=0,B714=0,B715&lt;&gt;0),AND(D714*D713&lt;0,B714&lt;&gt;0)),IF(D714=0,C714,C714*(1-ABS(D714)/(ABS(D714)+ABS(D713)))+C713*(1-ABS(D713)/(ABS(D714)+ABS(D713)))),"")))</f>
        <v>#NAME?</v>
      </c>
    </row>
    <row r="715" spans="2:5" x14ac:dyDescent="0.25">
      <c r="B715" t="e">
        <f t="shared" ca="1" si="23"/>
        <v>#NAME?</v>
      </c>
      <c r="C715">
        <v>672</v>
      </c>
      <c r="D715" t="e">
        <f t="shared" ca="1" si="22"/>
        <v>#NAME?</v>
      </c>
      <c r="E715" s="115" t="e">
        <f t="array" aca="1" ref="E715" ca="1">IF(OR(C714=0,AND(B716=0,C716=0)),"",IFERROR(INDEX($F$27:$F$36,MATCH(C715,($F$27:$F$36)*($D$27:$D$36&lt;&gt;0),0)),IF(OR(AND(D715=0,B715=0,B716&lt;&gt;0),AND(D715*D714&lt;0,B715&lt;&gt;0)),IF(D715=0,C715,C715*(1-ABS(D715)/(ABS(D715)+ABS(D714)))+C714*(1-ABS(D714)/(ABS(D715)+ABS(D714)))),"")))</f>
        <v>#NAME?</v>
      </c>
    </row>
    <row r="716" spans="2:5" x14ac:dyDescent="0.25">
      <c r="B716" t="e">
        <f t="shared" ca="1" si="23"/>
        <v>#NAME?</v>
      </c>
      <c r="C716">
        <v>673</v>
      </c>
      <c r="D716" t="e">
        <f t="shared" ca="1" si="22"/>
        <v>#NAME?</v>
      </c>
      <c r="E716" s="115" t="e">
        <f t="array" aca="1" ref="E716" ca="1">IF(OR(C715=0,AND(B717=0,C717=0)),"",IFERROR(INDEX($F$27:$F$36,MATCH(C716,($F$27:$F$36)*($D$27:$D$36&lt;&gt;0),0)),IF(OR(AND(D716=0,B716=0,B717&lt;&gt;0),AND(D716*D715&lt;0,B716&lt;&gt;0)),IF(D716=0,C716,C716*(1-ABS(D716)/(ABS(D716)+ABS(D715)))+C715*(1-ABS(D715)/(ABS(D716)+ABS(D715)))),"")))</f>
        <v>#NAME?</v>
      </c>
    </row>
    <row r="717" spans="2:5" x14ac:dyDescent="0.25">
      <c r="B717" t="e">
        <f t="shared" ca="1" si="23"/>
        <v>#NAME?</v>
      </c>
      <c r="C717">
        <v>674</v>
      </c>
      <c r="D717" t="e">
        <f t="shared" ca="1" si="22"/>
        <v>#NAME?</v>
      </c>
      <c r="E717" s="115" t="e">
        <f t="array" aca="1" ref="E717" ca="1">IF(OR(C716=0,AND(B718=0,C718=0)),"",IFERROR(INDEX($F$27:$F$36,MATCH(C717,($F$27:$F$36)*($D$27:$D$36&lt;&gt;0),0)),IF(OR(AND(D717=0,B717=0,B718&lt;&gt;0),AND(D717*D716&lt;0,B717&lt;&gt;0)),IF(D717=0,C717,C717*(1-ABS(D717)/(ABS(D717)+ABS(D716)))+C716*(1-ABS(D716)/(ABS(D717)+ABS(D716)))),"")))</f>
        <v>#NAME?</v>
      </c>
    </row>
    <row r="718" spans="2:5" x14ac:dyDescent="0.25">
      <c r="B718" t="e">
        <f t="shared" ca="1" si="23"/>
        <v>#NAME?</v>
      </c>
      <c r="C718">
        <v>675</v>
      </c>
      <c r="D718" t="e">
        <f t="shared" ca="1" si="22"/>
        <v>#NAME?</v>
      </c>
      <c r="E718" s="115" t="e">
        <f t="array" aca="1" ref="E718" ca="1">IF(OR(C717=0,AND(B719=0,C719=0)),"",IFERROR(INDEX($F$27:$F$36,MATCH(C718,($F$27:$F$36)*($D$27:$D$36&lt;&gt;0),0)),IF(OR(AND(D718=0,B718=0,B719&lt;&gt;0),AND(D718*D717&lt;0,B718&lt;&gt;0)),IF(D718=0,C718,C718*(1-ABS(D718)/(ABS(D718)+ABS(D717)))+C717*(1-ABS(D717)/(ABS(D718)+ABS(D717)))),"")))</f>
        <v>#NAME?</v>
      </c>
    </row>
    <row r="719" spans="2:5" x14ac:dyDescent="0.25">
      <c r="B719" t="e">
        <f t="shared" ca="1" si="23"/>
        <v>#NAME?</v>
      </c>
      <c r="C719">
        <v>676</v>
      </c>
      <c r="D719" t="e">
        <f t="shared" ca="1" si="22"/>
        <v>#NAME?</v>
      </c>
      <c r="E719" s="115" t="e">
        <f t="array" aca="1" ref="E719" ca="1">IF(OR(C718=0,AND(B720=0,C720=0)),"",IFERROR(INDEX($F$27:$F$36,MATCH(C719,($F$27:$F$36)*($D$27:$D$36&lt;&gt;0),0)),IF(OR(AND(D719=0,B719=0,B720&lt;&gt;0),AND(D719*D718&lt;0,B719&lt;&gt;0)),IF(D719=0,C719,C719*(1-ABS(D719)/(ABS(D719)+ABS(D718)))+C718*(1-ABS(D718)/(ABS(D719)+ABS(D718)))),"")))</f>
        <v>#NAME?</v>
      </c>
    </row>
    <row r="720" spans="2:5" x14ac:dyDescent="0.25">
      <c r="B720" t="e">
        <f t="shared" ca="1" si="23"/>
        <v>#NAME?</v>
      </c>
      <c r="C720">
        <v>677</v>
      </c>
      <c r="D720" t="e">
        <f t="shared" ca="1" si="22"/>
        <v>#NAME?</v>
      </c>
      <c r="E720" s="115" t="e">
        <f t="array" aca="1" ref="E720" ca="1">IF(OR(C719=0,AND(B721=0,C721=0)),"",IFERROR(INDEX($F$27:$F$36,MATCH(C720,($F$27:$F$36)*($D$27:$D$36&lt;&gt;0),0)),IF(OR(AND(D720=0,B720=0,B721&lt;&gt;0),AND(D720*D719&lt;0,B720&lt;&gt;0)),IF(D720=0,C720,C720*(1-ABS(D720)/(ABS(D720)+ABS(D719)))+C719*(1-ABS(D719)/(ABS(D720)+ABS(D719)))),"")))</f>
        <v>#NAME?</v>
      </c>
    </row>
    <row r="721" spans="2:5" x14ac:dyDescent="0.25">
      <c r="B721" t="e">
        <f t="shared" ca="1" si="23"/>
        <v>#NAME?</v>
      </c>
      <c r="C721">
        <v>678</v>
      </c>
      <c r="D721" t="e">
        <f t="shared" ca="1" si="22"/>
        <v>#NAME?</v>
      </c>
      <c r="E721" s="115" t="e">
        <f t="array" aca="1" ref="E721" ca="1">IF(OR(C720=0,AND(B722=0,C722=0)),"",IFERROR(INDEX($F$27:$F$36,MATCH(C721,($F$27:$F$36)*($D$27:$D$36&lt;&gt;0),0)),IF(OR(AND(D721=0,B721=0,B722&lt;&gt;0),AND(D721*D720&lt;0,B721&lt;&gt;0)),IF(D721=0,C721,C721*(1-ABS(D721)/(ABS(D721)+ABS(D720)))+C720*(1-ABS(D720)/(ABS(D721)+ABS(D720)))),"")))</f>
        <v>#NAME?</v>
      </c>
    </row>
    <row r="722" spans="2:5" x14ac:dyDescent="0.25">
      <c r="B722" t="e">
        <f t="shared" ca="1" si="23"/>
        <v>#NAME?</v>
      </c>
      <c r="C722">
        <v>679</v>
      </c>
      <c r="D722" t="e">
        <f t="shared" ca="1" si="22"/>
        <v>#NAME?</v>
      </c>
      <c r="E722" s="115" t="e">
        <f t="array" aca="1" ref="E722" ca="1">IF(OR(C721=0,AND(B723=0,C723=0)),"",IFERROR(INDEX($F$27:$F$36,MATCH(C722,($F$27:$F$36)*($D$27:$D$36&lt;&gt;0),0)),IF(OR(AND(D722=0,B722=0,B723&lt;&gt;0),AND(D722*D721&lt;0,B722&lt;&gt;0)),IF(D722=0,C722,C722*(1-ABS(D722)/(ABS(D722)+ABS(D721)))+C721*(1-ABS(D721)/(ABS(D722)+ABS(D721)))),"")))</f>
        <v>#NAME?</v>
      </c>
    </row>
    <row r="723" spans="2:5" x14ac:dyDescent="0.25">
      <c r="B723" t="e">
        <f t="shared" ca="1" si="23"/>
        <v>#NAME?</v>
      </c>
      <c r="C723">
        <v>680</v>
      </c>
      <c r="D723" t="e">
        <f t="shared" ca="1" si="22"/>
        <v>#NAME?</v>
      </c>
      <c r="E723" s="115" t="e">
        <f t="array" aca="1" ref="E723" ca="1">IF(OR(C722=0,AND(B724=0,C724=0)),"",IFERROR(INDEX($F$27:$F$36,MATCH(C723,($F$27:$F$36)*($D$27:$D$36&lt;&gt;0),0)),IF(OR(AND(D723=0,B723=0,B724&lt;&gt;0),AND(D723*D722&lt;0,B723&lt;&gt;0)),IF(D723=0,C723,C723*(1-ABS(D723)/(ABS(D723)+ABS(D722)))+C722*(1-ABS(D722)/(ABS(D723)+ABS(D722)))),"")))</f>
        <v>#NAME?</v>
      </c>
    </row>
    <row r="724" spans="2:5" x14ac:dyDescent="0.25">
      <c r="B724" t="e">
        <f t="shared" ca="1" si="23"/>
        <v>#NAME?</v>
      </c>
      <c r="C724">
        <v>681</v>
      </c>
      <c r="D724" t="e">
        <f t="shared" ca="1" si="22"/>
        <v>#NAME?</v>
      </c>
      <c r="E724" s="115" t="e">
        <f t="array" aca="1" ref="E724" ca="1">IF(OR(C723=0,AND(B725=0,C725=0)),"",IFERROR(INDEX($F$27:$F$36,MATCH(C724,($F$27:$F$36)*($D$27:$D$36&lt;&gt;0),0)),IF(OR(AND(D724=0,B724=0,B725&lt;&gt;0),AND(D724*D723&lt;0,B724&lt;&gt;0)),IF(D724=0,C724,C724*(1-ABS(D724)/(ABS(D724)+ABS(D723)))+C723*(1-ABS(D723)/(ABS(D724)+ABS(D723)))),"")))</f>
        <v>#NAME?</v>
      </c>
    </row>
    <row r="725" spans="2:5" x14ac:dyDescent="0.25">
      <c r="B725" t="e">
        <f t="shared" ca="1" si="23"/>
        <v>#NAME?</v>
      </c>
      <c r="C725">
        <v>682</v>
      </c>
      <c r="D725" t="e">
        <f t="shared" ca="1" si="22"/>
        <v>#NAME?</v>
      </c>
      <c r="E725" s="115" t="e">
        <f t="array" aca="1" ref="E725" ca="1">IF(OR(C724=0,AND(B726=0,C726=0)),"",IFERROR(INDEX($F$27:$F$36,MATCH(C725,($F$27:$F$36)*($D$27:$D$36&lt;&gt;0),0)),IF(OR(AND(D725=0,B725=0,B726&lt;&gt;0),AND(D725*D724&lt;0,B725&lt;&gt;0)),IF(D725=0,C725,C725*(1-ABS(D725)/(ABS(D725)+ABS(D724)))+C724*(1-ABS(D724)/(ABS(D725)+ABS(D724)))),"")))</f>
        <v>#NAME?</v>
      </c>
    </row>
    <row r="726" spans="2:5" x14ac:dyDescent="0.25">
      <c r="B726" t="e">
        <f t="shared" ca="1" si="23"/>
        <v>#NAME?</v>
      </c>
      <c r="C726">
        <v>683</v>
      </c>
      <c r="D726" t="e">
        <f t="shared" ca="1" si="22"/>
        <v>#NAME?</v>
      </c>
      <c r="E726" s="115" t="e">
        <f t="array" aca="1" ref="E726" ca="1">IF(OR(C725=0,AND(B727=0,C727=0)),"",IFERROR(INDEX($F$27:$F$36,MATCH(C726,($F$27:$F$36)*($D$27:$D$36&lt;&gt;0),0)),IF(OR(AND(D726=0,B726=0,B727&lt;&gt;0),AND(D726*D725&lt;0,B726&lt;&gt;0)),IF(D726=0,C726,C726*(1-ABS(D726)/(ABS(D726)+ABS(D725)))+C725*(1-ABS(D725)/(ABS(D726)+ABS(D725)))),"")))</f>
        <v>#NAME?</v>
      </c>
    </row>
    <row r="727" spans="2:5" x14ac:dyDescent="0.25">
      <c r="B727" t="e">
        <f t="shared" ca="1" si="23"/>
        <v>#NAME?</v>
      </c>
      <c r="C727">
        <v>684</v>
      </c>
      <c r="D727" t="e">
        <f t="shared" ca="1" si="22"/>
        <v>#NAME?</v>
      </c>
      <c r="E727" s="115" t="e">
        <f t="array" aca="1" ref="E727" ca="1">IF(OR(C726=0,AND(B728=0,C728=0)),"",IFERROR(INDEX($F$27:$F$36,MATCH(C727,($F$27:$F$36)*($D$27:$D$36&lt;&gt;0),0)),IF(OR(AND(D727=0,B727=0,B728&lt;&gt;0),AND(D727*D726&lt;0,B727&lt;&gt;0)),IF(D727=0,C727,C727*(1-ABS(D727)/(ABS(D727)+ABS(D726)))+C726*(1-ABS(D726)/(ABS(D727)+ABS(D726)))),"")))</f>
        <v>#NAME?</v>
      </c>
    </row>
    <row r="728" spans="2:5" x14ac:dyDescent="0.25">
      <c r="B728" t="e">
        <f t="shared" ca="1" si="23"/>
        <v>#NAME?</v>
      </c>
      <c r="C728">
        <v>685</v>
      </c>
      <c r="D728" t="e">
        <f t="shared" ca="1" si="22"/>
        <v>#NAME?</v>
      </c>
      <c r="E728" s="115" t="e">
        <f t="array" aca="1" ref="E728" ca="1">IF(OR(C727=0,AND(B729=0,C729=0)),"",IFERROR(INDEX($F$27:$F$36,MATCH(C728,($F$27:$F$36)*($D$27:$D$36&lt;&gt;0),0)),IF(OR(AND(D728=0,B728=0,B729&lt;&gt;0),AND(D728*D727&lt;0,B728&lt;&gt;0)),IF(D728=0,C728,C728*(1-ABS(D728)/(ABS(D728)+ABS(D727)))+C727*(1-ABS(D727)/(ABS(D728)+ABS(D727)))),"")))</f>
        <v>#NAME?</v>
      </c>
    </row>
    <row r="729" spans="2:5" x14ac:dyDescent="0.25">
      <c r="B729" t="e">
        <f t="shared" ca="1" si="23"/>
        <v>#NAME?</v>
      </c>
      <c r="C729">
        <v>686</v>
      </c>
      <c r="D729" t="e">
        <f t="shared" ca="1" si="22"/>
        <v>#NAME?</v>
      </c>
      <c r="E729" s="115" t="e">
        <f t="array" aca="1" ref="E729" ca="1">IF(OR(C728=0,AND(B730=0,C730=0)),"",IFERROR(INDEX($F$27:$F$36,MATCH(C729,($F$27:$F$36)*($D$27:$D$36&lt;&gt;0),0)),IF(OR(AND(D729=0,B729=0,B730&lt;&gt;0),AND(D729*D728&lt;0,B729&lt;&gt;0)),IF(D729=0,C729,C729*(1-ABS(D729)/(ABS(D729)+ABS(D728)))+C728*(1-ABS(D728)/(ABS(D729)+ABS(D728)))),"")))</f>
        <v>#NAME?</v>
      </c>
    </row>
    <row r="730" spans="2:5" x14ac:dyDescent="0.25">
      <c r="B730" t="e">
        <f t="shared" ca="1" si="23"/>
        <v>#NAME?</v>
      </c>
      <c r="C730">
        <v>687</v>
      </c>
      <c r="D730" t="e">
        <f t="shared" ca="1" si="22"/>
        <v>#NAME?</v>
      </c>
      <c r="E730" s="115" t="e">
        <f t="array" aca="1" ref="E730" ca="1">IF(OR(C729=0,AND(B731=0,C731=0)),"",IFERROR(INDEX($F$27:$F$36,MATCH(C730,($F$27:$F$36)*($D$27:$D$36&lt;&gt;0),0)),IF(OR(AND(D730=0,B730=0,B731&lt;&gt;0),AND(D730*D729&lt;0,B730&lt;&gt;0)),IF(D730=0,C730,C730*(1-ABS(D730)/(ABS(D730)+ABS(D729)))+C729*(1-ABS(D729)/(ABS(D730)+ABS(D729)))),"")))</f>
        <v>#NAME?</v>
      </c>
    </row>
    <row r="731" spans="2:5" x14ac:dyDescent="0.25">
      <c r="B731" t="e">
        <f t="shared" ca="1" si="23"/>
        <v>#NAME?</v>
      </c>
      <c r="C731">
        <v>688</v>
      </c>
      <c r="D731" t="e">
        <f t="shared" ca="1" si="22"/>
        <v>#NAME?</v>
      </c>
      <c r="E731" s="115" t="e">
        <f t="array" aca="1" ref="E731" ca="1">IF(OR(C730=0,AND(B732=0,C732=0)),"",IFERROR(INDEX($F$27:$F$36,MATCH(C731,($F$27:$F$36)*($D$27:$D$36&lt;&gt;0),0)),IF(OR(AND(D731=0,B731=0,B732&lt;&gt;0),AND(D731*D730&lt;0,B731&lt;&gt;0)),IF(D731=0,C731,C731*(1-ABS(D731)/(ABS(D731)+ABS(D730)))+C730*(1-ABS(D730)/(ABS(D731)+ABS(D730)))),"")))</f>
        <v>#NAME?</v>
      </c>
    </row>
    <row r="732" spans="2:5" x14ac:dyDescent="0.25">
      <c r="B732" t="e">
        <f t="shared" ca="1" si="23"/>
        <v>#NAME?</v>
      </c>
      <c r="C732">
        <v>689</v>
      </c>
      <c r="D732" t="e">
        <f t="shared" ca="1" si="22"/>
        <v>#NAME?</v>
      </c>
      <c r="E732" s="115" t="e">
        <f t="array" aca="1" ref="E732" ca="1">IF(OR(C731=0,AND(B733=0,C733=0)),"",IFERROR(INDEX($F$27:$F$36,MATCH(C732,($F$27:$F$36)*($D$27:$D$36&lt;&gt;0),0)),IF(OR(AND(D732=0,B732=0,B733&lt;&gt;0),AND(D732*D731&lt;0,B732&lt;&gt;0)),IF(D732=0,C732,C732*(1-ABS(D732)/(ABS(D732)+ABS(D731)))+C731*(1-ABS(D731)/(ABS(D732)+ABS(D731)))),"")))</f>
        <v>#NAME?</v>
      </c>
    </row>
    <row r="733" spans="2:5" x14ac:dyDescent="0.25">
      <c r="B733" t="e">
        <f t="shared" ca="1" si="23"/>
        <v>#NAME?</v>
      </c>
      <c r="C733">
        <v>690</v>
      </c>
      <c r="D733" t="e">
        <f t="shared" ca="1" si="22"/>
        <v>#NAME?</v>
      </c>
      <c r="E733" s="115" t="e">
        <f t="array" aca="1" ref="E733" ca="1">IF(OR(C732=0,AND(B734=0,C734=0)),"",IFERROR(INDEX($F$27:$F$36,MATCH(C733,($F$27:$F$36)*($D$27:$D$36&lt;&gt;0),0)),IF(OR(AND(D733=0,B733=0,B734&lt;&gt;0),AND(D733*D732&lt;0,B733&lt;&gt;0)),IF(D733=0,C733,C733*(1-ABS(D733)/(ABS(D733)+ABS(D732)))+C732*(1-ABS(D732)/(ABS(D733)+ABS(D732)))),"")))</f>
        <v>#NAME?</v>
      </c>
    </row>
    <row r="734" spans="2:5" x14ac:dyDescent="0.25">
      <c r="B734" t="e">
        <f t="shared" ca="1" si="23"/>
        <v>#NAME?</v>
      </c>
      <c r="C734">
        <v>691</v>
      </c>
      <c r="D734" t="e">
        <f t="shared" ca="1" si="22"/>
        <v>#NAME?</v>
      </c>
      <c r="E734" s="115" t="e">
        <f t="array" aca="1" ref="E734" ca="1">IF(OR(C733=0,AND(B735=0,C735=0)),"",IFERROR(INDEX($F$27:$F$36,MATCH(C734,($F$27:$F$36)*($D$27:$D$36&lt;&gt;0),0)),IF(OR(AND(D734=0,B734=0,B735&lt;&gt;0),AND(D734*D733&lt;0,B734&lt;&gt;0)),IF(D734=0,C734,C734*(1-ABS(D734)/(ABS(D734)+ABS(D733)))+C733*(1-ABS(D733)/(ABS(D734)+ABS(D733)))),"")))</f>
        <v>#NAME?</v>
      </c>
    </row>
    <row r="735" spans="2:5" x14ac:dyDescent="0.25">
      <c r="B735" t="e">
        <f t="shared" ca="1" si="23"/>
        <v>#NAME?</v>
      </c>
      <c r="C735">
        <v>692</v>
      </c>
      <c r="D735" t="e">
        <f t="shared" ca="1" si="22"/>
        <v>#NAME?</v>
      </c>
      <c r="E735" s="115" t="e">
        <f t="array" aca="1" ref="E735" ca="1">IF(OR(C734=0,AND(B736=0,C736=0)),"",IFERROR(INDEX($F$27:$F$36,MATCH(C735,($F$27:$F$36)*($D$27:$D$36&lt;&gt;0),0)),IF(OR(AND(D735=0,B735=0,B736&lt;&gt;0),AND(D735*D734&lt;0,B735&lt;&gt;0)),IF(D735=0,C735,C735*(1-ABS(D735)/(ABS(D735)+ABS(D734)))+C734*(1-ABS(D734)/(ABS(D735)+ABS(D734)))),"")))</f>
        <v>#NAME?</v>
      </c>
    </row>
    <row r="736" spans="2:5" x14ac:dyDescent="0.25">
      <c r="B736" t="e">
        <f t="shared" ca="1" si="23"/>
        <v>#NAME?</v>
      </c>
      <c r="C736">
        <v>693</v>
      </c>
      <c r="D736" t="e">
        <f t="shared" ca="1" si="22"/>
        <v>#NAME?</v>
      </c>
      <c r="E736" s="115" t="e">
        <f t="array" aca="1" ref="E736" ca="1">IF(OR(C735=0,AND(B737=0,C737=0)),"",IFERROR(INDEX($F$27:$F$36,MATCH(C736,($F$27:$F$36)*($D$27:$D$36&lt;&gt;0),0)),IF(OR(AND(D736=0,B736=0,B737&lt;&gt;0),AND(D736*D735&lt;0,B736&lt;&gt;0)),IF(D736=0,C736,C736*(1-ABS(D736)/(ABS(D736)+ABS(D735)))+C735*(1-ABS(D735)/(ABS(D736)+ABS(D735)))),"")))</f>
        <v>#NAME?</v>
      </c>
    </row>
    <row r="737" spans="2:5" x14ac:dyDescent="0.25">
      <c r="B737" t="e">
        <f t="shared" ca="1" si="23"/>
        <v>#NAME?</v>
      </c>
      <c r="C737">
        <v>694</v>
      </c>
      <c r="D737" t="e">
        <f t="shared" ca="1" si="22"/>
        <v>#NAME?</v>
      </c>
      <c r="E737" s="115" t="e">
        <f t="array" aca="1" ref="E737" ca="1">IF(OR(C736=0,AND(B738=0,C738=0)),"",IFERROR(INDEX($F$27:$F$36,MATCH(C737,($F$27:$F$36)*($D$27:$D$36&lt;&gt;0),0)),IF(OR(AND(D737=0,B737=0,B738&lt;&gt;0),AND(D737*D736&lt;0,B737&lt;&gt;0)),IF(D737=0,C737,C737*(1-ABS(D737)/(ABS(D737)+ABS(D736)))+C736*(1-ABS(D736)/(ABS(D737)+ABS(D736)))),"")))</f>
        <v>#NAME?</v>
      </c>
    </row>
    <row r="738" spans="2:5" x14ac:dyDescent="0.25">
      <c r="B738" t="e">
        <f t="shared" ca="1" si="23"/>
        <v>#NAME?</v>
      </c>
      <c r="C738">
        <v>695</v>
      </c>
      <c r="D738" t="e">
        <f t="shared" ca="1" si="22"/>
        <v>#NAME?</v>
      </c>
      <c r="E738" s="115" t="e">
        <f t="array" aca="1" ref="E738" ca="1">IF(OR(C737=0,AND(B739=0,C739=0)),"",IFERROR(INDEX($F$27:$F$36,MATCH(C738,($F$27:$F$36)*($D$27:$D$36&lt;&gt;0),0)),IF(OR(AND(D738=0,B738=0,B739&lt;&gt;0),AND(D738*D737&lt;0,B738&lt;&gt;0)),IF(D738=0,C738,C738*(1-ABS(D738)/(ABS(D738)+ABS(D737)))+C737*(1-ABS(D737)/(ABS(D738)+ABS(D737)))),"")))</f>
        <v>#NAME?</v>
      </c>
    </row>
    <row r="739" spans="2:5" x14ac:dyDescent="0.25">
      <c r="B739" t="e">
        <f t="shared" ca="1" si="23"/>
        <v>#NAME?</v>
      </c>
      <c r="C739">
        <v>696</v>
      </c>
      <c r="D739" t="e">
        <f t="shared" ca="1" si="22"/>
        <v>#NAME?</v>
      </c>
      <c r="E739" s="115" t="e">
        <f t="array" aca="1" ref="E739" ca="1">IF(OR(C738=0,AND(B740=0,C740=0)),"",IFERROR(INDEX($F$27:$F$36,MATCH(C739,($F$27:$F$36)*($D$27:$D$36&lt;&gt;0),0)),IF(OR(AND(D739=0,B739=0,B740&lt;&gt;0),AND(D739*D738&lt;0,B739&lt;&gt;0)),IF(D739=0,C739,C739*(1-ABS(D739)/(ABS(D739)+ABS(D738)))+C738*(1-ABS(D738)/(ABS(D739)+ABS(D738)))),"")))</f>
        <v>#NAME?</v>
      </c>
    </row>
    <row r="740" spans="2:5" x14ac:dyDescent="0.25">
      <c r="B740" t="e">
        <f t="shared" ca="1" si="23"/>
        <v>#NAME?</v>
      </c>
      <c r="C740">
        <v>697</v>
      </c>
      <c r="D740" t="e">
        <f t="shared" ca="1" si="22"/>
        <v>#NAME?</v>
      </c>
      <c r="E740" s="115" t="e">
        <f t="array" aca="1" ref="E740" ca="1">IF(OR(C739=0,AND(B741=0,C741=0)),"",IFERROR(INDEX($F$27:$F$36,MATCH(C740,($F$27:$F$36)*($D$27:$D$36&lt;&gt;0),0)),IF(OR(AND(D740=0,B740=0,B741&lt;&gt;0),AND(D740*D739&lt;0,B740&lt;&gt;0)),IF(D740=0,C740,C740*(1-ABS(D740)/(ABS(D740)+ABS(D739)))+C739*(1-ABS(D739)/(ABS(D740)+ABS(D739)))),"")))</f>
        <v>#NAME?</v>
      </c>
    </row>
    <row r="741" spans="2:5" x14ac:dyDescent="0.25">
      <c r="B741" t="e">
        <f t="shared" ca="1" si="23"/>
        <v>#NAME?</v>
      </c>
      <c r="C741">
        <v>698</v>
      </c>
      <c r="D741" t="e">
        <f t="shared" ca="1" si="22"/>
        <v>#NAME?</v>
      </c>
      <c r="E741" s="115" t="e">
        <f t="array" aca="1" ref="E741" ca="1">IF(OR(C740=0,AND(B742=0,C742=0)),"",IFERROR(INDEX($F$27:$F$36,MATCH(C741,($F$27:$F$36)*($D$27:$D$36&lt;&gt;0),0)),IF(OR(AND(D741=0,B741=0,B742&lt;&gt;0),AND(D741*D740&lt;0,B741&lt;&gt;0)),IF(D741=0,C741,C741*(1-ABS(D741)/(ABS(D741)+ABS(D740)))+C740*(1-ABS(D740)/(ABS(D741)+ABS(D740)))),"")))</f>
        <v>#NAME?</v>
      </c>
    </row>
    <row r="742" spans="2:5" x14ac:dyDescent="0.25">
      <c r="B742" t="e">
        <f t="shared" ca="1" si="23"/>
        <v>#NAME?</v>
      </c>
      <c r="C742">
        <v>699</v>
      </c>
      <c r="D742" t="e">
        <f t="shared" ca="1" si="22"/>
        <v>#NAME?</v>
      </c>
      <c r="E742" s="115" t="e">
        <f t="array" aca="1" ref="E742" ca="1">IF(OR(C741=0,AND(B743=0,C743=0)),"",IFERROR(INDEX($F$27:$F$36,MATCH(C742,($F$27:$F$36)*($D$27:$D$36&lt;&gt;0),0)),IF(OR(AND(D742=0,B742=0,B743&lt;&gt;0),AND(D742*D741&lt;0,B742&lt;&gt;0)),IF(D742=0,C742,C742*(1-ABS(D742)/(ABS(D742)+ABS(D741)))+C741*(1-ABS(D741)/(ABS(D742)+ABS(D741)))),"")))</f>
        <v>#NAME?</v>
      </c>
    </row>
    <row r="743" spans="2:5" x14ac:dyDescent="0.25">
      <c r="B743" t="e">
        <f t="shared" ca="1" si="23"/>
        <v>#NAME?</v>
      </c>
      <c r="C743">
        <v>700</v>
      </c>
      <c r="D743" t="e">
        <f t="shared" ca="1" si="22"/>
        <v>#NAME?</v>
      </c>
      <c r="E743" s="115" t="e">
        <f t="array" aca="1" ref="E743" ca="1">IF(OR(C742=0,AND(B744=0,C744=0)),"",IFERROR(INDEX($F$27:$F$36,MATCH(C743,($F$27:$F$36)*($D$27:$D$36&lt;&gt;0),0)),IF(OR(AND(D743=0,B743=0,B744&lt;&gt;0),AND(D743*D742&lt;0,B743&lt;&gt;0)),IF(D743=0,C743,C743*(1-ABS(D743)/(ABS(D743)+ABS(D742)))+C742*(1-ABS(D742)/(ABS(D743)+ABS(D742)))),"")))</f>
        <v>#NAME?</v>
      </c>
    </row>
    <row r="744" spans="2:5" x14ac:dyDescent="0.25">
      <c r="B744" t="e">
        <f t="shared" ca="1" si="23"/>
        <v>#NAME?</v>
      </c>
      <c r="C744">
        <v>701</v>
      </c>
      <c r="D744" t="e">
        <f t="shared" ca="1" si="22"/>
        <v>#NAME?</v>
      </c>
      <c r="E744" s="115" t="e">
        <f t="array" aca="1" ref="E744" ca="1">IF(OR(C743=0,AND(B745=0,C745=0)),"",IFERROR(INDEX($F$27:$F$36,MATCH(C744,($F$27:$F$36)*($D$27:$D$36&lt;&gt;0),0)),IF(OR(AND(D744=0,B744=0,B745&lt;&gt;0),AND(D744*D743&lt;0,B744&lt;&gt;0)),IF(D744=0,C744,C744*(1-ABS(D744)/(ABS(D744)+ABS(D743)))+C743*(1-ABS(D743)/(ABS(D744)+ABS(D743)))),"")))</f>
        <v>#NAME?</v>
      </c>
    </row>
    <row r="745" spans="2:5" x14ac:dyDescent="0.25">
      <c r="B745" t="e">
        <f t="shared" ca="1" si="23"/>
        <v>#NAME?</v>
      </c>
      <c r="C745">
        <v>702</v>
      </c>
      <c r="D745" t="e">
        <f t="shared" ca="1" si="22"/>
        <v>#NAME?</v>
      </c>
      <c r="E745" s="115" t="e">
        <f t="array" aca="1" ref="E745" ca="1">IF(OR(C744=0,AND(B746=0,C746=0)),"",IFERROR(INDEX($F$27:$F$36,MATCH(C745,($F$27:$F$36)*($D$27:$D$36&lt;&gt;0),0)),IF(OR(AND(D745=0,B745=0,B746&lt;&gt;0),AND(D745*D744&lt;0,B745&lt;&gt;0)),IF(D745=0,C745,C745*(1-ABS(D745)/(ABS(D745)+ABS(D744)))+C744*(1-ABS(D744)/(ABS(D745)+ABS(D744)))),"")))</f>
        <v>#NAME?</v>
      </c>
    </row>
    <row r="746" spans="2:5" x14ac:dyDescent="0.25">
      <c r="B746" t="e">
        <f t="shared" ca="1" si="23"/>
        <v>#NAME?</v>
      </c>
      <c r="C746">
        <v>703</v>
      </c>
      <c r="D746" t="e">
        <f t="shared" ca="1" si="22"/>
        <v>#NAME?</v>
      </c>
      <c r="E746" s="115" t="e">
        <f t="array" aca="1" ref="E746" ca="1">IF(OR(C745=0,AND(B747=0,C747=0)),"",IFERROR(INDEX($F$27:$F$36,MATCH(C746,($F$27:$F$36)*($D$27:$D$36&lt;&gt;0),0)),IF(OR(AND(D746=0,B746=0,B747&lt;&gt;0),AND(D746*D745&lt;0,B746&lt;&gt;0)),IF(D746=0,C746,C746*(1-ABS(D746)/(ABS(D746)+ABS(D745)))+C745*(1-ABS(D745)/(ABS(D746)+ABS(D745)))),"")))</f>
        <v>#NAME?</v>
      </c>
    </row>
    <row r="747" spans="2:5" x14ac:dyDescent="0.25">
      <c r="B747" t="e">
        <f t="shared" ca="1" si="23"/>
        <v>#NAME?</v>
      </c>
      <c r="C747">
        <v>704</v>
      </c>
      <c r="D747" t="e">
        <f t="shared" ref="D747:D810" ca="1" si="24">SUMPRODUCT(--($J$27:$J$37&gt;0),--($C747-$F$27:$F$37&gt;0),($D$27:$D$37),($C747-$F$27:$F$37))+SUMPRODUCT(--($J$27:$J$37&lt;0),--($F$27:$F$37-$C747&gt;0),($D$27:$D$37),($F$27:$F$37-$C747))-SUMPRODUCT($D$27:$D$37,$E$27:$E$37)</f>
        <v>#NAME?</v>
      </c>
      <c r="E747" s="115" t="e">
        <f t="array" aca="1" ref="E747" ca="1">IF(OR(C746=0,AND(B748=0,C748=0)),"",IFERROR(INDEX($F$27:$F$36,MATCH(C747,($F$27:$F$36)*($D$27:$D$36&lt;&gt;0),0)),IF(OR(AND(D747=0,B747=0,B748&lt;&gt;0),AND(D747*D746&lt;0,B747&lt;&gt;0)),IF(D747=0,C747,C747*(1-ABS(D747)/(ABS(D747)+ABS(D746)))+C746*(1-ABS(D746)/(ABS(D747)+ABS(D746)))),"")))</f>
        <v>#NAME?</v>
      </c>
    </row>
    <row r="748" spans="2:5" x14ac:dyDescent="0.25">
      <c r="B748" t="e">
        <f t="shared" ref="B748:B811" ca="1" si="25">ROUND((D748-D747)/(C748-C747),12)</f>
        <v>#NAME?</v>
      </c>
      <c r="C748">
        <v>705</v>
      </c>
      <c r="D748" t="e">
        <f t="shared" ca="1" si="24"/>
        <v>#NAME?</v>
      </c>
      <c r="E748" s="115" t="e">
        <f t="array" aca="1" ref="E748" ca="1">IF(OR(C747=0,AND(B749=0,C749=0)),"",IFERROR(INDEX($F$27:$F$36,MATCH(C748,($F$27:$F$36)*($D$27:$D$36&lt;&gt;0),0)),IF(OR(AND(D748=0,B748=0,B749&lt;&gt;0),AND(D748*D747&lt;0,B748&lt;&gt;0)),IF(D748=0,C748,C748*(1-ABS(D748)/(ABS(D748)+ABS(D747)))+C747*(1-ABS(D747)/(ABS(D748)+ABS(D747)))),"")))</f>
        <v>#NAME?</v>
      </c>
    </row>
    <row r="749" spans="2:5" x14ac:dyDescent="0.25">
      <c r="B749" t="e">
        <f t="shared" ca="1" si="25"/>
        <v>#NAME?</v>
      </c>
      <c r="C749">
        <v>706</v>
      </c>
      <c r="D749" t="e">
        <f t="shared" ca="1" si="24"/>
        <v>#NAME?</v>
      </c>
      <c r="E749" s="115" t="e">
        <f t="array" aca="1" ref="E749" ca="1">IF(OR(C748=0,AND(B750=0,C750=0)),"",IFERROR(INDEX($F$27:$F$36,MATCH(C749,($F$27:$F$36)*($D$27:$D$36&lt;&gt;0),0)),IF(OR(AND(D749=0,B749=0,B750&lt;&gt;0),AND(D749*D748&lt;0,B749&lt;&gt;0)),IF(D749=0,C749,C749*(1-ABS(D749)/(ABS(D749)+ABS(D748)))+C748*(1-ABS(D748)/(ABS(D749)+ABS(D748)))),"")))</f>
        <v>#NAME?</v>
      </c>
    </row>
    <row r="750" spans="2:5" x14ac:dyDescent="0.25">
      <c r="B750" t="e">
        <f t="shared" ca="1" si="25"/>
        <v>#NAME?</v>
      </c>
      <c r="C750">
        <v>707</v>
      </c>
      <c r="D750" t="e">
        <f t="shared" ca="1" si="24"/>
        <v>#NAME?</v>
      </c>
      <c r="E750" s="115" t="e">
        <f t="array" aca="1" ref="E750" ca="1">IF(OR(C749=0,AND(B751=0,C751=0)),"",IFERROR(INDEX($F$27:$F$36,MATCH(C750,($F$27:$F$36)*($D$27:$D$36&lt;&gt;0),0)),IF(OR(AND(D750=0,B750=0,B751&lt;&gt;0),AND(D750*D749&lt;0,B750&lt;&gt;0)),IF(D750=0,C750,C750*(1-ABS(D750)/(ABS(D750)+ABS(D749)))+C749*(1-ABS(D749)/(ABS(D750)+ABS(D749)))),"")))</f>
        <v>#NAME?</v>
      </c>
    </row>
    <row r="751" spans="2:5" x14ac:dyDescent="0.25">
      <c r="B751" t="e">
        <f t="shared" ca="1" si="25"/>
        <v>#NAME?</v>
      </c>
      <c r="C751">
        <v>708</v>
      </c>
      <c r="D751" t="e">
        <f t="shared" ca="1" si="24"/>
        <v>#NAME?</v>
      </c>
      <c r="E751" s="115" t="e">
        <f t="array" aca="1" ref="E751" ca="1">IF(OR(C750=0,AND(B752=0,C752=0)),"",IFERROR(INDEX($F$27:$F$36,MATCH(C751,($F$27:$F$36)*($D$27:$D$36&lt;&gt;0),0)),IF(OR(AND(D751=0,B751=0,B752&lt;&gt;0),AND(D751*D750&lt;0,B751&lt;&gt;0)),IF(D751=0,C751,C751*(1-ABS(D751)/(ABS(D751)+ABS(D750)))+C750*(1-ABS(D750)/(ABS(D751)+ABS(D750)))),"")))</f>
        <v>#NAME?</v>
      </c>
    </row>
    <row r="752" spans="2:5" x14ac:dyDescent="0.25">
      <c r="B752" t="e">
        <f t="shared" ca="1" si="25"/>
        <v>#NAME?</v>
      </c>
      <c r="C752">
        <v>709</v>
      </c>
      <c r="D752" t="e">
        <f t="shared" ca="1" si="24"/>
        <v>#NAME?</v>
      </c>
      <c r="E752" s="115" t="e">
        <f t="array" aca="1" ref="E752" ca="1">IF(OR(C751=0,AND(B753=0,C753=0)),"",IFERROR(INDEX($F$27:$F$36,MATCH(C752,($F$27:$F$36)*($D$27:$D$36&lt;&gt;0),0)),IF(OR(AND(D752=0,B752=0,B753&lt;&gt;0),AND(D752*D751&lt;0,B752&lt;&gt;0)),IF(D752=0,C752,C752*(1-ABS(D752)/(ABS(D752)+ABS(D751)))+C751*(1-ABS(D751)/(ABS(D752)+ABS(D751)))),"")))</f>
        <v>#NAME?</v>
      </c>
    </row>
    <row r="753" spans="2:5" x14ac:dyDescent="0.25">
      <c r="B753" t="e">
        <f t="shared" ca="1" si="25"/>
        <v>#NAME?</v>
      </c>
      <c r="C753">
        <v>710</v>
      </c>
      <c r="D753" t="e">
        <f t="shared" ca="1" si="24"/>
        <v>#NAME?</v>
      </c>
      <c r="E753" s="115" t="e">
        <f t="array" aca="1" ref="E753" ca="1">IF(OR(C752=0,AND(B754=0,C754=0)),"",IFERROR(INDEX($F$27:$F$36,MATCH(C753,($F$27:$F$36)*($D$27:$D$36&lt;&gt;0),0)),IF(OR(AND(D753=0,B753=0,B754&lt;&gt;0),AND(D753*D752&lt;0,B753&lt;&gt;0)),IF(D753=0,C753,C753*(1-ABS(D753)/(ABS(D753)+ABS(D752)))+C752*(1-ABS(D752)/(ABS(D753)+ABS(D752)))),"")))</f>
        <v>#NAME?</v>
      </c>
    </row>
    <row r="754" spans="2:5" x14ac:dyDescent="0.25">
      <c r="B754" t="e">
        <f t="shared" ca="1" si="25"/>
        <v>#NAME?</v>
      </c>
      <c r="C754">
        <v>711</v>
      </c>
      <c r="D754" t="e">
        <f t="shared" ca="1" si="24"/>
        <v>#NAME?</v>
      </c>
      <c r="E754" s="115" t="e">
        <f t="array" aca="1" ref="E754" ca="1">IF(OR(C753=0,AND(B755=0,C755=0)),"",IFERROR(INDEX($F$27:$F$36,MATCH(C754,($F$27:$F$36)*($D$27:$D$36&lt;&gt;0),0)),IF(OR(AND(D754=0,B754=0,B755&lt;&gt;0),AND(D754*D753&lt;0,B754&lt;&gt;0)),IF(D754=0,C754,C754*(1-ABS(D754)/(ABS(D754)+ABS(D753)))+C753*(1-ABS(D753)/(ABS(D754)+ABS(D753)))),"")))</f>
        <v>#NAME?</v>
      </c>
    </row>
    <row r="755" spans="2:5" x14ac:dyDescent="0.25">
      <c r="B755" t="e">
        <f t="shared" ca="1" si="25"/>
        <v>#NAME?</v>
      </c>
      <c r="C755">
        <v>712</v>
      </c>
      <c r="D755" t="e">
        <f t="shared" ca="1" si="24"/>
        <v>#NAME?</v>
      </c>
      <c r="E755" s="115" t="e">
        <f t="array" aca="1" ref="E755" ca="1">IF(OR(C754=0,AND(B756=0,C756=0)),"",IFERROR(INDEX($F$27:$F$36,MATCH(C755,($F$27:$F$36)*($D$27:$D$36&lt;&gt;0),0)),IF(OR(AND(D755=0,B755=0,B756&lt;&gt;0),AND(D755*D754&lt;0,B755&lt;&gt;0)),IF(D755=0,C755,C755*(1-ABS(D755)/(ABS(D755)+ABS(D754)))+C754*(1-ABS(D754)/(ABS(D755)+ABS(D754)))),"")))</f>
        <v>#NAME?</v>
      </c>
    </row>
    <row r="756" spans="2:5" x14ac:dyDescent="0.25">
      <c r="B756" t="e">
        <f t="shared" ca="1" si="25"/>
        <v>#NAME?</v>
      </c>
      <c r="C756">
        <v>713</v>
      </c>
      <c r="D756" t="e">
        <f t="shared" ca="1" si="24"/>
        <v>#NAME?</v>
      </c>
      <c r="E756" s="115" t="e">
        <f t="array" aca="1" ref="E756" ca="1">IF(OR(C755=0,AND(B757=0,C757=0)),"",IFERROR(INDEX($F$27:$F$36,MATCH(C756,($F$27:$F$36)*($D$27:$D$36&lt;&gt;0),0)),IF(OR(AND(D756=0,B756=0,B757&lt;&gt;0),AND(D756*D755&lt;0,B756&lt;&gt;0)),IF(D756=0,C756,C756*(1-ABS(D756)/(ABS(D756)+ABS(D755)))+C755*(1-ABS(D755)/(ABS(D756)+ABS(D755)))),"")))</f>
        <v>#NAME?</v>
      </c>
    </row>
    <row r="757" spans="2:5" x14ac:dyDescent="0.25">
      <c r="B757" t="e">
        <f t="shared" ca="1" si="25"/>
        <v>#NAME?</v>
      </c>
      <c r="C757">
        <v>714</v>
      </c>
      <c r="D757" t="e">
        <f t="shared" ca="1" si="24"/>
        <v>#NAME?</v>
      </c>
      <c r="E757" s="115" t="e">
        <f t="array" aca="1" ref="E757" ca="1">IF(OR(C756=0,AND(B758=0,C758=0)),"",IFERROR(INDEX($F$27:$F$36,MATCH(C757,($F$27:$F$36)*($D$27:$D$36&lt;&gt;0),0)),IF(OR(AND(D757=0,B757=0,B758&lt;&gt;0),AND(D757*D756&lt;0,B757&lt;&gt;0)),IF(D757=0,C757,C757*(1-ABS(D757)/(ABS(D757)+ABS(D756)))+C756*(1-ABS(D756)/(ABS(D757)+ABS(D756)))),"")))</f>
        <v>#NAME?</v>
      </c>
    </row>
    <row r="758" spans="2:5" x14ac:dyDescent="0.25">
      <c r="B758" t="e">
        <f t="shared" ca="1" si="25"/>
        <v>#NAME?</v>
      </c>
      <c r="C758">
        <v>715</v>
      </c>
      <c r="D758" t="e">
        <f t="shared" ca="1" si="24"/>
        <v>#NAME?</v>
      </c>
      <c r="E758" s="115" t="e">
        <f t="array" aca="1" ref="E758" ca="1">IF(OR(C757=0,AND(B759=0,C759=0)),"",IFERROR(INDEX($F$27:$F$36,MATCH(C758,($F$27:$F$36)*($D$27:$D$36&lt;&gt;0),0)),IF(OR(AND(D758=0,B758=0,B759&lt;&gt;0),AND(D758*D757&lt;0,B758&lt;&gt;0)),IF(D758=0,C758,C758*(1-ABS(D758)/(ABS(D758)+ABS(D757)))+C757*(1-ABS(D757)/(ABS(D758)+ABS(D757)))),"")))</f>
        <v>#NAME?</v>
      </c>
    </row>
    <row r="759" spans="2:5" x14ac:dyDescent="0.25">
      <c r="B759" t="e">
        <f t="shared" ca="1" si="25"/>
        <v>#NAME?</v>
      </c>
      <c r="C759">
        <v>716</v>
      </c>
      <c r="D759" t="e">
        <f t="shared" ca="1" si="24"/>
        <v>#NAME?</v>
      </c>
      <c r="E759" s="115" t="e">
        <f t="array" aca="1" ref="E759" ca="1">IF(OR(C758=0,AND(B760=0,C760=0)),"",IFERROR(INDEX($F$27:$F$36,MATCH(C759,($F$27:$F$36)*($D$27:$D$36&lt;&gt;0),0)),IF(OR(AND(D759=0,B759=0,B760&lt;&gt;0),AND(D759*D758&lt;0,B759&lt;&gt;0)),IF(D759=0,C759,C759*(1-ABS(D759)/(ABS(D759)+ABS(D758)))+C758*(1-ABS(D758)/(ABS(D759)+ABS(D758)))),"")))</f>
        <v>#NAME?</v>
      </c>
    </row>
    <row r="760" spans="2:5" x14ac:dyDescent="0.25">
      <c r="B760" t="e">
        <f t="shared" ca="1" si="25"/>
        <v>#NAME?</v>
      </c>
      <c r="C760">
        <v>717</v>
      </c>
      <c r="D760" t="e">
        <f t="shared" ca="1" si="24"/>
        <v>#NAME?</v>
      </c>
      <c r="E760" s="115" t="e">
        <f t="array" aca="1" ref="E760" ca="1">IF(OR(C759=0,AND(B761=0,C761=0)),"",IFERROR(INDEX($F$27:$F$36,MATCH(C760,($F$27:$F$36)*($D$27:$D$36&lt;&gt;0),0)),IF(OR(AND(D760=0,B760=0,B761&lt;&gt;0),AND(D760*D759&lt;0,B760&lt;&gt;0)),IF(D760=0,C760,C760*(1-ABS(D760)/(ABS(D760)+ABS(D759)))+C759*(1-ABS(D759)/(ABS(D760)+ABS(D759)))),"")))</f>
        <v>#NAME?</v>
      </c>
    </row>
    <row r="761" spans="2:5" x14ac:dyDescent="0.25">
      <c r="B761" t="e">
        <f t="shared" ca="1" si="25"/>
        <v>#NAME?</v>
      </c>
      <c r="C761">
        <v>718</v>
      </c>
      <c r="D761" t="e">
        <f t="shared" ca="1" si="24"/>
        <v>#NAME?</v>
      </c>
      <c r="E761" s="115" t="e">
        <f t="array" aca="1" ref="E761" ca="1">IF(OR(C760=0,AND(B762=0,C762=0)),"",IFERROR(INDEX($F$27:$F$36,MATCH(C761,($F$27:$F$36)*($D$27:$D$36&lt;&gt;0),0)),IF(OR(AND(D761=0,B761=0,B762&lt;&gt;0),AND(D761*D760&lt;0,B761&lt;&gt;0)),IF(D761=0,C761,C761*(1-ABS(D761)/(ABS(D761)+ABS(D760)))+C760*(1-ABS(D760)/(ABS(D761)+ABS(D760)))),"")))</f>
        <v>#NAME?</v>
      </c>
    </row>
    <row r="762" spans="2:5" x14ac:dyDescent="0.25">
      <c r="B762" t="e">
        <f t="shared" ca="1" si="25"/>
        <v>#NAME?</v>
      </c>
      <c r="C762">
        <v>719</v>
      </c>
      <c r="D762" t="e">
        <f t="shared" ca="1" si="24"/>
        <v>#NAME?</v>
      </c>
      <c r="E762" s="115" t="e">
        <f t="array" aca="1" ref="E762" ca="1">IF(OR(C761=0,AND(B763=0,C763=0)),"",IFERROR(INDEX($F$27:$F$36,MATCH(C762,($F$27:$F$36)*($D$27:$D$36&lt;&gt;0),0)),IF(OR(AND(D762=0,B762=0,B763&lt;&gt;0),AND(D762*D761&lt;0,B762&lt;&gt;0)),IF(D762=0,C762,C762*(1-ABS(D762)/(ABS(D762)+ABS(D761)))+C761*(1-ABS(D761)/(ABS(D762)+ABS(D761)))),"")))</f>
        <v>#NAME?</v>
      </c>
    </row>
    <row r="763" spans="2:5" x14ac:dyDescent="0.25">
      <c r="B763" t="e">
        <f t="shared" ca="1" si="25"/>
        <v>#NAME?</v>
      </c>
      <c r="C763">
        <v>720</v>
      </c>
      <c r="D763" t="e">
        <f t="shared" ca="1" si="24"/>
        <v>#NAME?</v>
      </c>
      <c r="E763" s="115" t="e">
        <f t="array" aca="1" ref="E763" ca="1">IF(OR(C762=0,AND(B764=0,C764=0)),"",IFERROR(INDEX($F$27:$F$36,MATCH(C763,($F$27:$F$36)*($D$27:$D$36&lt;&gt;0),0)),IF(OR(AND(D763=0,B763=0,B764&lt;&gt;0),AND(D763*D762&lt;0,B763&lt;&gt;0)),IF(D763=0,C763,C763*(1-ABS(D763)/(ABS(D763)+ABS(D762)))+C762*(1-ABS(D762)/(ABS(D763)+ABS(D762)))),"")))</f>
        <v>#NAME?</v>
      </c>
    </row>
    <row r="764" spans="2:5" x14ac:dyDescent="0.25">
      <c r="B764" t="e">
        <f t="shared" ca="1" si="25"/>
        <v>#NAME?</v>
      </c>
      <c r="C764">
        <v>721</v>
      </c>
      <c r="D764" t="e">
        <f t="shared" ca="1" si="24"/>
        <v>#NAME?</v>
      </c>
      <c r="E764" s="115" t="e">
        <f t="array" aca="1" ref="E764" ca="1">IF(OR(C763=0,AND(B765=0,C765=0)),"",IFERROR(INDEX($F$27:$F$36,MATCH(C764,($F$27:$F$36)*($D$27:$D$36&lt;&gt;0),0)),IF(OR(AND(D764=0,B764=0,B765&lt;&gt;0),AND(D764*D763&lt;0,B764&lt;&gt;0)),IF(D764=0,C764,C764*(1-ABS(D764)/(ABS(D764)+ABS(D763)))+C763*(1-ABS(D763)/(ABS(D764)+ABS(D763)))),"")))</f>
        <v>#NAME?</v>
      </c>
    </row>
    <row r="765" spans="2:5" x14ac:dyDescent="0.25">
      <c r="B765" t="e">
        <f t="shared" ca="1" si="25"/>
        <v>#NAME?</v>
      </c>
      <c r="C765">
        <v>722</v>
      </c>
      <c r="D765" t="e">
        <f t="shared" ca="1" si="24"/>
        <v>#NAME?</v>
      </c>
      <c r="E765" s="115" t="e">
        <f t="array" aca="1" ref="E765" ca="1">IF(OR(C764=0,AND(B766=0,C766=0)),"",IFERROR(INDEX($F$27:$F$36,MATCH(C765,($F$27:$F$36)*($D$27:$D$36&lt;&gt;0),0)),IF(OR(AND(D765=0,B765=0,B766&lt;&gt;0),AND(D765*D764&lt;0,B765&lt;&gt;0)),IF(D765=0,C765,C765*(1-ABS(D765)/(ABS(D765)+ABS(D764)))+C764*(1-ABS(D764)/(ABS(D765)+ABS(D764)))),"")))</f>
        <v>#NAME?</v>
      </c>
    </row>
    <row r="766" spans="2:5" x14ac:dyDescent="0.25">
      <c r="B766" t="e">
        <f t="shared" ca="1" si="25"/>
        <v>#NAME?</v>
      </c>
      <c r="C766">
        <v>723</v>
      </c>
      <c r="D766" t="e">
        <f t="shared" ca="1" si="24"/>
        <v>#NAME?</v>
      </c>
      <c r="E766" s="115" t="e">
        <f t="array" aca="1" ref="E766" ca="1">IF(OR(C765=0,AND(B767=0,C767=0)),"",IFERROR(INDEX($F$27:$F$36,MATCH(C766,($F$27:$F$36)*($D$27:$D$36&lt;&gt;0),0)),IF(OR(AND(D766=0,B766=0,B767&lt;&gt;0),AND(D766*D765&lt;0,B766&lt;&gt;0)),IF(D766=0,C766,C766*(1-ABS(D766)/(ABS(D766)+ABS(D765)))+C765*(1-ABS(D765)/(ABS(D766)+ABS(D765)))),"")))</f>
        <v>#NAME?</v>
      </c>
    </row>
    <row r="767" spans="2:5" x14ac:dyDescent="0.25">
      <c r="B767" t="e">
        <f t="shared" ca="1" si="25"/>
        <v>#NAME?</v>
      </c>
      <c r="C767">
        <v>724</v>
      </c>
      <c r="D767" t="e">
        <f t="shared" ca="1" si="24"/>
        <v>#NAME?</v>
      </c>
      <c r="E767" s="115" t="e">
        <f t="array" aca="1" ref="E767" ca="1">IF(OR(C766=0,AND(B768=0,C768=0)),"",IFERROR(INDEX($F$27:$F$36,MATCH(C767,($F$27:$F$36)*($D$27:$D$36&lt;&gt;0),0)),IF(OR(AND(D767=0,B767=0,B768&lt;&gt;0),AND(D767*D766&lt;0,B767&lt;&gt;0)),IF(D767=0,C767,C767*(1-ABS(D767)/(ABS(D767)+ABS(D766)))+C766*(1-ABS(D766)/(ABS(D767)+ABS(D766)))),"")))</f>
        <v>#NAME?</v>
      </c>
    </row>
    <row r="768" spans="2:5" x14ac:dyDescent="0.25">
      <c r="B768" t="e">
        <f t="shared" ca="1" si="25"/>
        <v>#NAME?</v>
      </c>
      <c r="C768">
        <v>725</v>
      </c>
      <c r="D768" t="e">
        <f t="shared" ca="1" si="24"/>
        <v>#NAME?</v>
      </c>
      <c r="E768" s="115" t="e">
        <f t="array" aca="1" ref="E768" ca="1">IF(OR(C767=0,AND(B769=0,C769=0)),"",IFERROR(INDEX($F$27:$F$36,MATCH(C768,($F$27:$F$36)*($D$27:$D$36&lt;&gt;0),0)),IF(OR(AND(D768=0,B768=0,B769&lt;&gt;0),AND(D768*D767&lt;0,B768&lt;&gt;0)),IF(D768=0,C768,C768*(1-ABS(D768)/(ABS(D768)+ABS(D767)))+C767*(1-ABS(D767)/(ABS(D768)+ABS(D767)))),"")))</f>
        <v>#NAME?</v>
      </c>
    </row>
    <row r="769" spans="2:5" x14ac:dyDescent="0.25">
      <c r="B769" t="e">
        <f t="shared" ca="1" si="25"/>
        <v>#NAME?</v>
      </c>
      <c r="C769">
        <v>726</v>
      </c>
      <c r="D769" t="e">
        <f t="shared" ca="1" si="24"/>
        <v>#NAME?</v>
      </c>
      <c r="E769" s="115" t="e">
        <f t="array" aca="1" ref="E769" ca="1">IF(OR(C768=0,AND(B770=0,C770=0)),"",IFERROR(INDEX($F$27:$F$36,MATCH(C769,($F$27:$F$36)*($D$27:$D$36&lt;&gt;0),0)),IF(OR(AND(D769=0,B769=0,B770&lt;&gt;0),AND(D769*D768&lt;0,B769&lt;&gt;0)),IF(D769=0,C769,C769*(1-ABS(D769)/(ABS(D769)+ABS(D768)))+C768*(1-ABS(D768)/(ABS(D769)+ABS(D768)))),"")))</f>
        <v>#NAME?</v>
      </c>
    </row>
    <row r="770" spans="2:5" x14ac:dyDescent="0.25">
      <c r="B770" t="e">
        <f t="shared" ca="1" si="25"/>
        <v>#NAME?</v>
      </c>
      <c r="C770">
        <v>727</v>
      </c>
      <c r="D770" t="e">
        <f t="shared" ca="1" si="24"/>
        <v>#NAME?</v>
      </c>
      <c r="E770" s="115" t="e">
        <f t="array" aca="1" ref="E770" ca="1">IF(OR(C769=0,AND(B771=0,C771=0)),"",IFERROR(INDEX($F$27:$F$36,MATCH(C770,($F$27:$F$36)*($D$27:$D$36&lt;&gt;0),0)),IF(OR(AND(D770=0,B770=0,B771&lt;&gt;0),AND(D770*D769&lt;0,B770&lt;&gt;0)),IF(D770=0,C770,C770*(1-ABS(D770)/(ABS(D770)+ABS(D769)))+C769*(1-ABS(D769)/(ABS(D770)+ABS(D769)))),"")))</f>
        <v>#NAME?</v>
      </c>
    </row>
    <row r="771" spans="2:5" x14ac:dyDescent="0.25">
      <c r="B771" t="e">
        <f t="shared" ca="1" si="25"/>
        <v>#NAME?</v>
      </c>
      <c r="C771">
        <v>728</v>
      </c>
      <c r="D771" t="e">
        <f t="shared" ca="1" si="24"/>
        <v>#NAME?</v>
      </c>
      <c r="E771" s="115" t="e">
        <f t="array" aca="1" ref="E771" ca="1">IF(OR(C770=0,AND(B772=0,C772=0)),"",IFERROR(INDEX($F$27:$F$36,MATCH(C771,($F$27:$F$36)*($D$27:$D$36&lt;&gt;0),0)),IF(OR(AND(D771=0,B771=0,B772&lt;&gt;0),AND(D771*D770&lt;0,B771&lt;&gt;0)),IF(D771=0,C771,C771*(1-ABS(D771)/(ABS(D771)+ABS(D770)))+C770*(1-ABS(D770)/(ABS(D771)+ABS(D770)))),"")))</f>
        <v>#NAME?</v>
      </c>
    </row>
    <row r="772" spans="2:5" x14ac:dyDescent="0.25">
      <c r="B772" t="e">
        <f t="shared" ca="1" si="25"/>
        <v>#NAME?</v>
      </c>
      <c r="C772">
        <v>729</v>
      </c>
      <c r="D772" t="e">
        <f t="shared" ca="1" si="24"/>
        <v>#NAME?</v>
      </c>
      <c r="E772" s="115" t="e">
        <f t="array" aca="1" ref="E772" ca="1">IF(OR(C771=0,AND(B773=0,C773=0)),"",IFERROR(INDEX($F$27:$F$36,MATCH(C772,($F$27:$F$36)*($D$27:$D$36&lt;&gt;0),0)),IF(OR(AND(D772=0,B772=0,B773&lt;&gt;0),AND(D772*D771&lt;0,B772&lt;&gt;0)),IF(D772=0,C772,C772*(1-ABS(D772)/(ABS(D772)+ABS(D771)))+C771*(1-ABS(D771)/(ABS(D772)+ABS(D771)))),"")))</f>
        <v>#NAME?</v>
      </c>
    </row>
    <row r="773" spans="2:5" x14ac:dyDescent="0.25">
      <c r="B773" t="e">
        <f t="shared" ca="1" si="25"/>
        <v>#NAME?</v>
      </c>
      <c r="C773">
        <v>730</v>
      </c>
      <c r="D773" t="e">
        <f t="shared" ca="1" si="24"/>
        <v>#NAME?</v>
      </c>
      <c r="E773" s="115" t="e">
        <f t="array" aca="1" ref="E773" ca="1">IF(OR(C772=0,AND(B774=0,C774=0)),"",IFERROR(INDEX($F$27:$F$36,MATCH(C773,($F$27:$F$36)*($D$27:$D$36&lt;&gt;0),0)),IF(OR(AND(D773=0,B773=0,B774&lt;&gt;0),AND(D773*D772&lt;0,B773&lt;&gt;0)),IF(D773=0,C773,C773*(1-ABS(D773)/(ABS(D773)+ABS(D772)))+C772*(1-ABS(D772)/(ABS(D773)+ABS(D772)))),"")))</f>
        <v>#NAME?</v>
      </c>
    </row>
    <row r="774" spans="2:5" x14ac:dyDescent="0.25">
      <c r="B774" t="e">
        <f t="shared" ca="1" si="25"/>
        <v>#NAME?</v>
      </c>
      <c r="C774">
        <v>731</v>
      </c>
      <c r="D774" t="e">
        <f t="shared" ca="1" si="24"/>
        <v>#NAME?</v>
      </c>
      <c r="E774" s="115" t="e">
        <f t="array" aca="1" ref="E774" ca="1">IF(OR(C773=0,AND(B775=0,C775=0)),"",IFERROR(INDEX($F$27:$F$36,MATCH(C774,($F$27:$F$36)*($D$27:$D$36&lt;&gt;0),0)),IF(OR(AND(D774=0,B774=0,B775&lt;&gt;0),AND(D774*D773&lt;0,B774&lt;&gt;0)),IF(D774=0,C774,C774*(1-ABS(D774)/(ABS(D774)+ABS(D773)))+C773*(1-ABS(D773)/(ABS(D774)+ABS(D773)))),"")))</f>
        <v>#NAME?</v>
      </c>
    </row>
    <row r="775" spans="2:5" x14ac:dyDescent="0.25">
      <c r="B775" t="e">
        <f t="shared" ca="1" si="25"/>
        <v>#NAME?</v>
      </c>
      <c r="C775">
        <v>732</v>
      </c>
      <c r="D775" t="e">
        <f t="shared" ca="1" si="24"/>
        <v>#NAME?</v>
      </c>
      <c r="E775" s="115" t="e">
        <f t="array" aca="1" ref="E775" ca="1">IF(OR(C774=0,AND(B776=0,C776=0)),"",IFERROR(INDEX($F$27:$F$36,MATCH(C775,($F$27:$F$36)*($D$27:$D$36&lt;&gt;0),0)),IF(OR(AND(D775=0,B775=0,B776&lt;&gt;0),AND(D775*D774&lt;0,B775&lt;&gt;0)),IF(D775=0,C775,C775*(1-ABS(D775)/(ABS(D775)+ABS(D774)))+C774*(1-ABS(D774)/(ABS(D775)+ABS(D774)))),"")))</f>
        <v>#NAME?</v>
      </c>
    </row>
    <row r="776" spans="2:5" x14ac:dyDescent="0.25">
      <c r="B776" t="e">
        <f t="shared" ca="1" si="25"/>
        <v>#NAME?</v>
      </c>
      <c r="C776">
        <v>733</v>
      </c>
      <c r="D776" t="e">
        <f t="shared" ca="1" si="24"/>
        <v>#NAME?</v>
      </c>
      <c r="E776" s="115" t="e">
        <f t="array" aca="1" ref="E776" ca="1">IF(OR(C775=0,AND(B777=0,C777=0)),"",IFERROR(INDEX($F$27:$F$36,MATCH(C776,($F$27:$F$36)*($D$27:$D$36&lt;&gt;0),0)),IF(OR(AND(D776=0,B776=0,B777&lt;&gt;0),AND(D776*D775&lt;0,B776&lt;&gt;0)),IF(D776=0,C776,C776*(1-ABS(D776)/(ABS(D776)+ABS(D775)))+C775*(1-ABS(D775)/(ABS(D776)+ABS(D775)))),"")))</f>
        <v>#NAME?</v>
      </c>
    </row>
    <row r="777" spans="2:5" x14ac:dyDescent="0.25">
      <c r="B777" t="e">
        <f t="shared" ca="1" si="25"/>
        <v>#NAME?</v>
      </c>
      <c r="C777">
        <v>734</v>
      </c>
      <c r="D777" t="e">
        <f t="shared" ca="1" si="24"/>
        <v>#NAME?</v>
      </c>
      <c r="E777" s="115" t="e">
        <f t="array" aca="1" ref="E777" ca="1">IF(OR(C776=0,AND(B778=0,C778=0)),"",IFERROR(INDEX($F$27:$F$36,MATCH(C777,($F$27:$F$36)*($D$27:$D$36&lt;&gt;0),0)),IF(OR(AND(D777=0,B777=0,B778&lt;&gt;0),AND(D777*D776&lt;0,B777&lt;&gt;0)),IF(D777=0,C777,C777*(1-ABS(D777)/(ABS(D777)+ABS(D776)))+C776*(1-ABS(D776)/(ABS(D777)+ABS(D776)))),"")))</f>
        <v>#NAME?</v>
      </c>
    </row>
    <row r="778" spans="2:5" x14ac:dyDescent="0.25">
      <c r="B778" t="e">
        <f t="shared" ca="1" si="25"/>
        <v>#NAME?</v>
      </c>
      <c r="C778">
        <v>735</v>
      </c>
      <c r="D778" t="e">
        <f t="shared" ca="1" si="24"/>
        <v>#NAME?</v>
      </c>
      <c r="E778" s="115" t="e">
        <f t="array" aca="1" ref="E778" ca="1">IF(OR(C777=0,AND(B779=0,C779=0)),"",IFERROR(INDEX($F$27:$F$36,MATCH(C778,($F$27:$F$36)*($D$27:$D$36&lt;&gt;0),0)),IF(OR(AND(D778=0,B778=0,B779&lt;&gt;0),AND(D778*D777&lt;0,B778&lt;&gt;0)),IF(D778=0,C778,C778*(1-ABS(D778)/(ABS(D778)+ABS(D777)))+C777*(1-ABS(D777)/(ABS(D778)+ABS(D777)))),"")))</f>
        <v>#NAME?</v>
      </c>
    </row>
    <row r="779" spans="2:5" x14ac:dyDescent="0.25">
      <c r="B779" t="e">
        <f t="shared" ca="1" si="25"/>
        <v>#NAME?</v>
      </c>
      <c r="C779">
        <v>736</v>
      </c>
      <c r="D779" t="e">
        <f t="shared" ca="1" si="24"/>
        <v>#NAME?</v>
      </c>
      <c r="E779" s="115" t="e">
        <f t="array" aca="1" ref="E779" ca="1">IF(OR(C778=0,AND(B780=0,C780=0)),"",IFERROR(INDEX($F$27:$F$36,MATCH(C779,($F$27:$F$36)*($D$27:$D$36&lt;&gt;0),0)),IF(OR(AND(D779=0,B779=0,B780&lt;&gt;0),AND(D779*D778&lt;0,B779&lt;&gt;0)),IF(D779=0,C779,C779*(1-ABS(D779)/(ABS(D779)+ABS(D778)))+C778*(1-ABS(D778)/(ABS(D779)+ABS(D778)))),"")))</f>
        <v>#NAME?</v>
      </c>
    </row>
    <row r="780" spans="2:5" x14ac:dyDescent="0.25">
      <c r="B780" t="e">
        <f t="shared" ca="1" si="25"/>
        <v>#NAME?</v>
      </c>
      <c r="C780">
        <v>737</v>
      </c>
      <c r="D780" t="e">
        <f t="shared" ca="1" si="24"/>
        <v>#NAME?</v>
      </c>
      <c r="E780" s="115" t="e">
        <f t="array" aca="1" ref="E780" ca="1">IF(OR(C779=0,AND(B781=0,C781=0)),"",IFERROR(INDEX($F$27:$F$36,MATCH(C780,($F$27:$F$36)*($D$27:$D$36&lt;&gt;0),0)),IF(OR(AND(D780=0,B780=0,B781&lt;&gt;0),AND(D780*D779&lt;0,B780&lt;&gt;0)),IF(D780=0,C780,C780*(1-ABS(D780)/(ABS(D780)+ABS(D779)))+C779*(1-ABS(D779)/(ABS(D780)+ABS(D779)))),"")))</f>
        <v>#NAME?</v>
      </c>
    </row>
    <row r="781" spans="2:5" x14ac:dyDescent="0.25">
      <c r="B781" t="e">
        <f t="shared" ca="1" si="25"/>
        <v>#NAME?</v>
      </c>
      <c r="C781">
        <v>738</v>
      </c>
      <c r="D781" t="e">
        <f t="shared" ca="1" si="24"/>
        <v>#NAME?</v>
      </c>
      <c r="E781" s="115" t="e">
        <f t="array" aca="1" ref="E781" ca="1">IF(OR(C780=0,AND(B782=0,C782=0)),"",IFERROR(INDEX($F$27:$F$36,MATCH(C781,($F$27:$F$36)*($D$27:$D$36&lt;&gt;0),0)),IF(OR(AND(D781=0,B781=0,B782&lt;&gt;0),AND(D781*D780&lt;0,B781&lt;&gt;0)),IF(D781=0,C781,C781*(1-ABS(D781)/(ABS(D781)+ABS(D780)))+C780*(1-ABS(D780)/(ABS(D781)+ABS(D780)))),"")))</f>
        <v>#NAME?</v>
      </c>
    </row>
    <row r="782" spans="2:5" x14ac:dyDescent="0.25">
      <c r="B782" t="e">
        <f t="shared" ca="1" si="25"/>
        <v>#NAME?</v>
      </c>
      <c r="C782">
        <v>739</v>
      </c>
      <c r="D782" t="e">
        <f t="shared" ca="1" si="24"/>
        <v>#NAME?</v>
      </c>
      <c r="E782" s="115" t="e">
        <f t="array" aca="1" ref="E782" ca="1">IF(OR(C781=0,AND(B783=0,C783=0)),"",IFERROR(INDEX($F$27:$F$36,MATCH(C782,($F$27:$F$36)*($D$27:$D$36&lt;&gt;0),0)),IF(OR(AND(D782=0,B782=0,B783&lt;&gt;0),AND(D782*D781&lt;0,B782&lt;&gt;0)),IF(D782=0,C782,C782*(1-ABS(D782)/(ABS(D782)+ABS(D781)))+C781*(1-ABS(D781)/(ABS(D782)+ABS(D781)))),"")))</f>
        <v>#NAME?</v>
      </c>
    </row>
    <row r="783" spans="2:5" x14ac:dyDescent="0.25">
      <c r="B783" t="e">
        <f t="shared" ca="1" si="25"/>
        <v>#NAME?</v>
      </c>
      <c r="C783">
        <v>740</v>
      </c>
      <c r="D783" t="e">
        <f t="shared" ca="1" si="24"/>
        <v>#NAME?</v>
      </c>
      <c r="E783" s="115" t="e">
        <f t="array" aca="1" ref="E783" ca="1">IF(OR(C782=0,AND(B784=0,C784=0)),"",IFERROR(INDEX($F$27:$F$36,MATCH(C783,($F$27:$F$36)*($D$27:$D$36&lt;&gt;0),0)),IF(OR(AND(D783=0,B783=0,B784&lt;&gt;0),AND(D783*D782&lt;0,B783&lt;&gt;0)),IF(D783=0,C783,C783*(1-ABS(D783)/(ABS(D783)+ABS(D782)))+C782*(1-ABS(D782)/(ABS(D783)+ABS(D782)))),"")))</f>
        <v>#NAME?</v>
      </c>
    </row>
    <row r="784" spans="2:5" x14ac:dyDescent="0.25">
      <c r="B784" t="e">
        <f t="shared" ca="1" si="25"/>
        <v>#NAME?</v>
      </c>
      <c r="C784">
        <v>741</v>
      </c>
      <c r="D784" t="e">
        <f t="shared" ca="1" si="24"/>
        <v>#NAME?</v>
      </c>
      <c r="E784" s="115" t="e">
        <f t="array" aca="1" ref="E784" ca="1">IF(OR(C783=0,AND(B785=0,C785=0)),"",IFERROR(INDEX($F$27:$F$36,MATCH(C784,($F$27:$F$36)*($D$27:$D$36&lt;&gt;0),0)),IF(OR(AND(D784=0,B784=0,B785&lt;&gt;0),AND(D784*D783&lt;0,B784&lt;&gt;0)),IF(D784=0,C784,C784*(1-ABS(D784)/(ABS(D784)+ABS(D783)))+C783*(1-ABS(D783)/(ABS(D784)+ABS(D783)))),"")))</f>
        <v>#NAME?</v>
      </c>
    </row>
    <row r="785" spans="2:5" x14ac:dyDescent="0.25">
      <c r="B785" t="e">
        <f t="shared" ca="1" si="25"/>
        <v>#NAME?</v>
      </c>
      <c r="C785">
        <v>742</v>
      </c>
      <c r="D785" t="e">
        <f t="shared" ca="1" si="24"/>
        <v>#NAME?</v>
      </c>
      <c r="E785" s="115" t="e">
        <f t="array" aca="1" ref="E785" ca="1">IF(OR(C784=0,AND(B786=0,C786=0)),"",IFERROR(INDEX($F$27:$F$36,MATCH(C785,($F$27:$F$36)*($D$27:$D$36&lt;&gt;0),0)),IF(OR(AND(D785=0,B785=0,B786&lt;&gt;0),AND(D785*D784&lt;0,B785&lt;&gt;0)),IF(D785=0,C785,C785*(1-ABS(D785)/(ABS(D785)+ABS(D784)))+C784*(1-ABS(D784)/(ABS(D785)+ABS(D784)))),"")))</f>
        <v>#NAME?</v>
      </c>
    </row>
    <row r="786" spans="2:5" x14ac:dyDescent="0.25">
      <c r="B786" t="e">
        <f t="shared" ca="1" si="25"/>
        <v>#NAME?</v>
      </c>
      <c r="C786">
        <v>743</v>
      </c>
      <c r="D786" t="e">
        <f t="shared" ca="1" si="24"/>
        <v>#NAME?</v>
      </c>
      <c r="E786" s="115" t="e">
        <f t="array" aca="1" ref="E786" ca="1">IF(OR(C785=0,AND(B787=0,C787=0)),"",IFERROR(INDEX($F$27:$F$36,MATCH(C786,($F$27:$F$36)*($D$27:$D$36&lt;&gt;0),0)),IF(OR(AND(D786=0,B786=0,B787&lt;&gt;0),AND(D786*D785&lt;0,B786&lt;&gt;0)),IF(D786=0,C786,C786*(1-ABS(D786)/(ABS(D786)+ABS(D785)))+C785*(1-ABS(D785)/(ABS(D786)+ABS(D785)))),"")))</f>
        <v>#NAME?</v>
      </c>
    </row>
    <row r="787" spans="2:5" x14ac:dyDescent="0.25">
      <c r="B787" t="e">
        <f t="shared" ca="1" si="25"/>
        <v>#NAME?</v>
      </c>
      <c r="C787">
        <v>744</v>
      </c>
      <c r="D787" t="e">
        <f t="shared" ca="1" si="24"/>
        <v>#NAME?</v>
      </c>
      <c r="E787" s="115" t="e">
        <f t="array" aca="1" ref="E787" ca="1">IF(OR(C786=0,AND(B788=0,C788=0)),"",IFERROR(INDEX($F$27:$F$36,MATCH(C787,($F$27:$F$36)*($D$27:$D$36&lt;&gt;0),0)),IF(OR(AND(D787=0,B787=0,B788&lt;&gt;0),AND(D787*D786&lt;0,B787&lt;&gt;0)),IF(D787=0,C787,C787*(1-ABS(D787)/(ABS(D787)+ABS(D786)))+C786*(1-ABS(D786)/(ABS(D787)+ABS(D786)))),"")))</f>
        <v>#NAME?</v>
      </c>
    </row>
    <row r="788" spans="2:5" x14ac:dyDescent="0.25">
      <c r="B788" t="e">
        <f t="shared" ca="1" si="25"/>
        <v>#NAME?</v>
      </c>
      <c r="C788">
        <v>745</v>
      </c>
      <c r="D788" t="e">
        <f t="shared" ca="1" si="24"/>
        <v>#NAME?</v>
      </c>
      <c r="E788" s="115" t="e">
        <f t="array" aca="1" ref="E788" ca="1">IF(OR(C787=0,AND(B789=0,C789=0)),"",IFERROR(INDEX($F$27:$F$36,MATCH(C788,($F$27:$F$36)*($D$27:$D$36&lt;&gt;0),0)),IF(OR(AND(D788=0,B788=0,B789&lt;&gt;0),AND(D788*D787&lt;0,B788&lt;&gt;0)),IF(D788=0,C788,C788*(1-ABS(D788)/(ABS(D788)+ABS(D787)))+C787*(1-ABS(D787)/(ABS(D788)+ABS(D787)))),"")))</f>
        <v>#NAME?</v>
      </c>
    </row>
    <row r="789" spans="2:5" x14ac:dyDescent="0.25">
      <c r="B789" t="e">
        <f t="shared" ca="1" si="25"/>
        <v>#NAME?</v>
      </c>
      <c r="C789">
        <v>746</v>
      </c>
      <c r="D789" t="e">
        <f t="shared" ca="1" si="24"/>
        <v>#NAME?</v>
      </c>
      <c r="E789" s="115" t="e">
        <f t="array" aca="1" ref="E789" ca="1">IF(OR(C788=0,AND(B790=0,C790=0)),"",IFERROR(INDEX($F$27:$F$36,MATCH(C789,($F$27:$F$36)*($D$27:$D$36&lt;&gt;0),0)),IF(OR(AND(D789=0,B789=0,B790&lt;&gt;0),AND(D789*D788&lt;0,B789&lt;&gt;0)),IF(D789=0,C789,C789*(1-ABS(D789)/(ABS(D789)+ABS(D788)))+C788*(1-ABS(D788)/(ABS(D789)+ABS(D788)))),"")))</f>
        <v>#NAME?</v>
      </c>
    </row>
    <row r="790" spans="2:5" x14ac:dyDescent="0.25">
      <c r="B790" t="e">
        <f t="shared" ca="1" si="25"/>
        <v>#NAME?</v>
      </c>
      <c r="C790">
        <v>747</v>
      </c>
      <c r="D790" t="e">
        <f t="shared" ca="1" si="24"/>
        <v>#NAME?</v>
      </c>
      <c r="E790" s="115" t="e">
        <f t="array" aca="1" ref="E790" ca="1">IF(OR(C789=0,AND(B791=0,C791=0)),"",IFERROR(INDEX($F$27:$F$36,MATCH(C790,($F$27:$F$36)*($D$27:$D$36&lt;&gt;0),0)),IF(OR(AND(D790=0,B790=0,B791&lt;&gt;0),AND(D790*D789&lt;0,B790&lt;&gt;0)),IF(D790=0,C790,C790*(1-ABS(D790)/(ABS(D790)+ABS(D789)))+C789*(1-ABS(D789)/(ABS(D790)+ABS(D789)))),"")))</f>
        <v>#NAME?</v>
      </c>
    </row>
    <row r="791" spans="2:5" x14ac:dyDescent="0.25">
      <c r="B791" t="e">
        <f t="shared" ca="1" si="25"/>
        <v>#NAME?</v>
      </c>
      <c r="C791">
        <v>748</v>
      </c>
      <c r="D791" t="e">
        <f t="shared" ca="1" si="24"/>
        <v>#NAME?</v>
      </c>
      <c r="E791" s="115" t="e">
        <f t="array" aca="1" ref="E791" ca="1">IF(OR(C790=0,AND(B792=0,C792=0)),"",IFERROR(INDEX($F$27:$F$36,MATCH(C791,($F$27:$F$36)*($D$27:$D$36&lt;&gt;0),0)),IF(OR(AND(D791=0,B791=0,B792&lt;&gt;0),AND(D791*D790&lt;0,B791&lt;&gt;0)),IF(D791=0,C791,C791*(1-ABS(D791)/(ABS(D791)+ABS(D790)))+C790*(1-ABS(D790)/(ABS(D791)+ABS(D790)))),"")))</f>
        <v>#NAME?</v>
      </c>
    </row>
    <row r="792" spans="2:5" x14ac:dyDescent="0.25">
      <c r="B792" t="e">
        <f t="shared" ca="1" si="25"/>
        <v>#NAME?</v>
      </c>
      <c r="C792">
        <v>749</v>
      </c>
      <c r="D792" t="e">
        <f t="shared" ca="1" si="24"/>
        <v>#NAME?</v>
      </c>
      <c r="E792" s="115" t="e">
        <f t="array" aca="1" ref="E792" ca="1">IF(OR(C791=0,AND(B793=0,C793=0)),"",IFERROR(INDEX($F$27:$F$36,MATCH(C792,($F$27:$F$36)*($D$27:$D$36&lt;&gt;0),0)),IF(OR(AND(D792=0,B792=0,B793&lt;&gt;0),AND(D792*D791&lt;0,B792&lt;&gt;0)),IF(D792=0,C792,C792*(1-ABS(D792)/(ABS(D792)+ABS(D791)))+C791*(1-ABS(D791)/(ABS(D792)+ABS(D791)))),"")))</f>
        <v>#NAME?</v>
      </c>
    </row>
    <row r="793" spans="2:5" x14ac:dyDescent="0.25">
      <c r="B793" t="e">
        <f t="shared" ca="1" si="25"/>
        <v>#NAME?</v>
      </c>
      <c r="C793">
        <v>750</v>
      </c>
      <c r="D793" t="e">
        <f t="shared" ca="1" si="24"/>
        <v>#NAME?</v>
      </c>
      <c r="E793" s="115" t="e">
        <f t="array" aca="1" ref="E793" ca="1">IF(OR(C792=0,AND(B794=0,C794=0)),"",IFERROR(INDEX($F$27:$F$36,MATCH(C793,($F$27:$F$36)*($D$27:$D$36&lt;&gt;0),0)),IF(OR(AND(D793=0,B793=0,B794&lt;&gt;0),AND(D793*D792&lt;0,B793&lt;&gt;0)),IF(D793=0,C793,C793*(1-ABS(D793)/(ABS(D793)+ABS(D792)))+C792*(1-ABS(D792)/(ABS(D793)+ABS(D792)))),"")))</f>
        <v>#NAME?</v>
      </c>
    </row>
    <row r="794" spans="2:5" x14ac:dyDescent="0.25">
      <c r="B794" t="e">
        <f t="shared" ca="1" si="25"/>
        <v>#NAME?</v>
      </c>
      <c r="C794">
        <v>751</v>
      </c>
      <c r="D794" t="e">
        <f t="shared" ca="1" si="24"/>
        <v>#NAME?</v>
      </c>
      <c r="E794" s="115" t="e">
        <f t="array" aca="1" ref="E794" ca="1">IF(OR(C793=0,AND(B795=0,C795=0)),"",IFERROR(INDEX($F$27:$F$36,MATCH(C794,($F$27:$F$36)*($D$27:$D$36&lt;&gt;0),0)),IF(OR(AND(D794=0,B794=0,B795&lt;&gt;0),AND(D794*D793&lt;0,B794&lt;&gt;0)),IF(D794=0,C794,C794*(1-ABS(D794)/(ABS(D794)+ABS(D793)))+C793*(1-ABS(D793)/(ABS(D794)+ABS(D793)))),"")))</f>
        <v>#NAME?</v>
      </c>
    </row>
    <row r="795" spans="2:5" x14ac:dyDescent="0.25">
      <c r="B795" t="e">
        <f t="shared" ca="1" si="25"/>
        <v>#NAME?</v>
      </c>
      <c r="C795">
        <v>752</v>
      </c>
      <c r="D795" t="e">
        <f t="shared" ca="1" si="24"/>
        <v>#NAME?</v>
      </c>
      <c r="E795" s="115" t="e">
        <f t="array" aca="1" ref="E795" ca="1">IF(OR(C794=0,AND(B796=0,C796=0)),"",IFERROR(INDEX($F$27:$F$36,MATCH(C795,($F$27:$F$36)*($D$27:$D$36&lt;&gt;0),0)),IF(OR(AND(D795=0,B795=0,B796&lt;&gt;0),AND(D795*D794&lt;0,B795&lt;&gt;0)),IF(D795=0,C795,C795*(1-ABS(D795)/(ABS(D795)+ABS(D794)))+C794*(1-ABS(D794)/(ABS(D795)+ABS(D794)))),"")))</f>
        <v>#NAME?</v>
      </c>
    </row>
    <row r="796" spans="2:5" x14ac:dyDescent="0.25">
      <c r="B796" t="e">
        <f t="shared" ca="1" si="25"/>
        <v>#NAME?</v>
      </c>
      <c r="C796">
        <v>753</v>
      </c>
      <c r="D796" t="e">
        <f t="shared" ca="1" si="24"/>
        <v>#NAME?</v>
      </c>
      <c r="E796" s="115" t="e">
        <f t="array" aca="1" ref="E796" ca="1">IF(OR(C795=0,AND(B797=0,C797=0)),"",IFERROR(INDEX($F$27:$F$36,MATCH(C796,($F$27:$F$36)*($D$27:$D$36&lt;&gt;0),0)),IF(OR(AND(D796=0,B796=0,B797&lt;&gt;0),AND(D796*D795&lt;0,B796&lt;&gt;0)),IF(D796=0,C796,C796*(1-ABS(D796)/(ABS(D796)+ABS(D795)))+C795*(1-ABS(D795)/(ABS(D796)+ABS(D795)))),"")))</f>
        <v>#NAME?</v>
      </c>
    </row>
    <row r="797" spans="2:5" x14ac:dyDescent="0.25">
      <c r="B797" t="e">
        <f t="shared" ca="1" si="25"/>
        <v>#NAME?</v>
      </c>
      <c r="C797">
        <v>754</v>
      </c>
      <c r="D797" t="e">
        <f t="shared" ca="1" si="24"/>
        <v>#NAME?</v>
      </c>
      <c r="E797" s="115" t="e">
        <f t="array" aca="1" ref="E797" ca="1">IF(OR(C796=0,AND(B798=0,C798=0)),"",IFERROR(INDEX($F$27:$F$36,MATCH(C797,($F$27:$F$36)*($D$27:$D$36&lt;&gt;0),0)),IF(OR(AND(D797=0,B797=0,B798&lt;&gt;0),AND(D797*D796&lt;0,B797&lt;&gt;0)),IF(D797=0,C797,C797*(1-ABS(D797)/(ABS(D797)+ABS(D796)))+C796*(1-ABS(D796)/(ABS(D797)+ABS(D796)))),"")))</f>
        <v>#NAME?</v>
      </c>
    </row>
    <row r="798" spans="2:5" x14ac:dyDescent="0.25">
      <c r="B798" t="e">
        <f t="shared" ca="1" si="25"/>
        <v>#NAME?</v>
      </c>
      <c r="C798">
        <v>755</v>
      </c>
      <c r="D798" t="e">
        <f t="shared" ca="1" si="24"/>
        <v>#NAME?</v>
      </c>
      <c r="E798" s="115" t="e">
        <f t="array" aca="1" ref="E798" ca="1">IF(OR(C797=0,AND(B799=0,C799=0)),"",IFERROR(INDEX($F$27:$F$36,MATCH(C798,($F$27:$F$36)*($D$27:$D$36&lt;&gt;0),0)),IF(OR(AND(D798=0,B798=0,B799&lt;&gt;0),AND(D798*D797&lt;0,B798&lt;&gt;0)),IF(D798=0,C798,C798*(1-ABS(D798)/(ABS(D798)+ABS(D797)))+C797*(1-ABS(D797)/(ABS(D798)+ABS(D797)))),"")))</f>
        <v>#NAME?</v>
      </c>
    </row>
    <row r="799" spans="2:5" x14ac:dyDescent="0.25">
      <c r="B799" t="e">
        <f t="shared" ca="1" si="25"/>
        <v>#NAME?</v>
      </c>
      <c r="C799">
        <v>756</v>
      </c>
      <c r="D799" t="e">
        <f t="shared" ca="1" si="24"/>
        <v>#NAME?</v>
      </c>
      <c r="E799" s="115" t="e">
        <f t="array" aca="1" ref="E799" ca="1">IF(OR(C798=0,AND(B800=0,C800=0)),"",IFERROR(INDEX($F$27:$F$36,MATCH(C799,($F$27:$F$36)*($D$27:$D$36&lt;&gt;0),0)),IF(OR(AND(D799=0,B799=0,B800&lt;&gt;0),AND(D799*D798&lt;0,B799&lt;&gt;0)),IF(D799=0,C799,C799*(1-ABS(D799)/(ABS(D799)+ABS(D798)))+C798*(1-ABS(D798)/(ABS(D799)+ABS(D798)))),"")))</f>
        <v>#NAME?</v>
      </c>
    </row>
    <row r="800" spans="2:5" x14ac:dyDescent="0.25">
      <c r="B800" t="e">
        <f t="shared" ca="1" si="25"/>
        <v>#NAME?</v>
      </c>
      <c r="C800">
        <v>757</v>
      </c>
      <c r="D800" t="e">
        <f t="shared" ca="1" si="24"/>
        <v>#NAME?</v>
      </c>
      <c r="E800" s="115" t="e">
        <f t="array" aca="1" ref="E800" ca="1">IF(OR(C799=0,AND(B801=0,C801=0)),"",IFERROR(INDEX($F$27:$F$36,MATCH(C800,($F$27:$F$36)*($D$27:$D$36&lt;&gt;0),0)),IF(OR(AND(D800=0,B800=0,B801&lt;&gt;0),AND(D800*D799&lt;0,B800&lt;&gt;0)),IF(D800=0,C800,C800*(1-ABS(D800)/(ABS(D800)+ABS(D799)))+C799*(1-ABS(D799)/(ABS(D800)+ABS(D799)))),"")))</f>
        <v>#NAME?</v>
      </c>
    </row>
    <row r="801" spans="2:5" x14ac:dyDescent="0.25">
      <c r="B801" t="e">
        <f t="shared" ca="1" si="25"/>
        <v>#NAME?</v>
      </c>
      <c r="C801">
        <v>758</v>
      </c>
      <c r="D801" t="e">
        <f t="shared" ca="1" si="24"/>
        <v>#NAME?</v>
      </c>
      <c r="E801" s="115" t="e">
        <f t="array" aca="1" ref="E801" ca="1">IF(OR(C800=0,AND(B802=0,C802=0)),"",IFERROR(INDEX($F$27:$F$36,MATCH(C801,($F$27:$F$36)*($D$27:$D$36&lt;&gt;0),0)),IF(OR(AND(D801=0,B801=0,B802&lt;&gt;0),AND(D801*D800&lt;0,B801&lt;&gt;0)),IF(D801=0,C801,C801*(1-ABS(D801)/(ABS(D801)+ABS(D800)))+C800*(1-ABS(D800)/(ABS(D801)+ABS(D800)))),"")))</f>
        <v>#NAME?</v>
      </c>
    </row>
    <row r="802" spans="2:5" x14ac:dyDescent="0.25">
      <c r="B802" t="e">
        <f t="shared" ca="1" si="25"/>
        <v>#NAME?</v>
      </c>
      <c r="C802">
        <v>759</v>
      </c>
      <c r="D802" t="e">
        <f t="shared" ca="1" si="24"/>
        <v>#NAME?</v>
      </c>
      <c r="E802" s="115" t="e">
        <f t="array" aca="1" ref="E802" ca="1">IF(OR(C801=0,AND(B803=0,C803=0)),"",IFERROR(INDEX($F$27:$F$36,MATCH(C802,($F$27:$F$36)*($D$27:$D$36&lt;&gt;0),0)),IF(OR(AND(D802=0,B802=0,B803&lt;&gt;0),AND(D802*D801&lt;0,B802&lt;&gt;0)),IF(D802=0,C802,C802*(1-ABS(D802)/(ABS(D802)+ABS(D801)))+C801*(1-ABS(D801)/(ABS(D802)+ABS(D801)))),"")))</f>
        <v>#NAME?</v>
      </c>
    </row>
    <row r="803" spans="2:5" x14ac:dyDescent="0.25">
      <c r="B803" t="e">
        <f t="shared" ca="1" si="25"/>
        <v>#NAME?</v>
      </c>
      <c r="C803">
        <v>760</v>
      </c>
      <c r="D803" t="e">
        <f t="shared" ca="1" si="24"/>
        <v>#NAME?</v>
      </c>
      <c r="E803" s="115" t="e">
        <f t="array" aca="1" ref="E803" ca="1">IF(OR(C802=0,AND(B804=0,C804=0)),"",IFERROR(INDEX($F$27:$F$36,MATCH(C803,($F$27:$F$36)*($D$27:$D$36&lt;&gt;0),0)),IF(OR(AND(D803=0,B803=0,B804&lt;&gt;0),AND(D803*D802&lt;0,B803&lt;&gt;0)),IF(D803=0,C803,C803*(1-ABS(D803)/(ABS(D803)+ABS(D802)))+C802*(1-ABS(D802)/(ABS(D803)+ABS(D802)))),"")))</f>
        <v>#NAME?</v>
      </c>
    </row>
    <row r="804" spans="2:5" x14ac:dyDescent="0.25">
      <c r="B804" t="e">
        <f t="shared" ca="1" si="25"/>
        <v>#NAME?</v>
      </c>
      <c r="C804">
        <v>761</v>
      </c>
      <c r="D804" t="e">
        <f t="shared" ca="1" si="24"/>
        <v>#NAME?</v>
      </c>
      <c r="E804" s="115" t="e">
        <f t="array" aca="1" ref="E804" ca="1">IF(OR(C803=0,AND(B805=0,C805=0)),"",IFERROR(INDEX($F$27:$F$36,MATCH(C804,($F$27:$F$36)*($D$27:$D$36&lt;&gt;0),0)),IF(OR(AND(D804=0,B804=0,B805&lt;&gt;0),AND(D804*D803&lt;0,B804&lt;&gt;0)),IF(D804=0,C804,C804*(1-ABS(D804)/(ABS(D804)+ABS(D803)))+C803*(1-ABS(D803)/(ABS(D804)+ABS(D803)))),"")))</f>
        <v>#NAME?</v>
      </c>
    </row>
    <row r="805" spans="2:5" x14ac:dyDescent="0.25">
      <c r="B805" t="e">
        <f t="shared" ca="1" si="25"/>
        <v>#NAME?</v>
      </c>
      <c r="C805">
        <v>762</v>
      </c>
      <c r="D805" t="e">
        <f t="shared" ca="1" si="24"/>
        <v>#NAME?</v>
      </c>
      <c r="E805" s="115" t="e">
        <f t="array" aca="1" ref="E805" ca="1">IF(OR(C804=0,AND(B806=0,C806=0)),"",IFERROR(INDEX($F$27:$F$36,MATCH(C805,($F$27:$F$36)*($D$27:$D$36&lt;&gt;0),0)),IF(OR(AND(D805=0,B805=0,B806&lt;&gt;0),AND(D805*D804&lt;0,B805&lt;&gt;0)),IF(D805=0,C805,C805*(1-ABS(D805)/(ABS(D805)+ABS(D804)))+C804*(1-ABS(D804)/(ABS(D805)+ABS(D804)))),"")))</f>
        <v>#NAME?</v>
      </c>
    </row>
    <row r="806" spans="2:5" x14ac:dyDescent="0.25">
      <c r="B806" t="e">
        <f t="shared" ca="1" si="25"/>
        <v>#NAME?</v>
      </c>
      <c r="C806">
        <v>763</v>
      </c>
      <c r="D806" t="e">
        <f t="shared" ca="1" si="24"/>
        <v>#NAME?</v>
      </c>
      <c r="E806" s="115" t="e">
        <f t="array" aca="1" ref="E806" ca="1">IF(OR(C805=0,AND(B807=0,C807=0)),"",IFERROR(INDEX($F$27:$F$36,MATCH(C806,($F$27:$F$36)*($D$27:$D$36&lt;&gt;0),0)),IF(OR(AND(D806=0,B806=0,B807&lt;&gt;0),AND(D806*D805&lt;0,B806&lt;&gt;0)),IF(D806=0,C806,C806*(1-ABS(D806)/(ABS(D806)+ABS(D805)))+C805*(1-ABS(D805)/(ABS(D806)+ABS(D805)))),"")))</f>
        <v>#NAME?</v>
      </c>
    </row>
    <row r="807" spans="2:5" x14ac:dyDescent="0.25">
      <c r="B807" t="e">
        <f t="shared" ca="1" si="25"/>
        <v>#NAME?</v>
      </c>
      <c r="C807">
        <v>764</v>
      </c>
      <c r="D807" t="e">
        <f t="shared" ca="1" si="24"/>
        <v>#NAME?</v>
      </c>
      <c r="E807" s="115" t="e">
        <f t="array" aca="1" ref="E807" ca="1">IF(OR(C806=0,AND(B808=0,C808=0)),"",IFERROR(INDEX($F$27:$F$36,MATCH(C807,($F$27:$F$36)*($D$27:$D$36&lt;&gt;0),0)),IF(OR(AND(D807=0,B807=0,B808&lt;&gt;0),AND(D807*D806&lt;0,B807&lt;&gt;0)),IF(D807=0,C807,C807*(1-ABS(D807)/(ABS(D807)+ABS(D806)))+C806*(1-ABS(D806)/(ABS(D807)+ABS(D806)))),"")))</f>
        <v>#NAME?</v>
      </c>
    </row>
    <row r="808" spans="2:5" x14ac:dyDescent="0.25">
      <c r="B808" t="e">
        <f t="shared" ca="1" si="25"/>
        <v>#NAME?</v>
      </c>
      <c r="C808">
        <v>765</v>
      </c>
      <c r="D808" t="e">
        <f t="shared" ca="1" si="24"/>
        <v>#NAME?</v>
      </c>
      <c r="E808" s="115" t="e">
        <f t="array" aca="1" ref="E808" ca="1">IF(OR(C807=0,AND(B809=0,C809=0)),"",IFERROR(INDEX($F$27:$F$36,MATCH(C808,($F$27:$F$36)*($D$27:$D$36&lt;&gt;0),0)),IF(OR(AND(D808=0,B808=0,B809&lt;&gt;0),AND(D808*D807&lt;0,B808&lt;&gt;0)),IF(D808=0,C808,C808*(1-ABS(D808)/(ABS(D808)+ABS(D807)))+C807*(1-ABS(D807)/(ABS(D808)+ABS(D807)))),"")))</f>
        <v>#NAME?</v>
      </c>
    </row>
    <row r="809" spans="2:5" x14ac:dyDescent="0.25">
      <c r="B809" t="e">
        <f t="shared" ca="1" si="25"/>
        <v>#NAME?</v>
      </c>
      <c r="C809">
        <v>766</v>
      </c>
      <c r="D809" t="e">
        <f t="shared" ca="1" si="24"/>
        <v>#NAME?</v>
      </c>
      <c r="E809" s="115" t="e">
        <f t="array" aca="1" ref="E809" ca="1">IF(OR(C808=0,AND(B810=0,C810=0)),"",IFERROR(INDEX($F$27:$F$36,MATCH(C809,($F$27:$F$36)*($D$27:$D$36&lt;&gt;0),0)),IF(OR(AND(D809=0,B809=0,B810&lt;&gt;0),AND(D809*D808&lt;0,B809&lt;&gt;0)),IF(D809=0,C809,C809*(1-ABS(D809)/(ABS(D809)+ABS(D808)))+C808*(1-ABS(D808)/(ABS(D809)+ABS(D808)))),"")))</f>
        <v>#NAME?</v>
      </c>
    </row>
    <row r="810" spans="2:5" x14ac:dyDescent="0.25">
      <c r="B810" t="e">
        <f t="shared" ca="1" si="25"/>
        <v>#NAME?</v>
      </c>
      <c r="C810">
        <v>767</v>
      </c>
      <c r="D810" t="e">
        <f t="shared" ca="1" si="24"/>
        <v>#NAME?</v>
      </c>
      <c r="E810" s="115" t="e">
        <f t="array" aca="1" ref="E810" ca="1">IF(OR(C809=0,AND(B811=0,C811=0)),"",IFERROR(INDEX($F$27:$F$36,MATCH(C810,($F$27:$F$36)*($D$27:$D$36&lt;&gt;0),0)),IF(OR(AND(D810=0,B810=0,B811&lt;&gt;0),AND(D810*D809&lt;0,B810&lt;&gt;0)),IF(D810=0,C810,C810*(1-ABS(D810)/(ABS(D810)+ABS(D809)))+C809*(1-ABS(D809)/(ABS(D810)+ABS(D809)))),"")))</f>
        <v>#NAME?</v>
      </c>
    </row>
    <row r="811" spans="2:5" x14ac:dyDescent="0.25">
      <c r="B811" t="e">
        <f t="shared" ca="1" si="25"/>
        <v>#NAME?</v>
      </c>
      <c r="C811">
        <v>768</v>
      </c>
      <c r="D811" t="e">
        <f t="shared" ref="D811:D874" ca="1" si="26">SUMPRODUCT(--($J$27:$J$37&gt;0),--($C811-$F$27:$F$37&gt;0),($D$27:$D$37),($C811-$F$27:$F$37))+SUMPRODUCT(--($J$27:$J$37&lt;0),--($F$27:$F$37-$C811&gt;0),($D$27:$D$37),($F$27:$F$37-$C811))-SUMPRODUCT($D$27:$D$37,$E$27:$E$37)</f>
        <v>#NAME?</v>
      </c>
      <c r="E811" s="115" t="e">
        <f t="array" aca="1" ref="E811" ca="1">IF(OR(C810=0,AND(B812=0,C812=0)),"",IFERROR(INDEX($F$27:$F$36,MATCH(C811,($F$27:$F$36)*($D$27:$D$36&lt;&gt;0),0)),IF(OR(AND(D811=0,B811=0,B812&lt;&gt;0),AND(D811*D810&lt;0,B811&lt;&gt;0)),IF(D811=0,C811,C811*(1-ABS(D811)/(ABS(D811)+ABS(D810)))+C810*(1-ABS(D810)/(ABS(D811)+ABS(D810)))),"")))</f>
        <v>#NAME?</v>
      </c>
    </row>
    <row r="812" spans="2:5" x14ac:dyDescent="0.25">
      <c r="B812" t="e">
        <f t="shared" ref="B812:B875" ca="1" si="27">ROUND((D812-D811)/(C812-C811),12)</f>
        <v>#NAME?</v>
      </c>
      <c r="C812">
        <v>769</v>
      </c>
      <c r="D812" t="e">
        <f t="shared" ca="1" si="26"/>
        <v>#NAME?</v>
      </c>
      <c r="E812" s="115" t="e">
        <f t="array" aca="1" ref="E812" ca="1">IF(OR(C811=0,AND(B813=0,C813=0)),"",IFERROR(INDEX($F$27:$F$36,MATCH(C812,($F$27:$F$36)*($D$27:$D$36&lt;&gt;0),0)),IF(OR(AND(D812=0,B812=0,B813&lt;&gt;0),AND(D812*D811&lt;0,B812&lt;&gt;0)),IF(D812=0,C812,C812*(1-ABS(D812)/(ABS(D812)+ABS(D811)))+C811*(1-ABS(D811)/(ABS(D812)+ABS(D811)))),"")))</f>
        <v>#NAME?</v>
      </c>
    </row>
    <row r="813" spans="2:5" x14ac:dyDescent="0.25">
      <c r="B813" t="e">
        <f t="shared" ca="1" si="27"/>
        <v>#NAME?</v>
      </c>
      <c r="C813">
        <v>770</v>
      </c>
      <c r="D813" t="e">
        <f t="shared" ca="1" si="26"/>
        <v>#NAME?</v>
      </c>
      <c r="E813" s="115" t="e">
        <f t="array" aca="1" ref="E813" ca="1">IF(OR(C812=0,AND(B814=0,C814=0)),"",IFERROR(INDEX($F$27:$F$36,MATCH(C813,($F$27:$F$36)*($D$27:$D$36&lt;&gt;0),0)),IF(OR(AND(D813=0,B813=0,B814&lt;&gt;0),AND(D813*D812&lt;0,B813&lt;&gt;0)),IF(D813=0,C813,C813*(1-ABS(D813)/(ABS(D813)+ABS(D812)))+C812*(1-ABS(D812)/(ABS(D813)+ABS(D812)))),"")))</f>
        <v>#NAME?</v>
      </c>
    </row>
    <row r="814" spans="2:5" x14ac:dyDescent="0.25">
      <c r="B814" t="e">
        <f t="shared" ca="1" si="27"/>
        <v>#NAME?</v>
      </c>
      <c r="C814">
        <v>771</v>
      </c>
      <c r="D814" t="e">
        <f t="shared" ca="1" si="26"/>
        <v>#NAME?</v>
      </c>
      <c r="E814" s="115" t="e">
        <f t="array" aca="1" ref="E814" ca="1">IF(OR(C813=0,AND(B815=0,C815=0)),"",IFERROR(INDEX($F$27:$F$36,MATCH(C814,($F$27:$F$36)*($D$27:$D$36&lt;&gt;0),0)),IF(OR(AND(D814=0,B814=0,B815&lt;&gt;0),AND(D814*D813&lt;0,B814&lt;&gt;0)),IF(D814=0,C814,C814*(1-ABS(D814)/(ABS(D814)+ABS(D813)))+C813*(1-ABS(D813)/(ABS(D814)+ABS(D813)))),"")))</f>
        <v>#NAME?</v>
      </c>
    </row>
    <row r="815" spans="2:5" x14ac:dyDescent="0.25">
      <c r="B815" t="e">
        <f t="shared" ca="1" si="27"/>
        <v>#NAME?</v>
      </c>
      <c r="C815">
        <v>772</v>
      </c>
      <c r="D815" t="e">
        <f t="shared" ca="1" si="26"/>
        <v>#NAME?</v>
      </c>
      <c r="E815" s="115" t="e">
        <f t="array" aca="1" ref="E815" ca="1">IF(OR(C814=0,AND(B816=0,C816=0)),"",IFERROR(INDEX($F$27:$F$36,MATCH(C815,($F$27:$F$36)*($D$27:$D$36&lt;&gt;0),0)),IF(OR(AND(D815=0,B815=0,B816&lt;&gt;0),AND(D815*D814&lt;0,B815&lt;&gt;0)),IF(D815=0,C815,C815*(1-ABS(D815)/(ABS(D815)+ABS(D814)))+C814*(1-ABS(D814)/(ABS(D815)+ABS(D814)))),"")))</f>
        <v>#NAME?</v>
      </c>
    </row>
    <row r="816" spans="2:5" x14ac:dyDescent="0.25">
      <c r="B816" t="e">
        <f t="shared" ca="1" si="27"/>
        <v>#NAME?</v>
      </c>
      <c r="C816">
        <v>773</v>
      </c>
      <c r="D816" t="e">
        <f t="shared" ca="1" si="26"/>
        <v>#NAME?</v>
      </c>
      <c r="E816" s="115" t="e">
        <f t="array" aca="1" ref="E816" ca="1">IF(OR(C815=0,AND(B817=0,C817=0)),"",IFERROR(INDEX($F$27:$F$36,MATCH(C816,($F$27:$F$36)*($D$27:$D$36&lt;&gt;0),0)),IF(OR(AND(D816=0,B816=0,B817&lt;&gt;0),AND(D816*D815&lt;0,B816&lt;&gt;0)),IF(D816=0,C816,C816*(1-ABS(D816)/(ABS(D816)+ABS(D815)))+C815*(1-ABS(D815)/(ABS(D816)+ABS(D815)))),"")))</f>
        <v>#NAME?</v>
      </c>
    </row>
    <row r="817" spans="2:5" x14ac:dyDescent="0.25">
      <c r="B817" t="e">
        <f t="shared" ca="1" si="27"/>
        <v>#NAME?</v>
      </c>
      <c r="C817">
        <v>774</v>
      </c>
      <c r="D817" t="e">
        <f t="shared" ca="1" si="26"/>
        <v>#NAME?</v>
      </c>
      <c r="E817" s="115" t="e">
        <f t="array" aca="1" ref="E817" ca="1">IF(OR(C816=0,AND(B818=0,C818=0)),"",IFERROR(INDEX($F$27:$F$36,MATCH(C817,($F$27:$F$36)*($D$27:$D$36&lt;&gt;0),0)),IF(OR(AND(D817=0,B817=0,B818&lt;&gt;0),AND(D817*D816&lt;0,B817&lt;&gt;0)),IF(D817=0,C817,C817*(1-ABS(D817)/(ABS(D817)+ABS(D816)))+C816*(1-ABS(D816)/(ABS(D817)+ABS(D816)))),"")))</f>
        <v>#NAME?</v>
      </c>
    </row>
    <row r="818" spans="2:5" x14ac:dyDescent="0.25">
      <c r="B818" t="e">
        <f t="shared" ca="1" si="27"/>
        <v>#NAME?</v>
      </c>
      <c r="C818">
        <v>775</v>
      </c>
      <c r="D818" t="e">
        <f t="shared" ca="1" si="26"/>
        <v>#NAME?</v>
      </c>
      <c r="E818" s="115" t="e">
        <f t="array" aca="1" ref="E818" ca="1">IF(OR(C817=0,AND(B819=0,C819=0)),"",IFERROR(INDEX($F$27:$F$36,MATCH(C818,($F$27:$F$36)*($D$27:$D$36&lt;&gt;0),0)),IF(OR(AND(D818=0,B818=0,B819&lt;&gt;0),AND(D818*D817&lt;0,B818&lt;&gt;0)),IF(D818=0,C818,C818*(1-ABS(D818)/(ABS(D818)+ABS(D817)))+C817*(1-ABS(D817)/(ABS(D818)+ABS(D817)))),"")))</f>
        <v>#NAME?</v>
      </c>
    </row>
    <row r="819" spans="2:5" x14ac:dyDescent="0.25">
      <c r="B819" t="e">
        <f t="shared" ca="1" si="27"/>
        <v>#NAME?</v>
      </c>
      <c r="C819">
        <v>776</v>
      </c>
      <c r="D819" t="e">
        <f t="shared" ca="1" si="26"/>
        <v>#NAME?</v>
      </c>
      <c r="E819" s="115" t="e">
        <f t="array" aca="1" ref="E819" ca="1">IF(OR(C818=0,AND(B820=0,C820=0)),"",IFERROR(INDEX($F$27:$F$36,MATCH(C819,($F$27:$F$36)*($D$27:$D$36&lt;&gt;0),0)),IF(OR(AND(D819=0,B819=0,B820&lt;&gt;0),AND(D819*D818&lt;0,B819&lt;&gt;0)),IF(D819=0,C819,C819*(1-ABS(D819)/(ABS(D819)+ABS(D818)))+C818*(1-ABS(D818)/(ABS(D819)+ABS(D818)))),"")))</f>
        <v>#NAME?</v>
      </c>
    </row>
    <row r="820" spans="2:5" x14ac:dyDescent="0.25">
      <c r="B820" t="e">
        <f t="shared" ca="1" si="27"/>
        <v>#NAME?</v>
      </c>
      <c r="C820">
        <v>777</v>
      </c>
      <c r="D820" t="e">
        <f t="shared" ca="1" si="26"/>
        <v>#NAME?</v>
      </c>
      <c r="E820" s="115" t="e">
        <f t="array" aca="1" ref="E820" ca="1">IF(OR(C819=0,AND(B821=0,C821=0)),"",IFERROR(INDEX($F$27:$F$36,MATCH(C820,($F$27:$F$36)*($D$27:$D$36&lt;&gt;0),0)),IF(OR(AND(D820=0,B820=0,B821&lt;&gt;0),AND(D820*D819&lt;0,B820&lt;&gt;0)),IF(D820=0,C820,C820*(1-ABS(D820)/(ABS(D820)+ABS(D819)))+C819*(1-ABS(D819)/(ABS(D820)+ABS(D819)))),"")))</f>
        <v>#NAME?</v>
      </c>
    </row>
    <row r="821" spans="2:5" x14ac:dyDescent="0.25">
      <c r="B821" t="e">
        <f t="shared" ca="1" si="27"/>
        <v>#NAME?</v>
      </c>
      <c r="C821">
        <v>778</v>
      </c>
      <c r="D821" t="e">
        <f t="shared" ca="1" si="26"/>
        <v>#NAME?</v>
      </c>
      <c r="E821" s="115" t="e">
        <f t="array" aca="1" ref="E821" ca="1">IF(OR(C820=0,AND(B822=0,C822=0)),"",IFERROR(INDEX($F$27:$F$36,MATCH(C821,($F$27:$F$36)*($D$27:$D$36&lt;&gt;0),0)),IF(OR(AND(D821=0,B821=0,B822&lt;&gt;0),AND(D821*D820&lt;0,B821&lt;&gt;0)),IF(D821=0,C821,C821*(1-ABS(D821)/(ABS(D821)+ABS(D820)))+C820*(1-ABS(D820)/(ABS(D821)+ABS(D820)))),"")))</f>
        <v>#NAME?</v>
      </c>
    </row>
    <row r="822" spans="2:5" x14ac:dyDescent="0.25">
      <c r="B822" t="e">
        <f t="shared" ca="1" si="27"/>
        <v>#NAME?</v>
      </c>
      <c r="C822">
        <v>779</v>
      </c>
      <c r="D822" t="e">
        <f t="shared" ca="1" si="26"/>
        <v>#NAME?</v>
      </c>
      <c r="E822" s="115" t="e">
        <f t="array" aca="1" ref="E822" ca="1">IF(OR(C821=0,AND(B823=0,C823=0)),"",IFERROR(INDEX($F$27:$F$36,MATCH(C822,($F$27:$F$36)*($D$27:$D$36&lt;&gt;0),0)),IF(OR(AND(D822=0,B822=0,B823&lt;&gt;0),AND(D822*D821&lt;0,B822&lt;&gt;0)),IF(D822=0,C822,C822*(1-ABS(D822)/(ABS(D822)+ABS(D821)))+C821*(1-ABS(D821)/(ABS(D822)+ABS(D821)))),"")))</f>
        <v>#NAME?</v>
      </c>
    </row>
    <row r="823" spans="2:5" x14ac:dyDescent="0.25">
      <c r="B823" t="e">
        <f t="shared" ca="1" si="27"/>
        <v>#NAME?</v>
      </c>
      <c r="C823">
        <v>780</v>
      </c>
      <c r="D823" t="e">
        <f t="shared" ca="1" si="26"/>
        <v>#NAME?</v>
      </c>
      <c r="E823" s="115" t="e">
        <f t="array" aca="1" ref="E823" ca="1">IF(OR(C822=0,AND(B824=0,C824=0)),"",IFERROR(INDEX($F$27:$F$36,MATCH(C823,($F$27:$F$36)*($D$27:$D$36&lt;&gt;0),0)),IF(OR(AND(D823=0,B823=0,B824&lt;&gt;0),AND(D823*D822&lt;0,B823&lt;&gt;0)),IF(D823=0,C823,C823*(1-ABS(D823)/(ABS(D823)+ABS(D822)))+C822*(1-ABS(D822)/(ABS(D823)+ABS(D822)))),"")))</f>
        <v>#NAME?</v>
      </c>
    </row>
    <row r="824" spans="2:5" x14ac:dyDescent="0.25">
      <c r="B824" t="e">
        <f t="shared" ca="1" si="27"/>
        <v>#NAME?</v>
      </c>
      <c r="C824">
        <v>781</v>
      </c>
      <c r="D824" t="e">
        <f t="shared" ca="1" si="26"/>
        <v>#NAME?</v>
      </c>
      <c r="E824" s="115" t="e">
        <f t="array" aca="1" ref="E824" ca="1">IF(OR(C823=0,AND(B825=0,C825=0)),"",IFERROR(INDEX($F$27:$F$36,MATCH(C824,($F$27:$F$36)*($D$27:$D$36&lt;&gt;0),0)),IF(OR(AND(D824=0,B824=0,B825&lt;&gt;0),AND(D824*D823&lt;0,B824&lt;&gt;0)),IF(D824=0,C824,C824*(1-ABS(D824)/(ABS(D824)+ABS(D823)))+C823*(1-ABS(D823)/(ABS(D824)+ABS(D823)))),"")))</f>
        <v>#NAME?</v>
      </c>
    </row>
    <row r="825" spans="2:5" x14ac:dyDescent="0.25">
      <c r="B825" t="e">
        <f t="shared" ca="1" si="27"/>
        <v>#NAME?</v>
      </c>
      <c r="C825">
        <v>782</v>
      </c>
      <c r="D825" t="e">
        <f t="shared" ca="1" si="26"/>
        <v>#NAME?</v>
      </c>
      <c r="E825" s="115" t="e">
        <f t="array" aca="1" ref="E825" ca="1">IF(OR(C824=0,AND(B826=0,C826=0)),"",IFERROR(INDEX($F$27:$F$36,MATCH(C825,($F$27:$F$36)*($D$27:$D$36&lt;&gt;0),0)),IF(OR(AND(D825=0,B825=0,B826&lt;&gt;0),AND(D825*D824&lt;0,B825&lt;&gt;0)),IF(D825=0,C825,C825*(1-ABS(D825)/(ABS(D825)+ABS(D824)))+C824*(1-ABS(D824)/(ABS(D825)+ABS(D824)))),"")))</f>
        <v>#NAME?</v>
      </c>
    </row>
    <row r="826" spans="2:5" x14ac:dyDescent="0.25">
      <c r="B826" t="e">
        <f t="shared" ca="1" si="27"/>
        <v>#NAME?</v>
      </c>
      <c r="C826">
        <v>783</v>
      </c>
      <c r="D826" t="e">
        <f t="shared" ca="1" si="26"/>
        <v>#NAME?</v>
      </c>
      <c r="E826" s="115" t="e">
        <f t="array" aca="1" ref="E826" ca="1">IF(OR(C825=0,AND(B827=0,C827=0)),"",IFERROR(INDEX($F$27:$F$36,MATCH(C826,($F$27:$F$36)*($D$27:$D$36&lt;&gt;0),0)),IF(OR(AND(D826=0,B826=0,B827&lt;&gt;0),AND(D826*D825&lt;0,B826&lt;&gt;0)),IF(D826=0,C826,C826*(1-ABS(D826)/(ABS(D826)+ABS(D825)))+C825*(1-ABS(D825)/(ABS(D826)+ABS(D825)))),"")))</f>
        <v>#NAME?</v>
      </c>
    </row>
    <row r="827" spans="2:5" x14ac:dyDescent="0.25">
      <c r="B827" t="e">
        <f t="shared" ca="1" si="27"/>
        <v>#NAME?</v>
      </c>
      <c r="C827">
        <v>784</v>
      </c>
      <c r="D827" t="e">
        <f t="shared" ca="1" si="26"/>
        <v>#NAME?</v>
      </c>
      <c r="E827" s="115" t="e">
        <f t="array" aca="1" ref="E827" ca="1">IF(OR(C826=0,AND(B828=0,C828=0)),"",IFERROR(INDEX($F$27:$F$36,MATCH(C827,($F$27:$F$36)*($D$27:$D$36&lt;&gt;0),0)),IF(OR(AND(D827=0,B827=0,B828&lt;&gt;0),AND(D827*D826&lt;0,B827&lt;&gt;0)),IF(D827=0,C827,C827*(1-ABS(D827)/(ABS(D827)+ABS(D826)))+C826*(1-ABS(D826)/(ABS(D827)+ABS(D826)))),"")))</f>
        <v>#NAME?</v>
      </c>
    </row>
    <row r="828" spans="2:5" x14ac:dyDescent="0.25">
      <c r="B828" t="e">
        <f t="shared" ca="1" si="27"/>
        <v>#NAME?</v>
      </c>
      <c r="C828">
        <v>785</v>
      </c>
      <c r="D828" t="e">
        <f t="shared" ca="1" si="26"/>
        <v>#NAME?</v>
      </c>
      <c r="E828" s="115" t="e">
        <f t="array" aca="1" ref="E828" ca="1">IF(OR(C827=0,AND(B829=0,C829=0)),"",IFERROR(INDEX($F$27:$F$36,MATCH(C828,($F$27:$F$36)*($D$27:$D$36&lt;&gt;0),0)),IF(OR(AND(D828=0,B828=0,B829&lt;&gt;0),AND(D828*D827&lt;0,B828&lt;&gt;0)),IF(D828=0,C828,C828*(1-ABS(D828)/(ABS(D828)+ABS(D827)))+C827*(1-ABS(D827)/(ABS(D828)+ABS(D827)))),"")))</f>
        <v>#NAME?</v>
      </c>
    </row>
    <row r="829" spans="2:5" x14ac:dyDescent="0.25">
      <c r="B829" t="e">
        <f t="shared" ca="1" si="27"/>
        <v>#NAME?</v>
      </c>
      <c r="C829">
        <v>786</v>
      </c>
      <c r="D829" t="e">
        <f t="shared" ca="1" si="26"/>
        <v>#NAME?</v>
      </c>
      <c r="E829" s="115" t="e">
        <f t="array" aca="1" ref="E829" ca="1">IF(OR(C828=0,AND(B830=0,C830=0)),"",IFERROR(INDEX($F$27:$F$36,MATCH(C829,($F$27:$F$36)*($D$27:$D$36&lt;&gt;0),0)),IF(OR(AND(D829=0,B829=0,B830&lt;&gt;0),AND(D829*D828&lt;0,B829&lt;&gt;0)),IF(D829=0,C829,C829*(1-ABS(D829)/(ABS(D829)+ABS(D828)))+C828*(1-ABS(D828)/(ABS(D829)+ABS(D828)))),"")))</f>
        <v>#NAME?</v>
      </c>
    </row>
    <row r="830" spans="2:5" x14ac:dyDescent="0.25">
      <c r="B830" t="e">
        <f t="shared" ca="1" si="27"/>
        <v>#NAME?</v>
      </c>
      <c r="C830">
        <v>787</v>
      </c>
      <c r="D830" t="e">
        <f t="shared" ca="1" si="26"/>
        <v>#NAME?</v>
      </c>
      <c r="E830" s="115" t="e">
        <f t="array" aca="1" ref="E830" ca="1">IF(OR(C829=0,AND(B831=0,C831=0)),"",IFERROR(INDEX($F$27:$F$36,MATCH(C830,($F$27:$F$36)*($D$27:$D$36&lt;&gt;0),0)),IF(OR(AND(D830=0,B830=0,B831&lt;&gt;0),AND(D830*D829&lt;0,B830&lt;&gt;0)),IF(D830=0,C830,C830*(1-ABS(D830)/(ABS(D830)+ABS(D829)))+C829*(1-ABS(D829)/(ABS(D830)+ABS(D829)))),"")))</f>
        <v>#NAME?</v>
      </c>
    </row>
    <row r="831" spans="2:5" x14ac:dyDescent="0.25">
      <c r="B831" t="e">
        <f t="shared" ca="1" si="27"/>
        <v>#NAME?</v>
      </c>
      <c r="C831">
        <v>788</v>
      </c>
      <c r="D831" t="e">
        <f t="shared" ca="1" si="26"/>
        <v>#NAME?</v>
      </c>
      <c r="E831" s="115" t="e">
        <f t="array" aca="1" ref="E831" ca="1">IF(OR(C830=0,AND(B832=0,C832=0)),"",IFERROR(INDEX($F$27:$F$36,MATCH(C831,($F$27:$F$36)*($D$27:$D$36&lt;&gt;0),0)),IF(OR(AND(D831=0,B831=0,B832&lt;&gt;0),AND(D831*D830&lt;0,B831&lt;&gt;0)),IF(D831=0,C831,C831*(1-ABS(D831)/(ABS(D831)+ABS(D830)))+C830*(1-ABS(D830)/(ABS(D831)+ABS(D830)))),"")))</f>
        <v>#NAME?</v>
      </c>
    </row>
    <row r="832" spans="2:5" x14ac:dyDescent="0.25">
      <c r="B832" t="e">
        <f t="shared" ca="1" si="27"/>
        <v>#NAME?</v>
      </c>
      <c r="C832">
        <v>789</v>
      </c>
      <c r="D832" t="e">
        <f t="shared" ca="1" si="26"/>
        <v>#NAME?</v>
      </c>
      <c r="E832" s="115" t="e">
        <f t="array" aca="1" ref="E832" ca="1">IF(OR(C831=0,AND(B833=0,C833=0)),"",IFERROR(INDEX($F$27:$F$36,MATCH(C832,($F$27:$F$36)*($D$27:$D$36&lt;&gt;0),0)),IF(OR(AND(D832=0,B832=0,B833&lt;&gt;0),AND(D832*D831&lt;0,B832&lt;&gt;0)),IF(D832=0,C832,C832*(1-ABS(D832)/(ABS(D832)+ABS(D831)))+C831*(1-ABS(D831)/(ABS(D832)+ABS(D831)))),"")))</f>
        <v>#NAME?</v>
      </c>
    </row>
    <row r="833" spans="2:5" x14ac:dyDescent="0.25">
      <c r="B833" t="e">
        <f t="shared" ca="1" si="27"/>
        <v>#NAME?</v>
      </c>
      <c r="C833">
        <v>790</v>
      </c>
      <c r="D833" t="e">
        <f t="shared" ca="1" si="26"/>
        <v>#NAME?</v>
      </c>
      <c r="E833" s="115" t="e">
        <f t="array" aca="1" ref="E833" ca="1">IF(OR(C832=0,AND(B834=0,C834=0)),"",IFERROR(INDEX($F$27:$F$36,MATCH(C833,($F$27:$F$36)*($D$27:$D$36&lt;&gt;0),0)),IF(OR(AND(D833=0,B833=0,B834&lt;&gt;0),AND(D833*D832&lt;0,B833&lt;&gt;0)),IF(D833=0,C833,C833*(1-ABS(D833)/(ABS(D833)+ABS(D832)))+C832*(1-ABS(D832)/(ABS(D833)+ABS(D832)))),"")))</f>
        <v>#NAME?</v>
      </c>
    </row>
    <row r="834" spans="2:5" x14ac:dyDescent="0.25">
      <c r="B834" t="e">
        <f t="shared" ca="1" si="27"/>
        <v>#NAME?</v>
      </c>
      <c r="C834">
        <v>791</v>
      </c>
      <c r="D834" t="e">
        <f t="shared" ca="1" si="26"/>
        <v>#NAME?</v>
      </c>
      <c r="E834" s="115" t="e">
        <f t="array" aca="1" ref="E834" ca="1">IF(OR(C833=0,AND(B835=0,C835=0)),"",IFERROR(INDEX($F$27:$F$36,MATCH(C834,($F$27:$F$36)*($D$27:$D$36&lt;&gt;0),0)),IF(OR(AND(D834=0,B834=0,B835&lt;&gt;0),AND(D834*D833&lt;0,B834&lt;&gt;0)),IF(D834=0,C834,C834*(1-ABS(D834)/(ABS(D834)+ABS(D833)))+C833*(1-ABS(D833)/(ABS(D834)+ABS(D833)))),"")))</f>
        <v>#NAME?</v>
      </c>
    </row>
    <row r="835" spans="2:5" x14ac:dyDescent="0.25">
      <c r="B835" t="e">
        <f t="shared" ca="1" si="27"/>
        <v>#NAME?</v>
      </c>
      <c r="C835">
        <v>792</v>
      </c>
      <c r="D835" t="e">
        <f t="shared" ca="1" si="26"/>
        <v>#NAME?</v>
      </c>
      <c r="E835" s="115" t="e">
        <f t="array" aca="1" ref="E835" ca="1">IF(OR(C834=0,AND(B836=0,C836=0)),"",IFERROR(INDEX($F$27:$F$36,MATCH(C835,($F$27:$F$36)*($D$27:$D$36&lt;&gt;0),0)),IF(OR(AND(D835=0,B835=0,B836&lt;&gt;0),AND(D835*D834&lt;0,B835&lt;&gt;0)),IF(D835=0,C835,C835*(1-ABS(D835)/(ABS(D835)+ABS(D834)))+C834*(1-ABS(D834)/(ABS(D835)+ABS(D834)))),"")))</f>
        <v>#NAME?</v>
      </c>
    </row>
    <row r="836" spans="2:5" x14ac:dyDescent="0.25">
      <c r="B836" t="e">
        <f t="shared" ca="1" si="27"/>
        <v>#NAME?</v>
      </c>
      <c r="C836">
        <v>793</v>
      </c>
      <c r="D836" t="e">
        <f t="shared" ca="1" si="26"/>
        <v>#NAME?</v>
      </c>
      <c r="E836" s="115" t="e">
        <f t="array" aca="1" ref="E836" ca="1">IF(OR(C835=0,AND(B837=0,C837=0)),"",IFERROR(INDEX($F$27:$F$36,MATCH(C836,($F$27:$F$36)*($D$27:$D$36&lt;&gt;0),0)),IF(OR(AND(D836=0,B836=0,B837&lt;&gt;0),AND(D836*D835&lt;0,B836&lt;&gt;0)),IF(D836=0,C836,C836*(1-ABS(D836)/(ABS(D836)+ABS(D835)))+C835*(1-ABS(D835)/(ABS(D836)+ABS(D835)))),"")))</f>
        <v>#NAME?</v>
      </c>
    </row>
    <row r="837" spans="2:5" x14ac:dyDescent="0.25">
      <c r="B837" t="e">
        <f t="shared" ca="1" si="27"/>
        <v>#NAME?</v>
      </c>
      <c r="C837">
        <v>794</v>
      </c>
      <c r="D837" t="e">
        <f t="shared" ca="1" si="26"/>
        <v>#NAME?</v>
      </c>
      <c r="E837" s="115" t="e">
        <f t="array" aca="1" ref="E837" ca="1">IF(OR(C836=0,AND(B838=0,C838=0)),"",IFERROR(INDEX($F$27:$F$36,MATCH(C837,($F$27:$F$36)*($D$27:$D$36&lt;&gt;0),0)),IF(OR(AND(D837=0,B837=0,B838&lt;&gt;0),AND(D837*D836&lt;0,B837&lt;&gt;0)),IF(D837=0,C837,C837*(1-ABS(D837)/(ABS(D837)+ABS(D836)))+C836*(1-ABS(D836)/(ABS(D837)+ABS(D836)))),"")))</f>
        <v>#NAME?</v>
      </c>
    </row>
    <row r="838" spans="2:5" x14ac:dyDescent="0.25">
      <c r="B838" t="e">
        <f t="shared" ca="1" si="27"/>
        <v>#NAME?</v>
      </c>
      <c r="C838">
        <v>795</v>
      </c>
      <c r="D838" t="e">
        <f t="shared" ca="1" si="26"/>
        <v>#NAME?</v>
      </c>
      <c r="E838" s="115" t="e">
        <f t="array" aca="1" ref="E838" ca="1">IF(OR(C837=0,AND(B839=0,C839=0)),"",IFERROR(INDEX($F$27:$F$36,MATCH(C838,($F$27:$F$36)*($D$27:$D$36&lt;&gt;0),0)),IF(OR(AND(D838=0,B838=0,B839&lt;&gt;0),AND(D838*D837&lt;0,B838&lt;&gt;0)),IF(D838=0,C838,C838*(1-ABS(D838)/(ABS(D838)+ABS(D837)))+C837*(1-ABS(D837)/(ABS(D838)+ABS(D837)))),"")))</f>
        <v>#NAME?</v>
      </c>
    </row>
    <row r="839" spans="2:5" x14ac:dyDescent="0.25">
      <c r="B839" t="e">
        <f t="shared" ca="1" si="27"/>
        <v>#NAME?</v>
      </c>
      <c r="C839">
        <v>796</v>
      </c>
      <c r="D839" t="e">
        <f t="shared" ca="1" si="26"/>
        <v>#NAME?</v>
      </c>
      <c r="E839" s="115" t="e">
        <f t="array" aca="1" ref="E839" ca="1">IF(OR(C838=0,AND(B840=0,C840=0)),"",IFERROR(INDEX($F$27:$F$36,MATCH(C839,($F$27:$F$36)*($D$27:$D$36&lt;&gt;0),0)),IF(OR(AND(D839=0,B839=0,B840&lt;&gt;0),AND(D839*D838&lt;0,B839&lt;&gt;0)),IF(D839=0,C839,C839*(1-ABS(D839)/(ABS(D839)+ABS(D838)))+C838*(1-ABS(D838)/(ABS(D839)+ABS(D838)))),"")))</f>
        <v>#NAME?</v>
      </c>
    </row>
    <row r="840" spans="2:5" x14ac:dyDescent="0.25">
      <c r="B840" t="e">
        <f t="shared" ca="1" si="27"/>
        <v>#NAME?</v>
      </c>
      <c r="C840">
        <v>797</v>
      </c>
      <c r="D840" t="e">
        <f t="shared" ca="1" si="26"/>
        <v>#NAME?</v>
      </c>
      <c r="E840" s="115" t="e">
        <f t="array" aca="1" ref="E840" ca="1">IF(OR(C839=0,AND(B841=0,C841=0)),"",IFERROR(INDEX($F$27:$F$36,MATCH(C840,($F$27:$F$36)*($D$27:$D$36&lt;&gt;0),0)),IF(OR(AND(D840=0,B840=0,B841&lt;&gt;0),AND(D840*D839&lt;0,B840&lt;&gt;0)),IF(D840=0,C840,C840*(1-ABS(D840)/(ABS(D840)+ABS(D839)))+C839*(1-ABS(D839)/(ABS(D840)+ABS(D839)))),"")))</f>
        <v>#NAME?</v>
      </c>
    </row>
    <row r="841" spans="2:5" x14ac:dyDescent="0.25">
      <c r="B841" t="e">
        <f t="shared" ca="1" si="27"/>
        <v>#NAME?</v>
      </c>
      <c r="C841">
        <v>798</v>
      </c>
      <c r="D841" t="e">
        <f t="shared" ca="1" si="26"/>
        <v>#NAME?</v>
      </c>
      <c r="E841" s="115" t="e">
        <f t="array" aca="1" ref="E841" ca="1">IF(OR(C840=0,AND(B842=0,C842=0)),"",IFERROR(INDEX($F$27:$F$36,MATCH(C841,($F$27:$F$36)*($D$27:$D$36&lt;&gt;0),0)),IF(OR(AND(D841=0,B841=0,B842&lt;&gt;0),AND(D841*D840&lt;0,B841&lt;&gt;0)),IF(D841=0,C841,C841*(1-ABS(D841)/(ABS(D841)+ABS(D840)))+C840*(1-ABS(D840)/(ABS(D841)+ABS(D840)))),"")))</f>
        <v>#NAME?</v>
      </c>
    </row>
    <row r="842" spans="2:5" x14ac:dyDescent="0.25">
      <c r="B842" t="e">
        <f t="shared" ca="1" si="27"/>
        <v>#NAME?</v>
      </c>
      <c r="C842">
        <v>799</v>
      </c>
      <c r="D842" t="e">
        <f t="shared" ca="1" si="26"/>
        <v>#NAME?</v>
      </c>
      <c r="E842" s="115" t="e">
        <f t="array" aca="1" ref="E842" ca="1">IF(OR(C841=0,AND(B843=0,C843=0)),"",IFERROR(INDEX($F$27:$F$36,MATCH(C842,($F$27:$F$36)*($D$27:$D$36&lt;&gt;0),0)),IF(OR(AND(D842=0,B842=0,B843&lt;&gt;0),AND(D842*D841&lt;0,B842&lt;&gt;0)),IF(D842=0,C842,C842*(1-ABS(D842)/(ABS(D842)+ABS(D841)))+C841*(1-ABS(D841)/(ABS(D842)+ABS(D841)))),"")))</f>
        <v>#NAME?</v>
      </c>
    </row>
    <row r="843" spans="2:5" x14ac:dyDescent="0.25">
      <c r="B843" t="e">
        <f t="shared" ca="1" si="27"/>
        <v>#NAME?</v>
      </c>
      <c r="C843">
        <v>800</v>
      </c>
      <c r="D843" t="e">
        <f t="shared" ca="1" si="26"/>
        <v>#NAME?</v>
      </c>
      <c r="E843" s="115" t="e">
        <f t="array" aca="1" ref="E843" ca="1">IF(OR(C842=0,AND(B844=0,C844=0)),"",IFERROR(INDEX($F$27:$F$36,MATCH(C843,($F$27:$F$36)*($D$27:$D$36&lt;&gt;0),0)),IF(OR(AND(D843=0,B843=0,B844&lt;&gt;0),AND(D843*D842&lt;0,B843&lt;&gt;0)),IF(D843=0,C843,C843*(1-ABS(D843)/(ABS(D843)+ABS(D842)))+C842*(1-ABS(D842)/(ABS(D843)+ABS(D842)))),"")))</f>
        <v>#NAME?</v>
      </c>
    </row>
    <row r="844" spans="2:5" x14ac:dyDescent="0.25">
      <c r="B844" t="e">
        <f t="shared" ca="1" si="27"/>
        <v>#NAME?</v>
      </c>
      <c r="C844">
        <v>801</v>
      </c>
      <c r="D844" t="e">
        <f t="shared" ca="1" si="26"/>
        <v>#NAME?</v>
      </c>
      <c r="E844" s="115" t="e">
        <f t="array" aca="1" ref="E844" ca="1">IF(OR(C843=0,AND(B845=0,C845=0)),"",IFERROR(INDEX($F$27:$F$36,MATCH(C844,($F$27:$F$36)*($D$27:$D$36&lt;&gt;0),0)),IF(OR(AND(D844=0,B844=0,B845&lt;&gt;0),AND(D844*D843&lt;0,B844&lt;&gt;0)),IF(D844=0,C844,C844*(1-ABS(D844)/(ABS(D844)+ABS(D843)))+C843*(1-ABS(D843)/(ABS(D844)+ABS(D843)))),"")))</f>
        <v>#NAME?</v>
      </c>
    </row>
    <row r="845" spans="2:5" x14ac:dyDescent="0.25">
      <c r="B845" t="e">
        <f t="shared" ca="1" si="27"/>
        <v>#NAME?</v>
      </c>
      <c r="C845">
        <v>802</v>
      </c>
      <c r="D845" t="e">
        <f t="shared" ca="1" si="26"/>
        <v>#NAME?</v>
      </c>
      <c r="E845" s="115" t="e">
        <f t="array" aca="1" ref="E845" ca="1">IF(OR(C844=0,AND(B846=0,C846=0)),"",IFERROR(INDEX($F$27:$F$36,MATCH(C845,($F$27:$F$36)*($D$27:$D$36&lt;&gt;0),0)),IF(OR(AND(D845=0,B845=0,B846&lt;&gt;0),AND(D845*D844&lt;0,B845&lt;&gt;0)),IF(D845=0,C845,C845*(1-ABS(D845)/(ABS(D845)+ABS(D844)))+C844*(1-ABS(D844)/(ABS(D845)+ABS(D844)))),"")))</f>
        <v>#NAME?</v>
      </c>
    </row>
    <row r="846" spans="2:5" x14ac:dyDescent="0.25">
      <c r="B846" t="e">
        <f t="shared" ca="1" si="27"/>
        <v>#NAME?</v>
      </c>
      <c r="C846">
        <v>803</v>
      </c>
      <c r="D846" t="e">
        <f t="shared" ca="1" si="26"/>
        <v>#NAME?</v>
      </c>
      <c r="E846" s="115" t="e">
        <f t="array" aca="1" ref="E846" ca="1">IF(OR(C845=0,AND(B847=0,C847=0)),"",IFERROR(INDEX($F$27:$F$36,MATCH(C846,($F$27:$F$36)*($D$27:$D$36&lt;&gt;0),0)),IF(OR(AND(D846=0,B846=0,B847&lt;&gt;0),AND(D846*D845&lt;0,B846&lt;&gt;0)),IF(D846=0,C846,C846*(1-ABS(D846)/(ABS(D846)+ABS(D845)))+C845*(1-ABS(D845)/(ABS(D846)+ABS(D845)))),"")))</f>
        <v>#NAME?</v>
      </c>
    </row>
    <row r="847" spans="2:5" x14ac:dyDescent="0.25">
      <c r="B847" t="e">
        <f t="shared" ca="1" si="27"/>
        <v>#NAME?</v>
      </c>
      <c r="C847">
        <v>804</v>
      </c>
      <c r="D847" t="e">
        <f t="shared" ca="1" si="26"/>
        <v>#NAME?</v>
      </c>
      <c r="E847" s="115" t="e">
        <f t="array" aca="1" ref="E847" ca="1">IF(OR(C846=0,AND(B848=0,C848=0)),"",IFERROR(INDEX($F$27:$F$36,MATCH(C847,($F$27:$F$36)*($D$27:$D$36&lt;&gt;0),0)),IF(OR(AND(D847=0,B847=0,B848&lt;&gt;0),AND(D847*D846&lt;0,B847&lt;&gt;0)),IF(D847=0,C847,C847*(1-ABS(D847)/(ABS(D847)+ABS(D846)))+C846*(1-ABS(D846)/(ABS(D847)+ABS(D846)))),"")))</f>
        <v>#NAME?</v>
      </c>
    </row>
    <row r="848" spans="2:5" x14ac:dyDescent="0.25">
      <c r="B848" t="e">
        <f t="shared" ca="1" si="27"/>
        <v>#NAME?</v>
      </c>
      <c r="C848">
        <v>805</v>
      </c>
      <c r="D848" t="e">
        <f t="shared" ca="1" si="26"/>
        <v>#NAME?</v>
      </c>
      <c r="E848" s="115" t="e">
        <f t="array" aca="1" ref="E848" ca="1">IF(OR(C847=0,AND(B849=0,C849=0)),"",IFERROR(INDEX($F$27:$F$36,MATCH(C848,($F$27:$F$36)*($D$27:$D$36&lt;&gt;0),0)),IF(OR(AND(D848=0,B848=0,B849&lt;&gt;0),AND(D848*D847&lt;0,B848&lt;&gt;0)),IF(D848=0,C848,C848*(1-ABS(D848)/(ABS(D848)+ABS(D847)))+C847*(1-ABS(D847)/(ABS(D848)+ABS(D847)))),"")))</f>
        <v>#NAME?</v>
      </c>
    </row>
    <row r="849" spans="2:5" x14ac:dyDescent="0.25">
      <c r="B849" t="e">
        <f t="shared" ca="1" si="27"/>
        <v>#NAME?</v>
      </c>
      <c r="C849">
        <v>806</v>
      </c>
      <c r="D849" t="e">
        <f t="shared" ca="1" si="26"/>
        <v>#NAME?</v>
      </c>
      <c r="E849" s="115" t="e">
        <f t="array" aca="1" ref="E849" ca="1">IF(OR(C848=0,AND(B850=0,C850=0)),"",IFERROR(INDEX($F$27:$F$36,MATCH(C849,($F$27:$F$36)*($D$27:$D$36&lt;&gt;0),0)),IF(OR(AND(D849=0,B849=0,B850&lt;&gt;0),AND(D849*D848&lt;0,B849&lt;&gt;0)),IF(D849=0,C849,C849*(1-ABS(D849)/(ABS(D849)+ABS(D848)))+C848*(1-ABS(D848)/(ABS(D849)+ABS(D848)))),"")))</f>
        <v>#NAME?</v>
      </c>
    </row>
    <row r="850" spans="2:5" x14ac:dyDescent="0.25">
      <c r="B850" t="e">
        <f t="shared" ca="1" si="27"/>
        <v>#NAME?</v>
      </c>
      <c r="C850">
        <v>807</v>
      </c>
      <c r="D850" t="e">
        <f t="shared" ca="1" si="26"/>
        <v>#NAME?</v>
      </c>
      <c r="E850" s="115" t="e">
        <f t="array" aca="1" ref="E850" ca="1">IF(OR(C849=0,AND(B851=0,C851=0)),"",IFERROR(INDEX($F$27:$F$36,MATCH(C850,($F$27:$F$36)*($D$27:$D$36&lt;&gt;0),0)),IF(OR(AND(D850=0,B850=0,B851&lt;&gt;0),AND(D850*D849&lt;0,B850&lt;&gt;0)),IF(D850=0,C850,C850*(1-ABS(D850)/(ABS(D850)+ABS(D849)))+C849*(1-ABS(D849)/(ABS(D850)+ABS(D849)))),"")))</f>
        <v>#NAME?</v>
      </c>
    </row>
    <row r="851" spans="2:5" x14ac:dyDescent="0.25">
      <c r="B851" t="e">
        <f t="shared" ca="1" si="27"/>
        <v>#NAME?</v>
      </c>
      <c r="C851">
        <v>808</v>
      </c>
      <c r="D851" t="e">
        <f t="shared" ca="1" si="26"/>
        <v>#NAME?</v>
      </c>
      <c r="E851" s="115" t="e">
        <f t="array" aca="1" ref="E851" ca="1">IF(OR(C850=0,AND(B852=0,C852=0)),"",IFERROR(INDEX($F$27:$F$36,MATCH(C851,($F$27:$F$36)*($D$27:$D$36&lt;&gt;0),0)),IF(OR(AND(D851=0,B851=0,B852&lt;&gt;0),AND(D851*D850&lt;0,B851&lt;&gt;0)),IF(D851=0,C851,C851*(1-ABS(D851)/(ABS(D851)+ABS(D850)))+C850*(1-ABS(D850)/(ABS(D851)+ABS(D850)))),"")))</f>
        <v>#NAME?</v>
      </c>
    </row>
    <row r="852" spans="2:5" x14ac:dyDescent="0.25">
      <c r="B852" t="e">
        <f t="shared" ca="1" si="27"/>
        <v>#NAME?</v>
      </c>
      <c r="C852">
        <v>809</v>
      </c>
      <c r="D852" t="e">
        <f t="shared" ca="1" si="26"/>
        <v>#NAME?</v>
      </c>
      <c r="E852" s="115" t="e">
        <f t="array" aca="1" ref="E852" ca="1">IF(OR(C851=0,AND(B853=0,C853=0)),"",IFERROR(INDEX($F$27:$F$36,MATCH(C852,($F$27:$F$36)*($D$27:$D$36&lt;&gt;0),0)),IF(OR(AND(D852=0,B852=0,B853&lt;&gt;0),AND(D852*D851&lt;0,B852&lt;&gt;0)),IF(D852=0,C852,C852*(1-ABS(D852)/(ABS(D852)+ABS(D851)))+C851*(1-ABS(D851)/(ABS(D852)+ABS(D851)))),"")))</f>
        <v>#NAME?</v>
      </c>
    </row>
    <row r="853" spans="2:5" x14ac:dyDescent="0.25">
      <c r="B853" t="e">
        <f t="shared" ca="1" si="27"/>
        <v>#NAME?</v>
      </c>
      <c r="C853">
        <v>810</v>
      </c>
      <c r="D853" t="e">
        <f t="shared" ca="1" si="26"/>
        <v>#NAME?</v>
      </c>
      <c r="E853" s="115" t="e">
        <f t="array" aca="1" ref="E853" ca="1">IF(OR(C852=0,AND(B854=0,C854=0)),"",IFERROR(INDEX($F$27:$F$36,MATCH(C853,($F$27:$F$36)*($D$27:$D$36&lt;&gt;0),0)),IF(OR(AND(D853=0,B853=0,B854&lt;&gt;0),AND(D853*D852&lt;0,B853&lt;&gt;0)),IF(D853=0,C853,C853*(1-ABS(D853)/(ABS(D853)+ABS(D852)))+C852*(1-ABS(D852)/(ABS(D853)+ABS(D852)))),"")))</f>
        <v>#NAME?</v>
      </c>
    </row>
    <row r="854" spans="2:5" x14ac:dyDescent="0.25">
      <c r="B854" t="e">
        <f t="shared" ca="1" si="27"/>
        <v>#NAME?</v>
      </c>
      <c r="C854">
        <v>811</v>
      </c>
      <c r="D854" t="e">
        <f t="shared" ca="1" si="26"/>
        <v>#NAME?</v>
      </c>
      <c r="E854" s="115" t="e">
        <f t="array" aca="1" ref="E854" ca="1">IF(OR(C853=0,AND(B855=0,C855=0)),"",IFERROR(INDEX($F$27:$F$36,MATCH(C854,($F$27:$F$36)*($D$27:$D$36&lt;&gt;0),0)),IF(OR(AND(D854=0,B854=0,B855&lt;&gt;0),AND(D854*D853&lt;0,B854&lt;&gt;0)),IF(D854=0,C854,C854*(1-ABS(D854)/(ABS(D854)+ABS(D853)))+C853*(1-ABS(D853)/(ABS(D854)+ABS(D853)))),"")))</f>
        <v>#NAME?</v>
      </c>
    </row>
    <row r="855" spans="2:5" x14ac:dyDescent="0.25">
      <c r="B855" t="e">
        <f t="shared" ca="1" si="27"/>
        <v>#NAME?</v>
      </c>
      <c r="C855">
        <v>812</v>
      </c>
      <c r="D855" t="e">
        <f t="shared" ca="1" si="26"/>
        <v>#NAME?</v>
      </c>
      <c r="E855" s="115" t="e">
        <f t="array" aca="1" ref="E855" ca="1">IF(OR(C854=0,AND(B856=0,C856=0)),"",IFERROR(INDEX($F$27:$F$36,MATCH(C855,($F$27:$F$36)*($D$27:$D$36&lt;&gt;0),0)),IF(OR(AND(D855=0,B855=0,B856&lt;&gt;0),AND(D855*D854&lt;0,B855&lt;&gt;0)),IF(D855=0,C855,C855*(1-ABS(D855)/(ABS(D855)+ABS(D854)))+C854*(1-ABS(D854)/(ABS(D855)+ABS(D854)))),"")))</f>
        <v>#NAME?</v>
      </c>
    </row>
    <row r="856" spans="2:5" x14ac:dyDescent="0.25">
      <c r="B856" t="e">
        <f t="shared" ca="1" si="27"/>
        <v>#NAME?</v>
      </c>
      <c r="C856">
        <v>813</v>
      </c>
      <c r="D856" t="e">
        <f t="shared" ca="1" si="26"/>
        <v>#NAME?</v>
      </c>
      <c r="E856" s="115" t="e">
        <f t="array" aca="1" ref="E856" ca="1">IF(OR(C855=0,AND(B857=0,C857=0)),"",IFERROR(INDEX($F$27:$F$36,MATCH(C856,($F$27:$F$36)*($D$27:$D$36&lt;&gt;0),0)),IF(OR(AND(D856=0,B856=0,B857&lt;&gt;0),AND(D856*D855&lt;0,B856&lt;&gt;0)),IF(D856=0,C856,C856*(1-ABS(D856)/(ABS(D856)+ABS(D855)))+C855*(1-ABS(D855)/(ABS(D856)+ABS(D855)))),"")))</f>
        <v>#NAME?</v>
      </c>
    </row>
    <row r="857" spans="2:5" x14ac:dyDescent="0.25">
      <c r="B857" t="e">
        <f t="shared" ca="1" si="27"/>
        <v>#NAME?</v>
      </c>
      <c r="C857">
        <v>814</v>
      </c>
      <c r="D857" t="e">
        <f t="shared" ca="1" si="26"/>
        <v>#NAME?</v>
      </c>
      <c r="E857" s="115" t="e">
        <f t="array" aca="1" ref="E857" ca="1">IF(OR(C856=0,AND(B858=0,C858=0)),"",IFERROR(INDEX($F$27:$F$36,MATCH(C857,($F$27:$F$36)*($D$27:$D$36&lt;&gt;0),0)),IF(OR(AND(D857=0,B857=0,B858&lt;&gt;0),AND(D857*D856&lt;0,B857&lt;&gt;0)),IF(D857=0,C857,C857*(1-ABS(D857)/(ABS(D857)+ABS(D856)))+C856*(1-ABS(D856)/(ABS(D857)+ABS(D856)))),"")))</f>
        <v>#NAME?</v>
      </c>
    </row>
    <row r="858" spans="2:5" x14ac:dyDescent="0.25">
      <c r="B858" t="e">
        <f t="shared" ca="1" si="27"/>
        <v>#NAME?</v>
      </c>
      <c r="C858">
        <v>815</v>
      </c>
      <c r="D858" t="e">
        <f t="shared" ca="1" si="26"/>
        <v>#NAME?</v>
      </c>
      <c r="E858" s="115" t="e">
        <f t="array" aca="1" ref="E858" ca="1">IF(OR(C857=0,AND(B859=0,C859=0)),"",IFERROR(INDEX($F$27:$F$36,MATCH(C858,($F$27:$F$36)*($D$27:$D$36&lt;&gt;0),0)),IF(OR(AND(D858=0,B858=0,B859&lt;&gt;0),AND(D858*D857&lt;0,B858&lt;&gt;0)),IF(D858=0,C858,C858*(1-ABS(D858)/(ABS(D858)+ABS(D857)))+C857*(1-ABS(D857)/(ABS(D858)+ABS(D857)))),"")))</f>
        <v>#NAME?</v>
      </c>
    </row>
    <row r="859" spans="2:5" x14ac:dyDescent="0.25">
      <c r="B859" t="e">
        <f t="shared" ca="1" si="27"/>
        <v>#NAME?</v>
      </c>
      <c r="C859">
        <v>816</v>
      </c>
      <c r="D859" t="e">
        <f t="shared" ca="1" si="26"/>
        <v>#NAME?</v>
      </c>
      <c r="E859" s="115" t="e">
        <f t="array" aca="1" ref="E859" ca="1">IF(OR(C858=0,AND(B860=0,C860=0)),"",IFERROR(INDEX($F$27:$F$36,MATCH(C859,($F$27:$F$36)*($D$27:$D$36&lt;&gt;0),0)),IF(OR(AND(D859=0,B859=0,B860&lt;&gt;0),AND(D859*D858&lt;0,B859&lt;&gt;0)),IF(D859=0,C859,C859*(1-ABS(D859)/(ABS(D859)+ABS(D858)))+C858*(1-ABS(D858)/(ABS(D859)+ABS(D858)))),"")))</f>
        <v>#NAME?</v>
      </c>
    </row>
    <row r="860" spans="2:5" x14ac:dyDescent="0.25">
      <c r="B860" t="e">
        <f t="shared" ca="1" si="27"/>
        <v>#NAME?</v>
      </c>
      <c r="C860">
        <v>817</v>
      </c>
      <c r="D860" t="e">
        <f t="shared" ca="1" si="26"/>
        <v>#NAME?</v>
      </c>
      <c r="E860" s="115" t="e">
        <f t="array" aca="1" ref="E860" ca="1">IF(OR(C859=0,AND(B861=0,C861=0)),"",IFERROR(INDEX($F$27:$F$36,MATCH(C860,($F$27:$F$36)*($D$27:$D$36&lt;&gt;0),0)),IF(OR(AND(D860=0,B860=0,B861&lt;&gt;0),AND(D860*D859&lt;0,B860&lt;&gt;0)),IF(D860=0,C860,C860*(1-ABS(D860)/(ABS(D860)+ABS(D859)))+C859*(1-ABS(D859)/(ABS(D860)+ABS(D859)))),"")))</f>
        <v>#NAME?</v>
      </c>
    </row>
    <row r="861" spans="2:5" x14ac:dyDescent="0.25">
      <c r="B861" t="e">
        <f t="shared" ca="1" si="27"/>
        <v>#NAME?</v>
      </c>
      <c r="C861">
        <v>818</v>
      </c>
      <c r="D861" t="e">
        <f t="shared" ca="1" si="26"/>
        <v>#NAME?</v>
      </c>
      <c r="E861" s="115" t="e">
        <f t="array" aca="1" ref="E861" ca="1">IF(OR(C860=0,AND(B862=0,C862=0)),"",IFERROR(INDEX($F$27:$F$36,MATCH(C861,($F$27:$F$36)*($D$27:$D$36&lt;&gt;0),0)),IF(OR(AND(D861=0,B861=0,B862&lt;&gt;0),AND(D861*D860&lt;0,B861&lt;&gt;0)),IF(D861=0,C861,C861*(1-ABS(D861)/(ABS(D861)+ABS(D860)))+C860*(1-ABS(D860)/(ABS(D861)+ABS(D860)))),"")))</f>
        <v>#NAME?</v>
      </c>
    </row>
    <row r="862" spans="2:5" x14ac:dyDescent="0.25">
      <c r="B862" t="e">
        <f t="shared" ca="1" si="27"/>
        <v>#NAME?</v>
      </c>
      <c r="C862">
        <v>819</v>
      </c>
      <c r="D862" t="e">
        <f t="shared" ca="1" si="26"/>
        <v>#NAME?</v>
      </c>
      <c r="E862" s="115" t="e">
        <f t="array" aca="1" ref="E862" ca="1">IF(OR(C861=0,AND(B863=0,C863=0)),"",IFERROR(INDEX($F$27:$F$36,MATCH(C862,($F$27:$F$36)*($D$27:$D$36&lt;&gt;0),0)),IF(OR(AND(D862=0,B862=0,B863&lt;&gt;0),AND(D862*D861&lt;0,B862&lt;&gt;0)),IF(D862=0,C862,C862*(1-ABS(D862)/(ABS(D862)+ABS(D861)))+C861*(1-ABS(D861)/(ABS(D862)+ABS(D861)))),"")))</f>
        <v>#NAME?</v>
      </c>
    </row>
    <row r="863" spans="2:5" x14ac:dyDescent="0.25">
      <c r="B863" t="e">
        <f t="shared" ca="1" si="27"/>
        <v>#NAME?</v>
      </c>
      <c r="C863">
        <v>820</v>
      </c>
      <c r="D863" t="e">
        <f t="shared" ca="1" si="26"/>
        <v>#NAME?</v>
      </c>
      <c r="E863" s="115" t="e">
        <f t="array" aca="1" ref="E863" ca="1">IF(OR(C862=0,AND(B864=0,C864=0)),"",IFERROR(INDEX($F$27:$F$36,MATCH(C863,($F$27:$F$36)*($D$27:$D$36&lt;&gt;0),0)),IF(OR(AND(D863=0,B863=0,B864&lt;&gt;0),AND(D863*D862&lt;0,B863&lt;&gt;0)),IF(D863=0,C863,C863*(1-ABS(D863)/(ABS(D863)+ABS(D862)))+C862*(1-ABS(D862)/(ABS(D863)+ABS(D862)))),"")))</f>
        <v>#NAME?</v>
      </c>
    </row>
    <row r="864" spans="2:5" x14ac:dyDescent="0.25">
      <c r="B864" t="e">
        <f t="shared" ca="1" si="27"/>
        <v>#NAME?</v>
      </c>
      <c r="C864">
        <v>821</v>
      </c>
      <c r="D864" t="e">
        <f t="shared" ca="1" si="26"/>
        <v>#NAME?</v>
      </c>
      <c r="E864" s="115" t="e">
        <f t="array" aca="1" ref="E864" ca="1">IF(OR(C863=0,AND(B865=0,C865=0)),"",IFERROR(INDEX($F$27:$F$36,MATCH(C864,($F$27:$F$36)*($D$27:$D$36&lt;&gt;0),0)),IF(OR(AND(D864=0,B864=0,B865&lt;&gt;0),AND(D864*D863&lt;0,B864&lt;&gt;0)),IF(D864=0,C864,C864*(1-ABS(D864)/(ABS(D864)+ABS(D863)))+C863*(1-ABS(D863)/(ABS(D864)+ABS(D863)))),"")))</f>
        <v>#NAME?</v>
      </c>
    </row>
    <row r="865" spans="2:5" x14ac:dyDescent="0.25">
      <c r="B865" t="e">
        <f t="shared" ca="1" si="27"/>
        <v>#NAME?</v>
      </c>
      <c r="C865">
        <v>822</v>
      </c>
      <c r="D865" t="e">
        <f t="shared" ca="1" si="26"/>
        <v>#NAME?</v>
      </c>
      <c r="E865" s="115" t="e">
        <f t="array" aca="1" ref="E865" ca="1">IF(OR(C864=0,AND(B866=0,C866=0)),"",IFERROR(INDEX($F$27:$F$36,MATCH(C865,($F$27:$F$36)*($D$27:$D$36&lt;&gt;0),0)),IF(OR(AND(D865=0,B865=0,B866&lt;&gt;0),AND(D865*D864&lt;0,B865&lt;&gt;0)),IF(D865=0,C865,C865*(1-ABS(D865)/(ABS(D865)+ABS(D864)))+C864*(1-ABS(D864)/(ABS(D865)+ABS(D864)))),"")))</f>
        <v>#NAME?</v>
      </c>
    </row>
    <row r="866" spans="2:5" x14ac:dyDescent="0.25">
      <c r="B866" t="e">
        <f t="shared" ca="1" si="27"/>
        <v>#NAME?</v>
      </c>
      <c r="C866">
        <v>823</v>
      </c>
      <c r="D866" t="e">
        <f t="shared" ca="1" si="26"/>
        <v>#NAME?</v>
      </c>
      <c r="E866" s="115" t="e">
        <f t="array" aca="1" ref="E866" ca="1">IF(OR(C865=0,AND(B867=0,C867=0)),"",IFERROR(INDEX($F$27:$F$36,MATCH(C866,($F$27:$F$36)*($D$27:$D$36&lt;&gt;0),0)),IF(OR(AND(D866=0,B866=0,B867&lt;&gt;0),AND(D866*D865&lt;0,B866&lt;&gt;0)),IF(D866=0,C866,C866*(1-ABS(D866)/(ABS(D866)+ABS(D865)))+C865*(1-ABS(D865)/(ABS(D866)+ABS(D865)))),"")))</f>
        <v>#NAME?</v>
      </c>
    </row>
    <row r="867" spans="2:5" x14ac:dyDescent="0.25">
      <c r="B867" t="e">
        <f t="shared" ca="1" si="27"/>
        <v>#NAME?</v>
      </c>
      <c r="C867">
        <v>824</v>
      </c>
      <c r="D867" t="e">
        <f t="shared" ca="1" si="26"/>
        <v>#NAME?</v>
      </c>
      <c r="E867" s="115" t="e">
        <f t="array" aca="1" ref="E867" ca="1">IF(OR(C866=0,AND(B868=0,C868=0)),"",IFERROR(INDEX($F$27:$F$36,MATCH(C867,($F$27:$F$36)*($D$27:$D$36&lt;&gt;0),0)),IF(OR(AND(D867=0,B867=0,B868&lt;&gt;0),AND(D867*D866&lt;0,B867&lt;&gt;0)),IF(D867=0,C867,C867*(1-ABS(D867)/(ABS(D867)+ABS(D866)))+C866*(1-ABS(D866)/(ABS(D867)+ABS(D866)))),"")))</f>
        <v>#NAME?</v>
      </c>
    </row>
    <row r="868" spans="2:5" x14ac:dyDescent="0.25">
      <c r="B868" t="e">
        <f t="shared" ca="1" si="27"/>
        <v>#NAME?</v>
      </c>
      <c r="C868">
        <v>825</v>
      </c>
      <c r="D868" t="e">
        <f t="shared" ca="1" si="26"/>
        <v>#NAME?</v>
      </c>
      <c r="E868" s="115" t="e">
        <f t="array" aca="1" ref="E868" ca="1">IF(OR(C867=0,AND(B869=0,C869=0)),"",IFERROR(INDEX($F$27:$F$36,MATCH(C868,($F$27:$F$36)*($D$27:$D$36&lt;&gt;0),0)),IF(OR(AND(D868=0,B868=0,B869&lt;&gt;0),AND(D868*D867&lt;0,B868&lt;&gt;0)),IF(D868=0,C868,C868*(1-ABS(D868)/(ABS(D868)+ABS(D867)))+C867*(1-ABS(D867)/(ABS(D868)+ABS(D867)))),"")))</f>
        <v>#NAME?</v>
      </c>
    </row>
    <row r="869" spans="2:5" x14ac:dyDescent="0.25">
      <c r="B869" t="e">
        <f t="shared" ca="1" si="27"/>
        <v>#NAME?</v>
      </c>
      <c r="C869">
        <v>826</v>
      </c>
      <c r="D869" t="e">
        <f t="shared" ca="1" si="26"/>
        <v>#NAME?</v>
      </c>
      <c r="E869" s="115" t="e">
        <f t="array" aca="1" ref="E869" ca="1">IF(OR(C868=0,AND(B870=0,C870=0)),"",IFERROR(INDEX($F$27:$F$36,MATCH(C869,($F$27:$F$36)*($D$27:$D$36&lt;&gt;0),0)),IF(OR(AND(D869=0,B869=0,B870&lt;&gt;0),AND(D869*D868&lt;0,B869&lt;&gt;0)),IF(D869=0,C869,C869*(1-ABS(D869)/(ABS(D869)+ABS(D868)))+C868*(1-ABS(D868)/(ABS(D869)+ABS(D868)))),"")))</f>
        <v>#NAME?</v>
      </c>
    </row>
    <row r="870" spans="2:5" x14ac:dyDescent="0.25">
      <c r="B870" t="e">
        <f t="shared" ca="1" si="27"/>
        <v>#NAME?</v>
      </c>
      <c r="C870">
        <v>827</v>
      </c>
      <c r="D870" t="e">
        <f t="shared" ca="1" si="26"/>
        <v>#NAME?</v>
      </c>
      <c r="E870" s="115" t="e">
        <f t="array" aca="1" ref="E870" ca="1">IF(OR(C869=0,AND(B871=0,C871=0)),"",IFERROR(INDEX($F$27:$F$36,MATCH(C870,($F$27:$F$36)*($D$27:$D$36&lt;&gt;0),0)),IF(OR(AND(D870=0,B870=0,B871&lt;&gt;0),AND(D870*D869&lt;0,B870&lt;&gt;0)),IF(D870=0,C870,C870*(1-ABS(D870)/(ABS(D870)+ABS(D869)))+C869*(1-ABS(D869)/(ABS(D870)+ABS(D869)))),"")))</f>
        <v>#NAME?</v>
      </c>
    </row>
    <row r="871" spans="2:5" x14ac:dyDescent="0.25">
      <c r="B871" t="e">
        <f t="shared" ca="1" si="27"/>
        <v>#NAME?</v>
      </c>
      <c r="C871">
        <v>828</v>
      </c>
      <c r="D871" t="e">
        <f t="shared" ca="1" si="26"/>
        <v>#NAME?</v>
      </c>
      <c r="E871" s="115" t="e">
        <f t="array" aca="1" ref="E871" ca="1">IF(OR(C870=0,AND(B872=0,C872=0)),"",IFERROR(INDEX($F$27:$F$36,MATCH(C871,($F$27:$F$36)*($D$27:$D$36&lt;&gt;0),0)),IF(OR(AND(D871=0,B871=0,B872&lt;&gt;0),AND(D871*D870&lt;0,B871&lt;&gt;0)),IF(D871=0,C871,C871*(1-ABS(D871)/(ABS(D871)+ABS(D870)))+C870*(1-ABS(D870)/(ABS(D871)+ABS(D870)))),"")))</f>
        <v>#NAME?</v>
      </c>
    </row>
    <row r="872" spans="2:5" x14ac:dyDescent="0.25">
      <c r="B872" t="e">
        <f t="shared" ca="1" si="27"/>
        <v>#NAME?</v>
      </c>
      <c r="C872">
        <v>829</v>
      </c>
      <c r="D872" t="e">
        <f t="shared" ca="1" si="26"/>
        <v>#NAME?</v>
      </c>
      <c r="E872" s="115" t="e">
        <f t="array" aca="1" ref="E872" ca="1">IF(OR(C871=0,AND(B873=0,C873=0)),"",IFERROR(INDEX($F$27:$F$36,MATCH(C872,($F$27:$F$36)*($D$27:$D$36&lt;&gt;0),0)),IF(OR(AND(D872=0,B872=0,B873&lt;&gt;0),AND(D872*D871&lt;0,B872&lt;&gt;0)),IF(D872=0,C872,C872*(1-ABS(D872)/(ABS(D872)+ABS(D871)))+C871*(1-ABS(D871)/(ABS(D872)+ABS(D871)))),"")))</f>
        <v>#NAME?</v>
      </c>
    </row>
    <row r="873" spans="2:5" x14ac:dyDescent="0.25">
      <c r="B873" t="e">
        <f t="shared" ca="1" si="27"/>
        <v>#NAME?</v>
      </c>
      <c r="C873">
        <v>830</v>
      </c>
      <c r="D873" t="e">
        <f t="shared" ca="1" si="26"/>
        <v>#NAME?</v>
      </c>
      <c r="E873" s="115" t="e">
        <f t="array" aca="1" ref="E873" ca="1">IF(OR(C872=0,AND(B874=0,C874=0)),"",IFERROR(INDEX($F$27:$F$36,MATCH(C873,($F$27:$F$36)*($D$27:$D$36&lt;&gt;0),0)),IF(OR(AND(D873=0,B873=0,B874&lt;&gt;0),AND(D873*D872&lt;0,B873&lt;&gt;0)),IF(D873=0,C873,C873*(1-ABS(D873)/(ABS(D873)+ABS(D872)))+C872*(1-ABS(D872)/(ABS(D873)+ABS(D872)))),"")))</f>
        <v>#NAME?</v>
      </c>
    </row>
    <row r="874" spans="2:5" x14ac:dyDescent="0.25">
      <c r="B874" t="e">
        <f t="shared" ca="1" si="27"/>
        <v>#NAME?</v>
      </c>
      <c r="C874">
        <v>831</v>
      </c>
      <c r="D874" t="e">
        <f t="shared" ca="1" si="26"/>
        <v>#NAME?</v>
      </c>
      <c r="E874" s="115" t="e">
        <f t="array" aca="1" ref="E874" ca="1">IF(OR(C873=0,AND(B875=0,C875=0)),"",IFERROR(INDEX($F$27:$F$36,MATCH(C874,($F$27:$F$36)*($D$27:$D$36&lt;&gt;0),0)),IF(OR(AND(D874=0,B874=0,B875&lt;&gt;0),AND(D874*D873&lt;0,B874&lt;&gt;0)),IF(D874=0,C874,C874*(1-ABS(D874)/(ABS(D874)+ABS(D873)))+C873*(1-ABS(D873)/(ABS(D874)+ABS(D873)))),"")))</f>
        <v>#NAME?</v>
      </c>
    </row>
    <row r="875" spans="2:5" x14ac:dyDescent="0.25">
      <c r="B875" t="e">
        <f t="shared" ca="1" si="27"/>
        <v>#NAME?</v>
      </c>
      <c r="C875">
        <v>832</v>
      </c>
      <c r="D875" t="e">
        <f t="shared" ref="D875:D938" ca="1" si="28">SUMPRODUCT(--($J$27:$J$37&gt;0),--($C875-$F$27:$F$37&gt;0),($D$27:$D$37),($C875-$F$27:$F$37))+SUMPRODUCT(--($J$27:$J$37&lt;0),--($F$27:$F$37-$C875&gt;0),($D$27:$D$37),($F$27:$F$37-$C875))-SUMPRODUCT($D$27:$D$37,$E$27:$E$37)</f>
        <v>#NAME?</v>
      </c>
      <c r="E875" s="115" t="e">
        <f t="array" aca="1" ref="E875" ca="1">IF(OR(C874=0,AND(B876=0,C876=0)),"",IFERROR(INDEX($F$27:$F$36,MATCH(C875,($F$27:$F$36)*($D$27:$D$36&lt;&gt;0),0)),IF(OR(AND(D875=0,B875=0,B876&lt;&gt;0),AND(D875*D874&lt;0,B875&lt;&gt;0)),IF(D875=0,C875,C875*(1-ABS(D875)/(ABS(D875)+ABS(D874)))+C874*(1-ABS(D874)/(ABS(D875)+ABS(D874)))),"")))</f>
        <v>#NAME?</v>
      </c>
    </row>
    <row r="876" spans="2:5" x14ac:dyDescent="0.25">
      <c r="B876" t="e">
        <f t="shared" ref="B876:B939" ca="1" si="29">ROUND((D876-D875)/(C876-C875),12)</f>
        <v>#NAME?</v>
      </c>
      <c r="C876">
        <v>833</v>
      </c>
      <c r="D876" t="e">
        <f t="shared" ca="1" si="28"/>
        <v>#NAME?</v>
      </c>
      <c r="E876" s="115" t="e">
        <f t="array" aca="1" ref="E876" ca="1">IF(OR(C875=0,AND(B877=0,C877=0)),"",IFERROR(INDEX($F$27:$F$36,MATCH(C876,($F$27:$F$36)*($D$27:$D$36&lt;&gt;0),0)),IF(OR(AND(D876=0,B876=0,B877&lt;&gt;0),AND(D876*D875&lt;0,B876&lt;&gt;0)),IF(D876=0,C876,C876*(1-ABS(D876)/(ABS(D876)+ABS(D875)))+C875*(1-ABS(D875)/(ABS(D876)+ABS(D875)))),"")))</f>
        <v>#NAME?</v>
      </c>
    </row>
    <row r="877" spans="2:5" x14ac:dyDescent="0.25">
      <c r="B877" t="e">
        <f t="shared" ca="1" si="29"/>
        <v>#NAME?</v>
      </c>
      <c r="C877">
        <v>834</v>
      </c>
      <c r="D877" t="e">
        <f t="shared" ca="1" si="28"/>
        <v>#NAME?</v>
      </c>
      <c r="E877" s="115" t="e">
        <f t="array" aca="1" ref="E877" ca="1">IF(OR(C876=0,AND(B878=0,C878=0)),"",IFERROR(INDEX($F$27:$F$36,MATCH(C877,($F$27:$F$36)*($D$27:$D$36&lt;&gt;0),0)),IF(OR(AND(D877=0,B877=0,B878&lt;&gt;0),AND(D877*D876&lt;0,B877&lt;&gt;0)),IF(D877=0,C877,C877*(1-ABS(D877)/(ABS(D877)+ABS(D876)))+C876*(1-ABS(D876)/(ABS(D877)+ABS(D876)))),"")))</f>
        <v>#NAME?</v>
      </c>
    </row>
    <row r="878" spans="2:5" x14ac:dyDescent="0.25">
      <c r="B878" t="e">
        <f t="shared" ca="1" si="29"/>
        <v>#NAME?</v>
      </c>
      <c r="C878">
        <v>835</v>
      </c>
      <c r="D878" t="e">
        <f t="shared" ca="1" si="28"/>
        <v>#NAME?</v>
      </c>
      <c r="E878" s="115" t="e">
        <f t="array" aca="1" ref="E878" ca="1">IF(OR(C877=0,AND(B879=0,C879=0)),"",IFERROR(INDEX($F$27:$F$36,MATCH(C878,($F$27:$F$36)*($D$27:$D$36&lt;&gt;0),0)),IF(OR(AND(D878=0,B878=0,B879&lt;&gt;0),AND(D878*D877&lt;0,B878&lt;&gt;0)),IF(D878=0,C878,C878*(1-ABS(D878)/(ABS(D878)+ABS(D877)))+C877*(1-ABS(D877)/(ABS(D878)+ABS(D877)))),"")))</f>
        <v>#NAME?</v>
      </c>
    </row>
    <row r="879" spans="2:5" x14ac:dyDescent="0.25">
      <c r="B879" t="e">
        <f t="shared" ca="1" si="29"/>
        <v>#NAME?</v>
      </c>
      <c r="C879">
        <v>836</v>
      </c>
      <c r="D879" t="e">
        <f t="shared" ca="1" si="28"/>
        <v>#NAME?</v>
      </c>
      <c r="E879" s="115" t="e">
        <f t="array" aca="1" ref="E879" ca="1">IF(OR(C878=0,AND(B880=0,C880=0)),"",IFERROR(INDEX($F$27:$F$36,MATCH(C879,($F$27:$F$36)*($D$27:$D$36&lt;&gt;0),0)),IF(OR(AND(D879=0,B879=0,B880&lt;&gt;0),AND(D879*D878&lt;0,B879&lt;&gt;0)),IF(D879=0,C879,C879*(1-ABS(D879)/(ABS(D879)+ABS(D878)))+C878*(1-ABS(D878)/(ABS(D879)+ABS(D878)))),"")))</f>
        <v>#NAME?</v>
      </c>
    </row>
    <row r="880" spans="2:5" x14ac:dyDescent="0.25">
      <c r="B880" t="e">
        <f t="shared" ca="1" si="29"/>
        <v>#NAME?</v>
      </c>
      <c r="C880">
        <v>837</v>
      </c>
      <c r="D880" t="e">
        <f t="shared" ca="1" si="28"/>
        <v>#NAME?</v>
      </c>
      <c r="E880" s="115" t="e">
        <f t="array" aca="1" ref="E880" ca="1">IF(OR(C879=0,AND(B881=0,C881=0)),"",IFERROR(INDEX($F$27:$F$36,MATCH(C880,($F$27:$F$36)*($D$27:$D$36&lt;&gt;0),0)),IF(OR(AND(D880=0,B880=0,B881&lt;&gt;0),AND(D880*D879&lt;0,B880&lt;&gt;0)),IF(D880=0,C880,C880*(1-ABS(D880)/(ABS(D880)+ABS(D879)))+C879*(1-ABS(D879)/(ABS(D880)+ABS(D879)))),"")))</f>
        <v>#NAME?</v>
      </c>
    </row>
    <row r="881" spans="2:5" x14ac:dyDescent="0.25">
      <c r="B881" t="e">
        <f t="shared" ca="1" si="29"/>
        <v>#NAME?</v>
      </c>
      <c r="C881">
        <v>838</v>
      </c>
      <c r="D881" t="e">
        <f t="shared" ca="1" si="28"/>
        <v>#NAME?</v>
      </c>
      <c r="E881" s="115" t="e">
        <f t="array" aca="1" ref="E881" ca="1">IF(OR(C880=0,AND(B882=0,C882=0)),"",IFERROR(INDEX($F$27:$F$36,MATCH(C881,($F$27:$F$36)*($D$27:$D$36&lt;&gt;0),0)),IF(OR(AND(D881=0,B881=0,B882&lt;&gt;0),AND(D881*D880&lt;0,B881&lt;&gt;0)),IF(D881=0,C881,C881*(1-ABS(D881)/(ABS(D881)+ABS(D880)))+C880*(1-ABS(D880)/(ABS(D881)+ABS(D880)))),"")))</f>
        <v>#NAME?</v>
      </c>
    </row>
    <row r="882" spans="2:5" x14ac:dyDescent="0.25">
      <c r="B882" t="e">
        <f t="shared" ca="1" si="29"/>
        <v>#NAME?</v>
      </c>
      <c r="C882">
        <v>839</v>
      </c>
      <c r="D882" t="e">
        <f t="shared" ca="1" si="28"/>
        <v>#NAME?</v>
      </c>
      <c r="E882" s="115" t="e">
        <f t="array" aca="1" ref="E882" ca="1">IF(OR(C881=0,AND(B883=0,C883=0)),"",IFERROR(INDEX($F$27:$F$36,MATCH(C882,($F$27:$F$36)*($D$27:$D$36&lt;&gt;0),0)),IF(OR(AND(D882=0,B882=0,B883&lt;&gt;0),AND(D882*D881&lt;0,B882&lt;&gt;0)),IF(D882=0,C882,C882*(1-ABS(D882)/(ABS(D882)+ABS(D881)))+C881*(1-ABS(D881)/(ABS(D882)+ABS(D881)))),"")))</f>
        <v>#NAME?</v>
      </c>
    </row>
    <row r="883" spans="2:5" x14ac:dyDescent="0.25">
      <c r="B883" t="e">
        <f t="shared" ca="1" si="29"/>
        <v>#NAME?</v>
      </c>
      <c r="C883">
        <v>840</v>
      </c>
      <c r="D883" t="e">
        <f t="shared" ca="1" si="28"/>
        <v>#NAME?</v>
      </c>
      <c r="E883" s="115" t="e">
        <f t="array" aca="1" ref="E883" ca="1">IF(OR(C882=0,AND(B884=0,C884=0)),"",IFERROR(INDEX($F$27:$F$36,MATCH(C883,($F$27:$F$36)*($D$27:$D$36&lt;&gt;0),0)),IF(OR(AND(D883=0,B883=0,B884&lt;&gt;0),AND(D883*D882&lt;0,B883&lt;&gt;0)),IF(D883=0,C883,C883*(1-ABS(D883)/(ABS(D883)+ABS(D882)))+C882*(1-ABS(D882)/(ABS(D883)+ABS(D882)))),"")))</f>
        <v>#NAME?</v>
      </c>
    </row>
    <row r="884" spans="2:5" x14ac:dyDescent="0.25">
      <c r="B884" t="e">
        <f t="shared" ca="1" si="29"/>
        <v>#NAME?</v>
      </c>
      <c r="C884">
        <v>841</v>
      </c>
      <c r="D884" t="e">
        <f t="shared" ca="1" si="28"/>
        <v>#NAME?</v>
      </c>
      <c r="E884" s="115" t="e">
        <f t="array" aca="1" ref="E884" ca="1">IF(OR(C883=0,AND(B885=0,C885=0)),"",IFERROR(INDEX($F$27:$F$36,MATCH(C884,($F$27:$F$36)*($D$27:$D$36&lt;&gt;0),0)),IF(OR(AND(D884=0,B884=0,B885&lt;&gt;0),AND(D884*D883&lt;0,B884&lt;&gt;0)),IF(D884=0,C884,C884*(1-ABS(D884)/(ABS(D884)+ABS(D883)))+C883*(1-ABS(D883)/(ABS(D884)+ABS(D883)))),"")))</f>
        <v>#NAME?</v>
      </c>
    </row>
    <row r="885" spans="2:5" x14ac:dyDescent="0.25">
      <c r="B885" t="e">
        <f t="shared" ca="1" si="29"/>
        <v>#NAME?</v>
      </c>
      <c r="C885">
        <v>842</v>
      </c>
      <c r="D885" t="e">
        <f t="shared" ca="1" si="28"/>
        <v>#NAME?</v>
      </c>
      <c r="E885" s="115" t="e">
        <f t="array" aca="1" ref="E885" ca="1">IF(OR(C884=0,AND(B886=0,C886=0)),"",IFERROR(INDEX($F$27:$F$36,MATCH(C885,($F$27:$F$36)*($D$27:$D$36&lt;&gt;0),0)),IF(OR(AND(D885=0,B885=0,B886&lt;&gt;0),AND(D885*D884&lt;0,B885&lt;&gt;0)),IF(D885=0,C885,C885*(1-ABS(D885)/(ABS(D885)+ABS(D884)))+C884*(1-ABS(D884)/(ABS(D885)+ABS(D884)))),"")))</f>
        <v>#NAME?</v>
      </c>
    </row>
    <row r="886" spans="2:5" x14ac:dyDescent="0.25">
      <c r="B886" t="e">
        <f t="shared" ca="1" si="29"/>
        <v>#NAME?</v>
      </c>
      <c r="C886">
        <v>843</v>
      </c>
      <c r="D886" t="e">
        <f t="shared" ca="1" si="28"/>
        <v>#NAME?</v>
      </c>
      <c r="E886" s="115" t="e">
        <f t="array" aca="1" ref="E886" ca="1">IF(OR(C885=0,AND(B887=0,C887=0)),"",IFERROR(INDEX($F$27:$F$36,MATCH(C886,($F$27:$F$36)*($D$27:$D$36&lt;&gt;0),0)),IF(OR(AND(D886=0,B886=0,B887&lt;&gt;0),AND(D886*D885&lt;0,B886&lt;&gt;0)),IF(D886=0,C886,C886*(1-ABS(D886)/(ABS(D886)+ABS(D885)))+C885*(1-ABS(D885)/(ABS(D886)+ABS(D885)))),"")))</f>
        <v>#NAME?</v>
      </c>
    </row>
    <row r="887" spans="2:5" x14ac:dyDescent="0.25">
      <c r="B887" t="e">
        <f t="shared" ca="1" si="29"/>
        <v>#NAME?</v>
      </c>
      <c r="C887">
        <v>844</v>
      </c>
      <c r="D887" t="e">
        <f t="shared" ca="1" si="28"/>
        <v>#NAME?</v>
      </c>
      <c r="E887" s="115" t="e">
        <f t="array" aca="1" ref="E887" ca="1">IF(OR(C886=0,AND(B888=0,C888=0)),"",IFERROR(INDEX($F$27:$F$36,MATCH(C887,($F$27:$F$36)*($D$27:$D$36&lt;&gt;0),0)),IF(OR(AND(D887=0,B887=0,B888&lt;&gt;0),AND(D887*D886&lt;0,B887&lt;&gt;0)),IF(D887=0,C887,C887*(1-ABS(D887)/(ABS(D887)+ABS(D886)))+C886*(1-ABS(D886)/(ABS(D887)+ABS(D886)))),"")))</f>
        <v>#NAME?</v>
      </c>
    </row>
    <row r="888" spans="2:5" x14ac:dyDescent="0.25">
      <c r="B888" t="e">
        <f t="shared" ca="1" si="29"/>
        <v>#NAME?</v>
      </c>
      <c r="C888">
        <v>845</v>
      </c>
      <c r="D888" t="e">
        <f t="shared" ca="1" si="28"/>
        <v>#NAME?</v>
      </c>
      <c r="E888" s="115" t="e">
        <f t="array" aca="1" ref="E888" ca="1">IF(OR(C887=0,AND(B889=0,C889=0)),"",IFERROR(INDEX($F$27:$F$36,MATCH(C888,($F$27:$F$36)*($D$27:$D$36&lt;&gt;0),0)),IF(OR(AND(D888=0,B888=0,B889&lt;&gt;0),AND(D888*D887&lt;0,B888&lt;&gt;0)),IF(D888=0,C888,C888*(1-ABS(D888)/(ABS(D888)+ABS(D887)))+C887*(1-ABS(D887)/(ABS(D888)+ABS(D887)))),"")))</f>
        <v>#NAME?</v>
      </c>
    </row>
    <row r="889" spans="2:5" x14ac:dyDescent="0.25">
      <c r="B889" t="e">
        <f t="shared" ca="1" si="29"/>
        <v>#NAME?</v>
      </c>
      <c r="C889">
        <v>846</v>
      </c>
      <c r="D889" t="e">
        <f t="shared" ca="1" si="28"/>
        <v>#NAME?</v>
      </c>
      <c r="E889" s="115" t="e">
        <f t="array" aca="1" ref="E889" ca="1">IF(OR(C888=0,AND(B890=0,C890=0)),"",IFERROR(INDEX($F$27:$F$36,MATCH(C889,($F$27:$F$36)*($D$27:$D$36&lt;&gt;0),0)),IF(OR(AND(D889=0,B889=0,B890&lt;&gt;0),AND(D889*D888&lt;0,B889&lt;&gt;0)),IF(D889=0,C889,C889*(1-ABS(D889)/(ABS(D889)+ABS(D888)))+C888*(1-ABS(D888)/(ABS(D889)+ABS(D888)))),"")))</f>
        <v>#NAME?</v>
      </c>
    </row>
    <row r="890" spans="2:5" x14ac:dyDescent="0.25">
      <c r="B890" t="e">
        <f t="shared" ca="1" si="29"/>
        <v>#NAME?</v>
      </c>
      <c r="C890">
        <v>847</v>
      </c>
      <c r="D890" t="e">
        <f t="shared" ca="1" si="28"/>
        <v>#NAME?</v>
      </c>
      <c r="E890" s="115" t="e">
        <f t="array" aca="1" ref="E890" ca="1">IF(OR(C889=0,AND(B891=0,C891=0)),"",IFERROR(INDEX($F$27:$F$36,MATCH(C890,($F$27:$F$36)*($D$27:$D$36&lt;&gt;0),0)),IF(OR(AND(D890=0,B890=0,B891&lt;&gt;0),AND(D890*D889&lt;0,B890&lt;&gt;0)),IF(D890=0,C890,C890*(1-ABS(D890)/(ABS(D890)+ABS(D889)))+C889*(1-ABS(D889)/(ABS(D890)+ABS(D889)))),"")))</f>
        <v>#NAME?</v>
      </c>
    </row>
    <row r="891" spans="2:5" x14ac:dyDescent="0.25">
      <c r="B891" t="e">
        <f t="shared" ca="1" si="29"/>
        <v>#NAME?</v>
      </c>
      <c r="C891">
        <v>848</v>
      </c>
      <c r="D891" t="e">
        <f t="shared" ca="1" si="28"/>
        <v>#NAME?</v>
      </c>
      <c r="E891" s="115" t="e">
        <f t="array" aca="1" ref="E891" ca="1">IF(OR(C890=0,AND(B892=0,C892=0)),"",IFERROR(INDEX($F$27:$F$36,MATCH(C891,($F$27:$F$36)*($D$27:$D$36&lt;&gt;0),0)),IF(OR(AND(D891=0,B891=0,B892&lt;&gt;0),AND(D891*D890&lt;0,B891&lt;&gt;0)),IF(D891=0,C891,C891*(1-ABS(D891)/(ABS(D891)+ABS(D890)))+C890*(1-ABS(D890)/(ABS(D891)+ABS(D890)))),"")))</f>
        <v>#NAME?</v>
      </c>
    </row>
    <row r="892" spans="2:5" x14ac:dyDescent="0.25">
      <c r="B892" t="e">
        <f t="shared" ca="1" si="29"/>
        <v>#NAME?</v>
      </c>
      <c r="C892">
        <v>849</v>
      </c>
      <c r="D892" t="e">
        <f t="shared" ca="1" si="28"/>
        <v>#NAME?</v>
      </c>
      <c r="E892" s="115" t="e">
        <f t="array" aca="1" ref="E892" ca="1">IF(OR(C891=0,AND(B893=0,C893=0)),"",IFERROR(INDEX($F$27:$F$36,MATCH(C892,($F$27:$F$36)*($D$27:$D$36&lt;&gt;0),0)),IF(OR(AND(D892=0,B892=0,B893&lt;&gt;0),AND(D892*D891&lt;0,B892&lt;&gt;0)),IF(D892=0,C892,C892*(1-ABS(D892)/(ABS(D892)+ABS(D891)))+C891*(1-ABS(D891)/(ABS(D892)+ABS(D891)))),"")))</f>
        <v>#NAME?</v>
      </c>
    </row>
    <row r="893" spans="2:5" x14ac:dyDescent="0.25">
      <c r="B893" t="e">
        <f t="shared" ca="1" si="29"/>
        <v>#NAME?</v>
      </c>
      <c r="C893">
        <v>850</v>
      </c>
      <c r="D893" t="e">
        <f t="shared" ca="1" si="28"/>
        <v>#NAME?</v>
      </c>
      <c r="E893" s="115" t="e">
        <f t="array" aca="1" ref="E893" ca="1">IF(OR(C892=0,AND(B894=0,C894=0)),"",IFERROR(INDEX($F$27:$F$36,MATCH(C893,($F$27:$F$36)*($D$27:$D$36&lt;&gt;0),0)),IF(OR(AND(D893=0,B893=0,B894&lt;&gt;0),AND(D893*D892&lt;0,B893&lt;&gt;0)),IF(D893=0,C893,C893*(1-ABS(D893)/(ABS(D893)+ABS(D892)))+C892*(1-ABS(D892)/(ABS(D893)+ABS(D892)))),"")))</f>
        <v>#NAME?</v>
      </c>
    </row>
    <row r="894" spans="2:5" x14ac:dyDescent="0.25">
      <c r="B894" t="e">
        <f t="shared" ca="1" si="29"/>
        <v>#NAME?</v>
      </c>
      <c r="C894">
        <v>851</v>
      </c>
      <c r="D894" t="e">
        <f t="shared" ca="1" si="28"/>
        <v>#NAME?</v>
      </c>
      <c r="E894" s="115" t="e">
        <f t="array" aca="1" ref="E894" ca="1">IF(OR(C893=0,AND(B895=0,C895=0)),"",IFERROR(INDEX($F$27:$F$36,MATCH(C894,($F$27:$F$36)*($D$27:$D$36&lt;&gt;0),0)),IF(OR(AND(D894=0,B894=0,B895&lt;&gt;0),AND(D894*D893&lt;0,B894&lt;&gt;0)),IF(D894=0,C894,C894*(1-ABS(D894)/(ABS(D894)+ABS(D893)))+C893*(1-ABS(D893)/(ABS(D894)+ABS(D893)))),"")))</f>
        <v>#NAME?</v>
      </c>
    </row>
    <row r="895" spans="2:5" x14ac:dyDescent="0.25">
      <c r="B895" t="e">
        <f t="shared" ca="1" si="29"/>
        <v>#NAME?</v>
      </c>
      <c r="C895">
        <v>852</v>
      </c>
      <c r="D895" t="e">
        <f t="shared" ca="1" si="28"/>
        <v>#NAME?</v>
      </c>
      <c r="E895" s="115" t="e">
        <f t="array" aca="1" ref="E895" ca="1">IF(OR(C894=0,AND(B896=0,C896=0)),"",IFERROR(INDEX($F$27:$F$36,MATCH(C895,($F$27:$F$36)*($D$27:$D$36&lt;&gt;0),0)),IF(OR(AND(D895=0,B895=0,B896&lt;&gt;0),AND(D895*D894&lt;0,B895&lt;&gt;0)),IF(D895=0,C895,C895*(1-ABS(D895)/(ABS(D895)+ABS(D894)))+C894*(1-ABS(D894)/(ABS(D895)+ABS(D894)))),"")))</f>
        <v>#NAME?</v>
      </c>
    </row>
    <row r="896" spans="2:5" x14ac:dyDescent="0.25">
      <c r="B896" t="e">
        <f t="shared" ca="1" si="29"/>
        <v>#NAME?</v>
      </c>
      <c r="C896">
        <v>853</v>
      </c>
      <c r="D896" t="e">
        <f t="shared" ca="1" si="28"/>
        <v>#NAME?</v>
      </c>
      <c r="E896" s="115" t="e">
        <f t="array" aca="1" ref="E896" ca="1">IF(OR(C895=0,AND(B897=0,C897=0)),"",IFERROR(INDEX($F$27:$F$36,MATCH(C896,($F$27:$F$36)*($D$27:$D$36&lt;&gt;0),0)),IF(OR(AND(D896=0,B896=0,B897&lt;&gt;0),AND(D896*D895&lt;0,B896&lt;&gt;0)),IF(D896=0,C896,C896*(1-ABS(D896)/(ABS(D896)+ABS(D895)))+C895*(1-ABS(D895)/(ABS(D896)+ABS(D895)))),"")))</f>
        <v>#NAME?</v>
      </c>
    </row>
    <row r="897" spans="2:5" x14ac:dyDescent="0.25">
      <c r="B897" t="e">
        <f t="shared" ca="1" si="29"/>
        <v>#NAME?</v>
      </c>
      <c r="C897">
        <v>854</v>
      </c>
      <c r="D897" t="e">
        <f t="shared" ca="1" si="28"/>
        <v>#NAME?</v>
      </c>
      <c r="E897" s="115" t="e">
        <f t="array" aca="1" ref="E897" ca="1">IF(OR(C896=0,AND(B898=0,C898=0)),"",IFERROR(INDEX($F$27:$F$36,MATCH(C897,($F$27:$F$36)*($D$27:$D$36&lt;&gt;0),0)),IF(OR(AND(D897=0,B897=0,B898&lt;&gt;0),AND(D897*D896&lt;0,B897&lt;&gt;0)),IF(D897=0,C897,C897*(1-ABS(D897)/(ABS(D897)+ABS(D896)))+C896*(1-ABS(D896)/(ABS(D897)+ABS(D896)))),"")))</f>
        <v>#NAME?</v>
      </c>
    </row>
    <row r="898" spans="2:5" x14ac:dyDescent="0.25">
      <c r="B898" t="e">
        <f t="shared" ca="1" si="29"/>
        <v>#NAME?</v>
      </c>
      <c r="C898">
        <v>855</v>
      </c>
      <c r="D898" t="e">
        <f t="shared" ca="1" si="28"/>
        <v>#NAME?</v>
      </c>
      <c r="E898" s="115" t="e">
        <f t="array" aca="1" ref="E898" ca="1">IF(OR(C897=0,AND(B899=0,C899=0)),"",IFERROR(INDEX($F$27:$F$36,MATCH(C898,($F$27:$F$36)*($D$27:$D$36&lt;&gt;0),0)),IF(OR(AND(D898=0,B898=0,B899&lt;&gt;0),AND(D898*D897&lt;0,B898&lt;&gt;0)),IF(D898=0,C898,C898*(1-ABS(D898)/(ABS(D898)+ABS(D897)))+C897*(1-ABS(D897)/(ABS(D898)+ABS(D897)))),"")))</f>
        <v>#NAME?</v>
      </c>
    </row>
    <row r="899" spans="2:5" x14ac:dyDescent="0.25">
      <c r="B899" t="e">
        <f t="shared" ca="1" si="29"/>
        <v>#NAME?</v>
      </c>
      <c r="C899">
        <v>856</v>
      </c>
      <c r="D899" t="e">
        <f t="shared" ca="1" si="28"/>
        <v>#NAME?</v>
      </c>
      <c r="E899" s="115" t="e">
        <f t="array" aca="1" ref="E899" ca="1">IF(OR(C898=0,AND(B900=0,C900=0)),"",IFERROR(INDEX($F$27:$F$36,MATCH(C899,($F$27:$F$36)*($D$27:$D$36&lt;&gt;0),0)),IF(OR(AND(D899=0,B899=0,B900&lt;&gt;0),AND(D899*D898&lt;0,B899&lt;&gt;0)),IF(D899=0,C899,C899*(1-ABS(D899)/(ABS(D899)+ABS(D898)))+C898*(1-ABS(D898)/(ABS(D899)+ABS(D898)))),"")))</f>
        <v>#NAME?</v>
      </c>
    </row>
    <row r="900" spans="2:5" x14ac:dyDescent="0.25">
      <c r="B900" t="e">
        <f t="shared" ca="1" si="29"/>
        <v>#NAME?</v>
      </c>
      <c r="C900">
        <v>857</v>
      </c>
      <c r="D900" t="e">
        <f t="shared" ca="1" si="28"/>
        <v>#NAME?</v>
      </c>
      <c r="E900" s="115" t="e">
        <f t="array" aca="1" ref="E900" ca="1">IF(OR(C899=0,AND(B901=0,C901=0)),"",IFERROR(INDEX($F$27:$F$36,MATCH(C900,($F$27:$F$36)*($D$27:$D$36&lt;&gt;0),0)),IF(OR(AND(D900=0,B900=0,B901&lt;&gt;0),AND(D900*D899&lt;0,B900&lt;&gt;0)),IF(D900=0,C900,C900*(1-ABS(D900)/(ABS(D900)+ABS(D899)))+C899*(1-ABS(D899)/(ABS(D900)+ABS(D899)))),"")))</f>
        <v>#NAME?</v>
      </c>
    </row>
    <row r="901" spans="2:5" x14ac:dyDescent="0.25">
      <c r="B901" t="e">
        <f t="shared" ca="1" si="29"/>
        <v>#NAME?</v>
      </c>
      <c r="C901">
        <v>858</v>
      </c>
      <c r="D901" t="e">
        <f t="shared" ca="1" si="28"/>
        <v>#NAME?</v>
      </c>
      <c r="E901" s="115" t="e">
        <f t="array" aca="1" ref="E901" ca="1">IF(OR(C900=0,AND(B902=0,C902=0)),"",IFERROR(INDEX($F$27:$F$36,MATCH(C901,($F$27:$F$36)*($D$27:$D$36&lt;&gt;0),0)),IF(OR(AND(D901=0,B901=0,B902&lt;&gt;0),AND(D901*D900&lt;0,B901&lt;&gt;0)),IF(D901=0,C901,C901*(1-ABS(D901)/(ABS(D901)+ABS(D900)))+C900*(1-ABS(D900)/(ABS(D901)+ABS(D900)))),"")))</f>
        <v>#NAME?</v>
      </c>
    </row>
    <row r="902" spans="2:5" x14ac:dyDescent="0.25">
      <c r="B902" t="e">
        <f t="shared" ca="1" si="29"/>
        <v>#NAME?</v>
      </c>
      <c r="C902">
        <v>859</v>
      </c>
      <c r="D902" t="e">
        <f t="shared" ca="1" si="28"/>
        <v>#NAME?</v>
      </c>
      <c r="E902" s="115" t="e">
        <f t="array" aca="1" ref="E902" ca="1">IF(OR(C901=0,AND(B903=0,C903=0)),"",IFERROR(INDEX($F$27:$F$36,MATCH(C902,($F$27:$F$36)*($D$27:$D$36&lt;&gt;0),0)),IF(OR(AND(D902=0,B902=0,B903&lt;&gt;0),AND(D902*D901&lt;0,B902&lt;&gt;0)),IF(D902=0,C902,C902*(1-ABS(D902)/(ABS(D902)+ABS(D901)))+C901*(1-ABS(D901)/(ABS(D902)+ABS(D901)))),"")))</f>
        <v>#NAME?</v>
      </c>
    </row>
    <row r="903" spans="2:5" x14ac:dyDescent="0.25">
      <c r="B903" t="e">
        <f t="shared" ca="1" si="29"/>
        <v>#NAME?</v>
      </c>
      <c r="C903">
        <v>860</v>
      </c>
      <c r="D903" t="e">
        <f t="shared" ca="1" si="28"/>
        <v>#NAME?</v>
      </c>
      <c r="E903" s="115" t="e">
        <f t="array" aca="1" ref="E903" ca="1">IF(OR(C902=0,AND(B904=0,C904=0)),"",IFERROR(INDEX($F$27:$F$36,MATCH(C903,($F$27:$F$36)*($D$27:$D$36&lt;&gt;0),0)),IF(OR(AND(D903=0,B903=0,B904&lt;&gt;0),AND(D903*D902&lt;0,B903&lt;&gt;0)),IF(D903=0,C903,C903*(1-ABS(D903)/(ABS(D903)+ABS(D902)))+C902*(1-ABS(D902)/(ABS(D903)+ABS(D902)))),"")))</f>
        <v>#NAME?</v>
      </c>
    </row>
    <row r="904" spans="2:5" x14ac:dyDescent="0.25">
      <c r="B904" t="e">
        <f t="shared" ca="1" si="29"/>
        <v>#NAME?</v>
      </c>
      <c r="C904">
        <v>861</v>
      </c>
      <c r="D904" t="e">
        <f t="shared" ca="1" si="28"/>
        <v>#NAME?</v>
      </c>
      <c r="E904" s="115" t="e">
        <f t="array" aca="1" ref="E904" ca="1">IF(OR(C903=0,AND(B905=0,C905=0)),"",IFERROR(INDEX($F$27:$F$36,MATCH(C904,($F$27:$F$36)*($D$27:$D$36&lt;&gt;0),0)),IF(OR(AND(D904=0,B904=0,B905&lt;&gt;0),AND(D904*D903&lt;0,B904&lt;&gt;0)),IF(D904=0,C904,C904*(1-ABS(D904)/(ABS(D904)+ABS(D903)))+C903*(1-ABS(D903)/(ABS(D904)+ABS(D903)))),"")))</f>
        <v>#NAME?</v>
      </c>
    </row>
    <row r="905" spans="2:5" x14ac:dyDescent="0.25">
      <c r="B905" t="e">
        <f t="shared" ca="1" si="29"/>
        <v>#NAME?</v>
      </c>
      <c r="C905">
        <v>862</v>
      </c>
      <c r="D905" t="e">
        <f t="shared" ca="1" si="28"/>
        <v>#NAME?</v>
      </c>
      <c r="E905" s="115" t="e">
        <f t="array" aca="1" ref="E905" ca="1">IF(OR(C904=0,AND(B906=0,C906=0)),"",IFERROR(INDEX($F$27:$F$36,MATCH(C905,($F$27:$F$36)*($D$27:$D$36&lt;&gt;0),0)),IF(OR(AND(D905=0,B905=0,B906&lt;&gt;0),AND(D905*D904&lt;0,B905&lt;&gt;0)),IF(D905=0,C905,C905*(1-ABS(D905)/(ABS(D905)+ABS(D904)))+C904*(1-ABS(D904)/(ABS(D905)+ABS(D904)))),"")))</f>
        <v>#NAME?</v>
      </c>
    </row>
    <row r="906" spans="2:5" x14ac:dyDescent="0.25">
      <c r="B906" t="e">
        <f t="shared" ca="1" si="29"/>
        <v>#NAME?</v>
      </c>
      <c r="C906">
        <v>863</v>
      </c>
      <c r="D906" t="e">
        <f t="shared" ca="1" si="28"/>
        <v>#NAME?</v>
      </c>
      <c r="E906" s="115" t="e">
        <f t="array" aca="1" ref="E906" ca="1">IF(OR(C905=0,AND(B907=0,C907=0)),"",IFERROR(INDEX($F$27:$F$36,MATCH(C906,($F$27:$F$36)*($D$27:$D$36&lt;&gt;0),0)),IF(OR(AND(D906=0,B906=0,B907&lt;&gt;0),AND(D906*D905&lt;0,B906&lt;&gt;0)),IF(D906=0,C906,C906*(1-ABS(D906)/(ABS(D906)+ABS(D905)))+C905*(1-ABS(D905)/(ABS(D906)+ABS(D905)))),"")))</f>
        <v>#NAME?</v>
      </c>
    </row>
    <row r="907" spans="2:5" x14ac:dyDescent="0.25">
      <c r="B907" t="e">
        <f t="shared" ca="1" si="29"/>
        <v>#NAME?</v>
      </c>
      <c r="C907">
        <v>864</v>
      </c>
      <c r="D907" t="e">
        <f t="shared" ca="1" si="28"/>
        <v>#NAME?</v>
      </c>
      <c r="E907" s="115" t="e">
        <f t="array" aca="1" ref="E907" ca="1">IF(OR(C906=0,AND(B908=0,C908=0)),"",IFERROR(INDEX($F$27:$F$36,MATCH(C907,($F$27:$F$36)*($D$27:$D$36&lt;&gt;0),0)),IF(OR(AND(D907=0,B907=0,B908&lt;&gt;0),AND(D907*D906&lt;0,B907&lt;&gt;0)),IF(D907=0,C907,C907*(1-ABS(D907)/(ABS(D907)+ABS(D906)))+C906*(1-ABS(D906)/(ABS(D907)+ABS(D906)))),"")))</f>
        <v>#NAME?</v>
      </c>
    </row>
    <row r="908" spans="2:5" x14ac:dyDescent="0.25">
      <c r="B908" t="e">
        <f t="shared" ca="1" si="29"/>
        <v>#NAME?</v>
      </c>
      <c r="C908">
        <v>865</v>
      </c>
      <c r="D908" t="e">
        <f t="shared" ca="1" si="28"/>
        <v>#NAME?</v>
      </c>
      <c r="E908" s="115" t="e">
        <f t="array" aca="1" ref="E908" ca="1">IF(OR(C907=0,AND(B909=0,C909=0)),"",IFERROR(INDEX($F$27:$F$36,MATCH(C908,($F$27:$F$36)*($D$27:$D$36&lt;&gt;0),0)),IF(OR(AND(D908=0,B908=0,B909&lt;&gt;0),AND(D908*D907&lt;0,B908&lt;&gt;0)),IF(D908=0,C908,C908*(1-ABS(D908)/(ABS(D908)+ABS(D907)))+C907*(1-ABS(D907)/(ABS(D908)+ABS(D907)))),"")))</f>
        <v>#NAME?</v>
      </c>
    </row>
    <row r="909" spans="2:5" x14ac:dyDescent="0.25">
      <c r="B909" t="e">
        <f t="shared" ca="1" si="29"/>
        <v>#NAME?</v>
      </c>
      <c r="C909">
        <v>866</v>
      </c>
      <c r="D909" t="e">
        <f t="shared" ca="1" si="28"/>
        <v>#NAME?</v>
      </c>
      <c r="E909" s="115" t="e">
        <f t="array" aca="1" ref="E909" ca="1">IF(OR(C908=0,AND(B910=0,C910=0)),"",IFERROR(INDEX($F$27:$F$36,MATCH(C909,($F$27:$F$36)*($D$27:$D$36&lt;&gt;0),0)),IF(OR(AND(D909=0,B909=0,B910&lt;&gt;0),AND(D909*D908&lt;0,B909&lt;&gt;0)),IF(D909=0,C909,C909*(1-ABS(D909)/(ABS(D909)+ABS(D908)))+C908*(1-ABS(D908)/(ABS(D909)+ABS(D908)))),"")))</f>
        <v>#NAME?</v>
      </c>
    </row>
    <row r="910" spans="2:5" x14ac:dyDescent="0.25">
      <c r="B910" t="e">
        <f t="shared" ca="1" si="29"/>
        <v>#NAME?</v>
      </c>
      <c r="C910">
        <v>867</v>
      </c>
      <c r="D910" t="e">
        <f t="shared" ca="1" si="28"/>
        <v>#NAME?</v>
      </c>
      <c r="E910" s="115" t="e">
        <f t="array" aca="1" ref="E910" ca="1">IF(OR(C909=0,AND(B911=0,C911=0)),"",IFERROR(INDEX($F$27:$F$36,MATCH(C910,($F$27:$F$36)*($D$27:$D$36&lt;&gt;0),0)),IF(OR(AND(D910=0,B910=0,B911&lt;&gt;0),AND(D910*D909&lt;0,B910&lt;&gt;0)),IF(D910=0,C910,C910*(1-ABS(D910)/(ABS(D910)+ABS(D909)))+C909*(1-ABS(D909)/(ABS(D910)+ABS(D909)))),"")))</f>
        <v>#NAME?</v>
      </c>
    </row>
    <row r="911" spans="2:5" x14ac:dyDescent="0.25">
      <c r="B911" t="e">
        <f t="shared" ca="1" si="29"/>
        <v>#NAME?</v>
      </c>
      <c r="C911">
        <v>868</v>
      </c>
      <c r="D911" t="e">
        <f t="shared" ca="1" si="28"/>
        <v>#NAME?</v>
      </c>
      <c r="E911" s="115" t="e">
        <f t="array" aca="1" ref="E911" ca="1">IF(OR(C910=0,AND(B912=0,C912=0)),"",IFERROR(INDEX($F$27:$F$36,MATCH(C911,($F$27:$F$36)*($D$27:$D$36&lt;&gt;0),0)),IF(OR(AND(D911=0,B911=0,B912&lt;&gt;0),AND(D911*D910&lt;0,B911&lt;&gt;0)),IF(D911=0,C911,C911*(1-ABS(D911)/(ABS(D911)+ABS(D910)))+C910*(1-ABS(D910)/(ABS(D911)+ABS(D910)))),"")))</f>
        <v>#NAME?</v>
      </c>
    </row>
    <row r="912" spans="2:5" x14ac:dyDescent="0.25">
      <c r="B912" t="e">
        <f t="shared" ca="1" si="29"/>
        <v>#NAME?</v>
      </c>
      <c r="C912">
        <v>869</v>
      </c>
      <c r="D912" t="e">
        <f t="shared" ca="1" si="28"/>
        <v>#NAME?</v>
      </c>
      <c r="E912" s="115" t="e">
        <f t="array" aca="1" ref="E912" ca="1">IF(OR(C911=0,AND(B913=0,C913=0)),"",IFERROR(INDEX($F$27:$F$36,MATCH(C912,($F$27:$F$36)*($D$27:$D$36&lt;&gt;0),0)),IF(OR(AND(D912=0,B912=0,B913&lt;&gt;0),AND(D912*D911&lt;0,B912&lt;&gt;0)),IF(D912=0,C912,C912*(1-ABS(D912)/(ABS(D912)+ABS(D911)))+C911*(1-ABS(D911)/(ABS(D912)+ABS(D911)))),"")))</f>
        <v>#NAME?</v>
      </c>
    </row>
    <row r="913" spans="2:5" x14ac:dyDescent="0.25">
      <c r="B913" t="e">
        <f t="shared" ca="1" si="29"/>
        <v>#NAME?</v>
      </c>
      <c r="C913">
        <v>870</v>
      </c>
      <c r="D913" t="e">
        <f t="shared" ca="1" si="28"/>
        <v>#NAME?</v>
      </c>
      <c r="E913" s="115" t="e">
        <f t="array" aca="1" ref="E913" ca="1">IF(OR(C912=0,AND(B914=0,C914=0)),"",IFERROR(INDEX($F$27:$F$36,MATCH(C913,($F$27:$F$36)*($D$27:$D$36&lt;&gt;0),0)),IF(OR(AND(D913=0,B913=0,B914&lt;&gt;0),AND(D913*D912&lt;0,B913&lt;&gt;0)),IF(D913=0,C913,C913*(1-ABS(D913)/(ABS(D913)+ABS(D912)))+C912*(1-ABS(D912)/(ABS(D913)+ABS(D912)))),"")))</f>
        <v>#NAME?</v>
      </c>
    </row>
    <row r="914" spans="2:5" x14ac:dyDescent="0.25">
      <c r="B914" t="e">
        <f t="shared" ca="1" si="29"/>
        <v>#NAME?</v>
      </c>
      <c r="C914">
        <v>871</v>
      </c>
      <c r="D914" t="e">
        <f t="shared" ca="1" si="28"/>
        <v>#NAME?</v>
      </c>
      <c r="E914" s="115" t="e">
        <f t="array" aca="1" ref="E914" ca="1">IF(OR(C913=0,AND(B915=0,C915=0)),"",IFERROR(INDEX($F$27:$F$36,MATCH(C914,($F$27:$F$36)*($D$27:$D$36&lt;&gt;0),0)),IF(OR(AND(D914=0,B914=0,B915&lt;&gt;0),AND(D914*D913&lt;0,B914&lt;&gt;0)),IF(D914=0,C914,C914*(1-ABS(D914)/(ABS(D914)+ABS(D913)))+C913*(1-ABS(D913)/(ABS(D914)+ABS(D913)))),"")))</f>
        <v>#NAME?</v>
      </c>
    </row>
    <row r="915" spans="2:5" x14ac:dyDescent="0.25">
      <c r="B915" t="e">
        <f t="shared" ca="1" si="29"/>
        <v>#NAME?</v>
      </c>
      <c r="C915">
        <v>872</v>
      </c>
      <c r="D915" t="e">
        <f t="shared" ca="1" si="28"/>
        <v>#NAME?</v>
      </c>
      <c r="E915" s="115" t="e">
        <f t="array" aca="1" ref="E915" ca="1">IF(OR(C914=0,AND(B916=0,C916=0)),"",IFERROR(INDEX($F$27:$F$36,MATCH(C915,($F$27:$F$36)*($D$27:$D$36&lt;&gt;0),0)),IF(OR(AND(D915=0,B915=0,B916&lt;&gt;0),AND(D915*D914&lt;0,B915&lt;&gt;0)),IF(D915=0,C915,C915*(1-ABS(D915)/(ABS(D915)+ABS(D914)))+C914*(1-ABS(D914)/(ABS(D915)+ABS(D914)))),"")))</f>
        <v>#NAME?</v>
      </c>
    </row>
    <row r="916" spans="2:5" x14ac:dyDescent="0.25">
      <c r="B916" t="e">
        <f t="shared" ca="1" si="29"/>
        <v>#NAME?</v>
      </c>
      <c r="C916">
        <v>873</v>
      </c>
      <c r="D916" t="e">
        <f t="shared" ca="1" si="28"/>
        <v>#NAME?</v>
      </c>
      <c r="E916" s="115" t="e">
        <f t="array" aca="1" ref="E916" ca="1">IF(OR(C915=0,AND(B917=0,C917=0)),"",IFERROR(INDEX($F$27:$F$36,MATCH(C916,($F$27:$F$36)*($D$27:$D$36&lt;&gt;0),0)),IF(OR(AND(D916=0,B916=0,B917&lt;&gt;0),AND(D916*D915&lt;0,B916&lt;&gt;0)),IF(D916=0,C916,C916*(1-ABS(D916)/(ABS(D916)+ABS(D915)))+C915*(1-ABS(D915)/(ABS(D916)+ABS(D915)))),"")))</f>
        <v>#NAME?</v>
      </c>
    </row>
    <row r="917" spans="2:5" x14ac:dyDescent="0.25">
      <c r="B917" t="e">
        <f t="shared" ca="1" si="29"/>
        <v>#NAME?</v>
      </c>
      <c r="C917">
        <v>874</v>
      </c>
      <c r="D917" t="e">
        <f t="shared" ca="1" si="28"/>
        <v>#NAME?</v>
      </c>
      <c r="E917" s="115" t="e">
        <f t="array" aca="1" ref="E917" ca="1">IF(OR(C916=0,AND(B918=0,C918=0)),"",IFERROR(INDEX($F$27:$F$36,MATCH(C917,($F$27:$F$36)*($D$27:$D$36&lt;&gt;0),0)),IF(OR(AND(D917=0,B917=0,B918&lt;&gt;0),AND(D917*D916&lt;0,B917&lt;&gt;0)),IF(D917=0,C917,C917*(1-ABS(D917)/(ABS(D917)+ABS(D916)))+C916*(1-ABS(D916)/(ABS(D917)+ABS(D916)))),"")))</f>
        <v>#NAME?</v>
      </c>
    </row>
    <row r="918" spans="2:5" x14ac:dyDescent="0.25">
      <c r="B918" t="e">
        <f t="shared" ca="1" si="29"/>
        <v>#NAME?</v>
      </c>
      <c r="C918">
        <v>875</v>
      </c>
      <c r="D918" t="e">
        <f t="shared" ca="1" si="28"/>
        <v>#NAME?</v>
      </c>
      <c r="E918" s="115" t="e">
        <f t="array" aca="1" ref="E918" ca="1">IF(OR(C917=0,AND(B919=0,C919=0)),"",IFERROR(INDEX($F$27:$F$36,MATCH(C918,($F$27:$F$36)*($D$27:$D$36&lt;&gt;0),0)),IF(OR(AND(D918=0,B918=0,B919&lt;&gt;0),AND(D918*D917&lt;0,B918&lt;&gt;0)),IF(D918=0,C918,C918*(1-ABS(D918)/(ABS(D918)+ABS(D917)))+C917*(1-ABS(D917)/(ABS(D918)+ABS(D917)))),"")))</f>
        <v>#NAME?</v>
      </c>
    </row>
    <row r="919" spans="2:5" x14ac:dyDescent="0.25">
      <c r="B919" t="e">
        <f t="shared" ca="1" si="29"/>
        <v>#NAME?</v>
      </c>
      <c r="C919">
        <v>876</v>
      </c>
      <c r="D919" t="e">
        <f t="shared" ca="1" si="28"/>
        <v>#NAME?</v>
      </c>
      <c r="E919" s="115" t="e">
        <f t="array" aca="1" ref="E919" ca="1">IF(OR(C918=0,AND(B920=0,C920=0)),"",IFERROR(INDEX($F$27:$F$36,MATCH(C919,($F$27:$F$36)*($D$27:$D$36&lt;&gt;0),0)),IF(OR(AND(D919=0,B919=0,B920&lt;&gt;0),AND(D919*D918&lt;0,B919&lt;&gt;0)),IF(D919=0,C919,C919*(1-ABS(D919)/(ABS(D919)+ABS(D918)))+C918*(1-ABS(D918)/(ABS(D919)+ABS(D918)))),"")))</f>
        <v>#NAME?</v>
      </c>
    </row>
    <row r="920" spans="2:5" x14ac:dyDescent="0.25">
      <c r="B920" t="e">
        <f t="shared" ca="1" si="29"/>
        <v>#NAME?</v>
      </c>
      <c r="C920">
        <v>877</v>
      </c>
      <c r="D920" t="e">
        <f t="shared" ca="1" si="28"/>
        <v>#NAME?</v>
      </c>
      <c r="E920" s="115" t="e">
        <f t="array" aca="1" ref="E920" ca="1">IF(OR(C919=0,AND(B921=0,C921=0)),"",IFERROR(INDEX($F$27:$F$36,MATCH(C920,($F$27:$F$36)*($D$27:$D$36&lt;&gt;0),0)),IF(OR(AND(D920=0,B920=0,B921&lt;&gt;0),AND(D920*D919&lt;0,B920&lt;&gt;0)),IF(D920=0,C920,C920*(1-ABS(D920)/(ABS(D920)+ABS(D919)))+C919*(1-ABS(D919)/(ABS(D920)+ABS(D919)))),"")))</f>
        <v>#NAME?</v>
      </c>
    </row>
    <row r="921" spans="2:5" x14ac:dyDescent="0.25">
      <c r="B921" t="e">
        <f t="shared" ca="1" si="29"/>
        <v>#NAME?</v>
      </c>
      <c r="C921">
        <v>878</v>
      </c>
      <c r="D921" t="e">
        <f t="shared" ca="1" si="28"/>
        <v>#NAME?</v>
      </c>
      <c r="E921" s="115" t="e">
        <f t="array" aca="1" ref="E921" ca="1">IF(OR(C920=0,AND(B922=0,C922=0)),"",IFERROR(INDEX($F$27:$F$36,MATCH(C921,($F$27:$F$36)*($D$27:$D$36&lt;&gt;0),0)),IF(OR(AND(D921=0,B921=0,B922&lt;&gt;0),AND(D921*D920&lt;0,B921&lt;&gt;0)),IF(D921=0,C921,C921*(1-ABS(D921)/(ABS(D921)+ABS(D920)))+C920*(1-ABS(D920)/(ABS(D921)+ABS(D920)))),"")))</f>
        <v>#NAME?</v>
      </c>
    </row>
    <row r="922" spans="2:5" x14ac:dyDescent="0.25">
      <c r="B922" t="e">
        <f t="shared" ca="1" si="29"/>
        <v>#NAME?</v>
      </c>
      <c r="C922">
        <v>879</v>
      </c>
      <c r="D922" t="e">
        <f t="shared" ca="1" si="28"/>
        <v>#NAME?</v>
      </c>
      <c r="E922" s="115" t="e">
        <f t="array" aca="1" ref="E922" ca="1">IF(OR(C921=0,AND(B923=0,C923=0)),"",IFERROR(INDEX($F$27:$F$36,MATCH(C922,($F$27:$F$36)*($D$27:$D$36&lt;&gt;0),0)),IF(OR(AND(D922=0,B922=0,B923&lt;&gt;0),AND(D922*D921&lt;0,B922&lt;&gt;0)),IF(D922=0,C922,C922*(1-ABS(D922)/(ABS(D922)+ABS(D921)))+C921*(1-ABS(D921)/(ABS(D922)+ABS(D921)))),"")))</f>
        <v>#NAME?</v>
      </c>
    </row>
    <row r="923" spans="2:5" x14ac:dyDescent="0.25">
      <c r="B923" t="e">
        <f t="shared" ca="1" si="29"/>
        <v>#NAME?</v>
      </c>
      <c r="C923">
        <v>880</v>
      </c>
      <c r="D923" t="e">
        <f t="shared" ca="1" si="28"/>
        <v>#NAME?</v>
      </c>
      <c r="E923" s="115" t="e">
        <f t="array" aca="1" ref="E923" ca="1">IF(OR(C922=0,AND(B924=0,C924=0)),"",IFERROR(INDEX($F$27:$F$36,MATCH(C923,($F$27:$F$36)*($D$27:$D$36&lt;&gt;0),0)),IF(OR(AND(D923=0,B923=0,B924&lt;&gt;0),AND(D923*D922&lt;0,B923&lt;&gt;0)),IF(D923=0,C923,C923*(1-ABS(D923)/(ABS(D923)+ABS(D922)))+C922*(1-ABS(D922)/(ABS(D923)+ABS(D922)))),"")))</f>
        <v>#NAME?</v>
      </c>
    </row>
    <row r="924" spans="2:5" x14ac:dyDescent="0.25">
      <c r="B924" t="e">
        <f t="shared" ca="1" si="29"/>
        <v>#NAME?</v>
      </c>
      <c r="C924">
        <v>881</v>
      </c>
      <c r="D924" t="e">
        <f t="shared" ca="1" si="28"/>
        <v>#NAME?</v>
      </c>
      <c r="E924" s="115" t="e">
        <f t="array" aca="1" ref="E924" ca="1">IF(OR(C923=0,AND(B925=0,C925=0)),"",IFERROR(INDEX($F$27:$F$36,MATCH(C924,($F$27:$F$36)*($D$27:$D$36&lt;&gt;0),0)),IF(OR(AND(D924=0,B924=0,B925&lt;&gt;0),AND(D924*D923&lt;0,B924&lt;&gt;0)),IF(D924=0,C924,C924*(1-ABS(D924)/(ABS(D924)+ABS(D923)))+C923*(1-ABS(D923)/(ABS(D924)+ABS(D923)))),"")))</f>
        <v>#NAME?</v>
      </c>
    </row>
    <row r="925" spans="2:5" x14ac:dyDescent="0.25">
      <c r="B925" t="e">
        <f t="shared" ca="1" si="29"/>
        <v>#NAME?</v>
      </c>
      <c r="C925">
        <v>882</v>
      </c>
      <c r="D925" t="e">
        <f t="shared" ca="1" si="28"/>
        <v>#NAME?</v>
      </c>
      <c r="E925" s="115" t="e">
        <f t="array" aca="1" ref="E925" ca="1">IF(OR(C924=0,AND(B926=0,C926=0)),"",IFERROR(INDEX($F$27:$F$36,MATCH(C925,($F$27:$F$36)*($D$27:$D$36&lt;&gt;0),0)),IF(OR(AND(D925=0,B925=0,B926&lt;&gt;0),AND(D925*D924&lt;0,B925&lt;&gt;0)),IF(D925=0,C925,C925*(1-ABS(D925)/(ABS(D925)+ABS(D924)))+C924*(1-ABS(D924)/(ABS(D925)+ABS(D924)))),"")))</f>
        <v>#NAME?</v>
      </c>
    </row>
    <row r="926" spans="2:5" x14ac:dyDescent="0.25">
      <c r="B926" t="e">
        <f t="shared" ca="1" si="29"/>
        <v>#NAME?</v>
      </c>
      <c r="C926">
        <v>883</v>
      </c>
      <c r="D926" t="e">
        <f t="shared" ca="1" si="28"/>
        <v>#NAME?</v>
      </c>
      <c r="E926" s="115" t="e">
        <f t="array" aca="1" ref="E926" ca="1">IF(OR(C925=0,AND(B927=0,C927=0)),"",IFERROR(INDEX($F$27:$F$36,MATCH(C926,($F$27:$F$36)*($D$27:$D$36&lt;&gt;0),0)),IF(OR(AND(D926=0,B926=0,B927&lt;&gt;0),AND(D926*D925&lt;0,B926&lt;&gt;0)),IF(D926=0,C926,C926*(1-ABS(D926)/(ABS(D926)+ABS(D925)))+C925*(1-ABS(D925)/(ABS(D926)+ABS(D925)))),"")))</f>
        <v>#NAME?</v>
      </c>
    </row>
    <row r="927" spans="2:5" x14ac:dyDescent="0.25">
      <c r="B927" t="e">
        <f t="shared" ca="1" si="29"/>
        <v>#NAME?</v>
      </c>
      <c r="C927">
        <v>884</v>
      </c>
      <c r="D927" t="e">
        <f t="shared" ca="1" si="28"/>
        <v>#NAME?</v>
      </c>
      <c r="E927" s="115" t="e">
        <f t="array" aca="1" ref="E927" ca="1">IF(OR(C926=0,AND(B928=0,C928=0)),"",IFERROR(INDEX($F$27:$F$36,MATCH(C927,($F$27:$F$36)*($D$27:$D$36&lt;&gt;0),0)),IF(OR(AND(D927=0,B927=0,B928&lt;&gt;0),AND(D927*D926&lt;0,B927&lt;&gt;0)),IF(D927=0,C927,C927*(1-ABS(D927)/(ABS(D927)+ABS(D926)))+C926*(1-ABS(D926)/(ABS(D927)+ABS(D926)))),"")))</f>
        <v>#NAME?</v>
      </c>
    </row>
    <row r="928" spans="2:5" x14ac:dyDescent="0.25">
      <c r="B928" t="e">
        <f t="shared" ca="1" si="29"/>
        <v>#NAME?</v>
      </c>
      <c r="C928">
        <v>885</v>
      </c>
      <c r="D928" t="e">
        <f t="shared" ca="1" si="28"/>
        <v>#NAME?</v>
      </c>
      <c r="E928" s="115" t="e">
        <f t="array" aca="1" ref="E928" ca="1">IF(OR(C927=0,AND(B929=0,C929=0)),"",IFERROR(INDEX($F$27:$F$36,MATCH(C928,($F$27:$F$36)*($D$27:$D$36&lt;&gt;0),0)),IF(OR(AND(D928=0,B928=0,B929&lt;&gt;0),AND(D928*D927&lt;0,B928&lt;&gt;0)),IF(D928=0,C928,C928*(1-ABS(D928)/(ABS(D928)+ABS(D927)))+C927*(1-ABS(D927)/(ABS(D928)+ABS(D927)))),"")))</f>
        <v>#NAME?</v>
      </c>
    </row>
    <row r="929" spans="2:5" x14ac:dyDescent="0.25">
      <c r="B929" t="e">
        <f t="shared" ca="1" si="29"/>
        <v>#NAME?</v>
      </c>
      <c r="C929">
        <v>886</v>
      </c>
      <c r="D929" t="e">
        <f t="shared" ca="1" si="28"/>
        <v>#NAME?</v>
      </c>
      <c r="E929" s="115" t="e">
        <f t="array" aca="1" ref="E929" ca="1">IF(OR(C928=0,AND(B930=0,C930=0)),"",IFERROR(INDEX($F$27:$F$36,MATCH(C929,($F$27:$F$36)*($D$27:$D$36&lt;&gt;0),0)),IF(OR(AND(D929=0,B929=0,B930&lt;&gt;0),AND(D929*D928&lt;0,B929&lt;&gt;0)),IF(D929=0,C929,C929*(1-ABS(D929)/(ABS(D929)+ABS(D928)))+C928*(1-ABS(D928)/(ABS(D929)+ABS(D928)))),"")))</f>
        <v>#NAME?</v>
      </c>
    </row>
    <row r="930" spans="2:5" x14ac:dyDescent="0.25">
      <c r="B930" t="e">
        <f t="shared" ca="1" si="29"/>
        <v>#NAME?</v>
      </c>
      <c r="C930">
        <v>887</v>
      </c>
      <c r="D930" t="e">
        <f t="shared" ca="1" si="28"/>
        <v>#NAME?</v>
      </c>
      <c r="E930" s="115" t="e">
        <f t="array" aca="1" ref="E930" ca="1">IF(OR(C929=0,AND(B931=0,C931=0)),"",IFERROR(INDEX($F$27:$F$36,MATCH(C930,($F$27:$F$36)*($D$27:$D$36&lt;&gt;0),0)),IF(OR(AND(D930=0,B930=0,B931&lt;&gt;0),AND(D930*D929&lt;0,B930&lt;&gt;0)),IF(D930=0,C930,C930*(1-ABS(D930)/(ABS(D930)+ABS(D929)))+C929*(1-ABS(D929)/(ABS(D930)+ABS(D929)))),"")))</f>
        <v>#NAME?</v>
      </c>
    </row>
    <row r="931" spans="2:5" x14ac:dyDescent="0.25">
      <c r="B931" t="e">
        <f t="shared" ca="1" si="29"/>
        <v>#NAME?</v>
      </c>
      <c r="C931">
        <v>888</v>
      </c>
      <c r="D931" t="e">
        <f t="shared" ca="1" si="28"/>
        <v>#NAME?</v>
      </c>
      <c r="E931" s="115" t="e">
        <f t="array" aca="1" ref="E931" ca="1">IF(OR(C930=0,AND(B932=0,C932=0)),"",IFERROR(INDEX($F$27:$F$36,MATCH(C931,($F$27:$F$36)*($D$27:$D$36&lt;&gt;0),0)),IF(OR(AND(D931=0,B931=0,B932&lt;&gt;0),AND(D931*D930&lt;0,B931&lt;&gt;0)),IF(D931=0,C931,C931*(1-ABS(D931)/(ABS(D931)+ABS(D930)))+C930*(1-ABS(D930)/(ABS(D931)+ABS(D930)))),"")))</f>
        <v>#NAME?</v>
      </c>
    </row>
    <row r="932" spans="2:5" x14ac:dyDescent="0.25">
      <c r="B932" t="e">
        <f t="shared" ca="1" si="29"/>
        <v>#NAME?</v>
      </c>
      <c r="C932">
        <v>889</v>
      </c>
      <c r="D932" t="e">
        <f t="shared" ca="1" si="28"/>
        <v>#NAME?</v>
      </c>
      <c r="E932" s="115" t="e">
        <f t="array" aca="1" ref="E932" ca="1">IF(OR(C931=0,AND(B933=0,C933=0)),"",IFERROR(INDEX($F$27:$F$36,MATCH(C932,($F$27:$F$36)*($D$27:$D$36&lt;&gt;0),0)),IF(OR(AND(D932=0,B932=0,B933&lt;&gt;0),AND(D932*D931&lt;0,B932&lt;&gt;0)),IF(D932=0,C932,C932*(1-ABS(D932)/(ABS(D932)+ABS(D931)))+C931*(1-ABS(D931)/(ABS(D932)+ABS(D931)))),"")))</f>
        <v>#NAME?</v>
      </c>
    </row>
    <row r="933" spans="2:5" x14ac:dyDescent="0.25">
      <c r="B933" t="e">
        <f t="shared" ca="1" si="29"/>
        <v>#NAME?</v>
      </c>
      <c r="C933">
        <v>890</v>
      </c>
      <c r="D933" t="e">
        <f t="shared" ca="1" si="28"/>
        <v>#NAME?</v>
      </c>
      <c r="E933" s="115" t="e">
        <f t="array" aca="1" ref="E933" ca="1">IF(OR(C932=0,AND(B934=0,C934=0)),"",IFERROR(INDEX($F$27:$F$36,MATCH(C933,($F$27:$F$36)*($D$27:$D$36&lt;&gt;0),0)),IF(OR(AND(D933=0,B933=0,B934&lt;&gt;0),AND(D933*D932&lt;0,B933&lt;&gt;0)),IF(D933=0,C933,C933*(1-ABS(D933)/(ABS(D933)+ABS(D932)))+C932*(1-ABS(D932)/(ABS(D933)+ABS(D932)))),"")))</f>
        <v>#NAME?</v>
      </c>
    </row>
    <row r="934" spans="2:5" x14ac:dyDescent="0.25">
      <c r="B934" t="e">
        <f t="shared" ca="1" si="29"/>
        <v>#NAME?</v>
      </c>
      <c r="C934">
        <v>891</v>
      </c>
      <c r="D934" t="e">
        <f t="shared" ca="1" si="28"/>
        <v>#NAME?</v>
      </c>
      <c r="E934" s="115" t="e">
        <f t="array" aca="1" ref="E934" ca="1">IF(OR(C933=0,AND(B935=0,C935=0)),"",IFERROR(INDEX($F$27:$F$36,MATCH(C934,($F$27:$F$36)*($D$27:$D$36&lt;&gt;0),0)),IF(OR(AND(D934=0,B934=0,B935&lt;&gt;0),AND(D934*D933&lt;0,B934&lt;&gt;0)),IF(D934=0,C934,C934*(1-ABS(D934)/(ABS(D934)+ABS(D933)))+C933*(1-ABS(D933)/(ABS(D934)+ABS(D933)))),"")))</f>
        <v>#NAME?</v>
      </c>
    </row>
    <row r="935" spans="2:5" x14ac:dyDescent="0.25">
      <c r="B935" t="e">
        <f t="shared" ca="1" si="29"/>
        <v>#NAME?</v>
      </c>
      <c r="C935">
        <v>892</v>
      </c>
      <c r="D935" t="e">
        <f t="shared" ca="1" si="28"/>
        <v>#NAME?</v>
      </c>
      <c r="E935" s="115" t="e">
        <f t="array" aca="1" ref="E935" ca="1">IF(OR(C934=0,AND(B936=0,C936=0)),"",IFERROR(INDEX($F$27:$F$36,MATCH(C935,($F$27:$F$36)*($D$27:$D$36&lt;&gt;0),0)),IF(OR(AND(D935=0,B935=0,B936&lt;&gt;0),AND(D935*D934&lt;0,B935&lt;&gt;0)),IF(D935=0,C935,C935*(1-ABS(D935)/(ABS(D935)+ABS(D934)))+C934*(1-ABS(D934)/(ABS(D935)+ABS(D934)))),"")))</f>
        <v>#NAME?</v>
      </c>
    </row>
    <row r="936" spans="2:5" x14ac:dyDescent="0.25">
      <c r="B936" t="e">
        <f t="shared" ca="1" si="29"/>
        <v>#NAME?</v>
      </c>
      <c r="C936">
        <v>893</v>
      </c>
      <c r="D936" t="e">
        <f t="shared" ca="1" si="28"/>
        <v>#NAME?</v>
      </c>
      <c r="E936" s="115" t="e">
        <f t="array" aca="1" ref="E936" ca="1">IF(OR(C935=0,AND(B937=0,C937=0)),"",IFERROR(INDEX($F$27:$F$36,MATCH(C936,($F$27:$F$36)*($D$27:$D$36&lt;&gt;0),0)),IF(OR(AND(D936=0,B936=0,B937&lt;&gt;0),AND(D936*D935&lt;0,B936&lt;&gt;0)),IF(D936=0,C936,C936*(1-ABS(D936)/(ABS(D936)+ABS(D935)))+C935*(1-ABS(D935)/(ABS(D936)+ABS(D935)))),"")))</f>
        <v>#NAME?</v>
      </c>
    </row>
    <row r="937" spans="2:5" x14ac:dyDescent="0.25">
      <c r="B937" t="e">
        <f t="shared" ca="1" si="29"/>
        <v>#NAME?</v>
      </c>
      <c r="C937">
        <v>894</v>
      </c>
      <c r="D937" t="e">
        <f t="shared" ca="1" si="28"/>
        <v>#NAME?</v>
      </c>
      <c r="E937" s="115" t="e">
        <f t="array" aca="1" ref="E937" ca="1">IF(OR(C936=0,AND(B938=0,C938=0)),"",IFERROR(INDEX($F$27:$F$36,MATCH(C937,($F$27:$F$36)*($D$27:$D$36&lt;&gt;0),0)),IF(OR(AND(D937=0,B937=0,B938&lt;&gt;0),AND(D937*D936&lt;0,B937&lt;&gt;0)),IF(D937=0,C937,C937*(1-ABS(D937)/(ABS(D937)+ABS(D936)))+C936*(1-ABS(D936)/(ABS(D937)+ABS(D936)))),"")))</f>
        <v>#NAME?</v>
      </c>
    </row>
    <row r="938" spans="2:5" x14ac:dyDescent="0.25">
      <c r="B938" t="e">
        <f t="shared" ca="1" si="29"/>
        <v>#NAME?</v>
      </c>
      <c r="C938">
        <v>895</v>
      </c>
      <c r="D938" t="e">
        <f t="shared" ca="1" si="28"/>
        <v>#NAME?</v>
      </c>
      <c r="E938" s="115" t="e">
        <f t="array" aca="1" ref="E938" ca="1">IF(OR(C937=0,AND(B939=0,C939=0)),"",IFERROR(INDEX($F$27:$F$36,MATCH(C938,($F$27:$F$36)*($D$27:$D$36&lt;&gt;0),0)),IF(OR(AND(D938=0,B938=0,B939&lt;&gt;0),AND(D938*D937&lt;0,B938&lt;&gt;0)),IF(D938=0,C938,C938*(1-ABS(D938)/(ABS(D938)+ABS(D937)))+C937*(1-ABS(D937)/(ABS(D938)+ABS(D937)))),"")))</f>
        <v>#NAME?</v>
      </c>
    </row>
    <row r="939" spans="2:5" x14ac:dyDescent="0.25">
      <c r="B939" t="e">
        <f t="shared" ca="1" si="29"/>
        <v>#NAME?</v>
      </c>
      <c r="C939">
        <v>896</v>
      </c>
      <c r="D939" t="e">
        <f t="shared" ref="D939:D1002" ca="1" si="30">SUMPRODUCT(--($J$27:$J$37&gt;0),--($C939-$F$27:$F$37&gt;0),($D$27:$D$37),($C939-$F$27:$F$37))+SUMPRODUCT(--($J$27:$J$37&lt;0),--($F$27:$F$37-$C939&gt;0),($D$27:$D$37),($F$27:$F$37-$C939))-SUMPRODUCT($D$27:$D$37,$E$27:$E$37)</f>
        <v>#NAME?</v>
      </c>
      <c r="E939" s="115" t="e">
        <f t="array" aca="1" ref="E939" ca="1">IF(OR(C938=0,AND(B940=0,C940=0)),"",IFERROR(INDEX($F$27:$F$36,MATCH(C939,($F$27:$F$36)*($D$27:$D$36&lt;&gt;0),0)),IF(OR(AND(D939=0,B939=0,B940&lt;&gt;0),AND(D939*D938&lt;0,B939&lt;&gt;0)),IF(D939=0,C939,C939*(1-ABS(D939)/(ABS(D939)+ABS(D938)))+C938*(1-ABS(D938)/(ABS(D939)+ABS(D938)))),"")))</f>
        <v>#NAME?</v>
      </c>
    </row>
    <row r="940" spans="2:5" x14ac:dyDescent="0.25">
      <c r="B940" t="e">
        <f t="shared" ref="B940:B1003" ca="1" si="31">ROUND((D940-D939)/(C940-C939),12)</f>
        <v>#NAME?</v>
      </c>
      <c r="C940">
        <v>897</v>
      </c>
      <c r="D940" t="e">
        <f t="shared" ca="1" si="30"/>
        <v>#NAME?</v>
      </c>
      <c r="E940" s="115" t="e">
        <f t="array" aca="1" ref="E940" ca="1">IF(OR(C939=0,AND(B941=0,C941=0)),"",IFERROR(INDEX($F$27:$F$36,MATCH(C940,($F$27:$F$36)*($D$27:$D$36&lt;&gt;0),0)),IF(OR(AND(D940=0,B940=0,B941&lt;&gt;0),AND(D940*D939&lt;0,B940&lt;&gt;0)),IF(D940=0,C940,C940*(1-ABS(D940)/(ABS(D940)+ABS(D939)))+C939*(1-ABS(D939)/(ABS(D940)+ABS(D939)))),"")))</f>
        <v>#NAME?</v>
      </c>
    </row>
    <row r="941" spans="2:5" x14ac:dyDescent="0.25">
      <c r="B941" t="e">
        <f t="shared" ca="1" si="31"/>
        <v>#NAME?</v>
      </c>
      <c r="C941">
        <v>898</v>
      </c>
      <c r="D941" t="e">
        <f t="shared" ca="1" si="30"/>
        <v>#NAME?</v>
      </c>
      <c r="E941" s="115" t="e">
        <f t="array" aca="1" ref="E941" ca="1">IF(OR(C940=0,AND(B942=0,C942=0)),"",IFERROR(INDEX($F$27:$F$36,MATCH(C941,($F$27:$F$36)*($D$27:$D$36&lt;&gt;0),0)),IF(OR(AND(D941=0,B941=0,B942&lt;&gt;0),AND(D941*D940&lt;0,B941&lt;&gt;0)),IF(D941=0,C941,C941*(1-ABS(D941)/(ABS(D941)+ABS(D940)))+C940*(1-ABS(D940)/(ABS(D941)+ABS(D940)))),"")))</f>
        <v>#NAME?</v>
      </c>
    </row>
    <row r="942" spans="2:5" x14ac:dyDescent="0.25">
      <c r="B942" t="e">
        <f t="shared" ca="1" si="31"/>
        <v>#NAME?</v>
      </c>
      <c r="C942">
        <v>899</v>
      </c>
      <c r="D942" t="e">
        <f t="shared" ca="1" si="30"/>
        <v>#NAME?</v>
      </c>
      <c r="E942" s="115" t="e">
        <f t="array" aca="1" ref="E942" ca="1">IF(OR(C941=0,AND(B943=0,C943=0)),"",IFERROR(INDEX($F$27:$F$36,MATCH(C942,($F$27:$F$36)*($D$27:$D$36&lt;&gt;0),0)),IF(OR(AND(D942=0,B942=0,B943&lt;&gt;0),AND(D942*D941&lt;0,B942&lt;&gt;0)),IF(D942=0,C942,C942*(1-ABS(D942)/(ABS(D942)+ABS(D941)))+C941*(1-ABS(D941)/(ABS(D942)+ABS(D941)))),"")))</f>
        <v>#NAME?</v>
      </c>
    </row>
    <row r="943" spans="2:5" x14ac:dyDescent="0.25">
      <c r="B943" t="e">
        <f t="shared" ca="1" si="31"/>
        <v>#NAME?</v>
      </c>
      <c r="C943">
        <v>900</v>
      </c>
      <c r="D943" t="e">
        <f t="shared" ca="1" si="30"/>
        <v>#NAME?</v>
      </c>
      <c r="E943" s="115" t="e">
        <f t="array" aca="1" ref="E943" ca="1">IF(OR(C942=0,AND(B944=0,C944=0)),"",IFERROR(INDEX($F$27:$F$36,MATCH(C943,($F$27:$F$36)*($D$27:$D$36&lt;&gt;0),0)),IF(OR(AND(D943=0,B943=0,B944&lt;&gt;0),AND(D943*D942&lt;0,B943&lt;&gt;0)),IF(D943=0,C943,C943*(1-ABS(D943)/(ABS(D943)+ABS(D942)))+C942*(1-ABS(D942)/(ABS(D943)+ABS(D942)))),"")))</f>
        <v>#NAME?</v>
      </c>
    </row>
    <row r="944" spans="2:5" x14ac:dyDescent="0.25">
      <c r="B944" t="e">
        <f t="shared" ca="1" si="31"/>
        <v>#NAME?</v>
      </c>
      <c r="C944">
        <v>901</v>
      </c>
      <c r="D944" t="e">
        <f t="shared" ca="1" si="30"/>
        <v>#NAME?</v>
      </c>
      <c r="E944" s="115" t="e">
        <f t="array" aca="1" ref="E944" ca="1">IF(OR(C943=0,AND(B945=0,C945=0)),"",IFERROR(INDEX($F$27:$F$36,MATCH(C944,($F$27:$F$36)*($D$27:$D$36&lt;&gt;0),0)),IF(OR(AND(D944=0,B944=0,B945&lt;&gt;0),AND(D944*D943&lt;0,B944&lt;&gt;0)),IF(D944=0,C944,C944*(1-ABS(D944)/(ABS(D944)+ABS(D943)))+C943*(1-ABS(D943)/(ABS(D944)+ABS(D943)))),"")))</f>
        <v>#NAME?</v>
      </c>
    </row>
    <row r="945" spans="2:5" x14ac:dyDescent="0.25">
      <c r="B945" t="e">
        <f t="shared" ca="1" si="31"/>
        <v>#NAME?</v>
      </c>
      <c r="C945">
        <v>902</v>
      </c>
      <c r="D945" t="e">
        <f t="shared" ca="1" si="30"/>
        <v>#NAME?</v>
      </c>
      <c r="E945" s="115" t="e">
        <f t="array" aca="1" ref="E945" ca="1">IF(OR(C944=0,AND(B946=0,C946=0)),"",IFERROR(INDEX($F$27:$F$36,MATCH(C945,($F$27:$F$36)*($D$27:$D$36&lt;&gt;0),0)),IF(OR(AND(D945=0,B945=0,B946&lt;&gt;0),AND(D945*D944&lt;0,B945&lt;&gt;0)),IF(D945=0,C945,C945*(1-ABS(D945)/(ABS(D945)+ABS(D944)))+C944*(1-ABS(D944)/(ABS(D945)+ABS(D944)))),"")))</f>
        <v>#NAME?</v>
      </c>
    </row>
    <row r="946" spans="2:5" x14ac:dyDescent="0.25">
      <c r="B946" t="e">
        <f t="shared" ca="1" si="31"/>
        <v>#NAME?</v>
      </c>
      <c r="C946">
        <v>903</v>
      </c>
      <c r="D946" t="e">
        <f t="shared" ca="1" si="30"/>
        <v>#NAME?</v>
      </c>
      <c r="E946" s="115" t="e">
        <f t="array" aca="1" ref="E946" ca="1">IF(OR(C945=0,AND(B947=0,C947=0)),"",IFERROR(INDEX($F$27:$F$36,MATCH(C946,($F$27:$F$36)*($D$27:$D$36&lt;&gt;0),0)),IF(OR(AND(D946=0,B946=0,B947&lt;&gt;0),AND(D946*D945&lt;0,B946&lt;&gt;0)),IF(D946=0,C946,C946*(1-ABS(D946)/(ABS(D946)+ABS(D945)))+C945*(1-ABS(D945)/(ABS(D946)+ABS(D945)))),"")))</f>
        <v>#NAME?</v>
      </c>
    </row>
    <row r="947" spans="2:5" x14ac:dyDescent="0.25">
      <c r="B947" t="e">
        <f t="shared" ca="1" si="31"/>
        <v>#NAME?</v>
      </c>
      <c r="C947">
        <v>904</v>
      </c>
      <c r="D947" t="e">
        <f t="shared" ca="1" si="30"/>
        <v>#NAME?</v>
      </c>
      <c r="E947" s="115" t="e">
        <f t="array" aca="1" ref="E947" ca="1">IF(OR(C946=0,AND(B948=0,C948=0)),"",IFERROR(INDEX($F$27:$F$36,MATCH(C947,($F$27:$F$36)*($D$27:$D$36&lt;&gt;0),0)),IF(OR(AND(D947=0,B947=0,B948&lt;&gt;0),AND(D947*D946&lt;0,B947&lt;&gt;0)),IF(D947=0,C947,C947*(1-ABS(D947)/(ABS(D947)+ABS(D946)))+C946*(1-ABS(D946)/(ABS(D947)+ABS(D946)))),"")))</f>
        <v>#NAME?</v>
      </c>
    </row>
    <row r="948" spans="2:5" x14ac:dyDescent="0.25">
      <c r="B948" t="e">
        <f t="shared" ca="1" si="31"/>
        <v>#NAME?</v>
      </c>
      <c r="C948">
        <v>905</v>
      </c>
      <c r="D948" t="e">
        <f t="shared" ca="1" si="30"/>
        <v>#NAME?</v>
      </c>
      <c r="E948" s="115" t="e">
        <f t="array" aca="1" ref="E948" ca="1">IF(OR(C947=0,AND(B949=0,C949=0)),"",IFERROR(INDEX($F$27:$F$36,MATCH(C948,($F$27:$F$36)*($D$27:$D$36&lt;&gt;0),0)),IF(OR(AND(D948=0,B948=0,B949&lt;&gt;0),AND(D948*D947&lt;0,B948&lt;&gt;0)),IF(D948=0,C948,C948*(1-ABS(D948)/(ABS(D948)+ABS(D947)))+C947*(1-ABS(D947)/(ABS(D948)+ABS(D947)))),"")))</f>
        <v>#NAME?</v>
      </c>
    </row>
    <row r="949" spans="2:5" x14ac:dyDescent="0.25">
      <c r="B949" t="e">
        <f t="shared" ca="1" si="31"/>
        <v>#NAME?</v>
      </c>
      <c r="C949">
        <v>906</v>
      </c>
      <c r="D949" t="e">
        <f t="shared" ca="1" si="30"/>
        <v>#NAME?</v>
      </c>
      <c r="E949" s="115" t="e">
        <f t="array" aca="1" ref="E949" ca="1">IF(OR(C948=0,AND(B950=0,C950=0)),"",IFERROR(INDEX($F$27:$F$36,MATCH(C949,($F$27:$F$36)*($D$27:$D$36&lt;&gt;0),0)),IF(OR(AND(D949=0,B949=0,B950&lt;&gt;0),AND(D949*D948&lt;0,B949&lt;&gt;0)),IF(D949=0,C949,C949*(1-ABS(D949)/(ABS(D949)+ABS(D948)))+C948*(1-ABS(D948)/(ABS(D949)+ABS(D948)))),"")))</f>
        <v>#NAME?</v>
      </c>
    </row>
    <row r="950" spans="2:5" x14ac:dyDescent="0.25">
      <c r="B950" t="e">
        <f t="shared" ca="1" si="31"/>
        <v>#NAME?</v>
      </c>
      <c r="C950">
        <v>907</v>
      </c>
      <c r="D950" t="e">
        <f t="shared" ca="1" si="30"/>
        <v>#NAME?</v>
      </c>
      <c r="E950" s="115" t="e">
        <f t="array" aca="1" ref="E950" ca="1">IF(OR(C949=0,AND(B951=0,C951=0)),"",IFERROR(INDEX($F$27:$F$36,MATCH(C950,($F$27:$F$36)*($D$27:$D$36&lt;&gt;0),0)),IF(OR(AND(D950=0,B950=0,B951&lt;&gt;0),AND(D950*D949&lt;0,B950&lt;&gt;0)),IF(D950=0,C950,C950*(1-ABS(D950)/(ABS(D950)+ABS(D949)))+C949*(1-ABS(D949)/(ABS(D950)+ABS(D949)))),"")))</f>
        <v>#NAME?</v>
      </c>
    </row>
    <row r="951" spans="2:5" x14ac:dyDescent="0.25">
      <c r="B951" t="e">
        <f t="shared" ca="1" si="31"/>
        <v>#NAME?</v>
      </c>
      <c r="C951">
        <v>908</v>
      </c>
      <c r="D951" t="e">
        <f t="shared" ca="1" si="30"/>
        <v>#NAME?</v>
      </c>
      <c r="E951" s="115" t="e">
        <f t="array" aca="1" ref="E951" ca="1">IF(OR(C950=0,AND(B952=0,C952=0)),"",IFERROR(INDEX($F$27:$F$36,MATCH(C951,($F$27:$F$36)*($D$27:$D$36&lt;&gt;0),0)),IF(OR(AND(D951=0,B951=0,B952&lt;&gt;0),AND(D951*D950&lt;0,B951&lt;&gt;0)),IF(D951=0,C951,C951*(1-ABS(D951)/(ABS(D951)+ABS(D950)))+C950*(1-ABS(D950)/(ABS(D951)+ABS(D950)))),"")))</f>
        <v>#NAME?</v>
      </c>
    </row>
    <row r="952" spans="2:5" x14ac:dyDescent="0.25">
      <c r="B952" t="e">
        <f t="shared" ca="1" si="31"/>
        <v>#NAME?</v>
      </c>
      <c r="C952">
        <v>909</v>
      </c>
      <c r="D952" t="e">
        <f t="shared" ca="1" si="30"/>
        <v>#NAME?</v>
      </c>
      <c r="E952" s="115" t="e">
        <f t="array" aca="1" ref="E952" ca="1">IF(OR(C951=0,AND(B953=0,C953=0)),"",IFERROR(INDEX($F$27:$F$36,MATCH(C952,($F$27:$F$36)*($D$27:$D$36&lt;&gt;0),0)),IF(OR(AND(D952=0,B952=0,B953&lt;&gt;0),AND(D952*D951&lt;0,B952&lt;&gt;0)),IF(D952=0,C952,C952*(1-ABS(D952)/(ABS(D952)+ABS(D951)))+C951*(1-ABS(D951)/(ABS(D952)+ABS(D951)))),"")))</f>
        <v>#NAME?</v>
      </c>
    </row>
    <row r="953" spans="2:5" x14ac:dyDescent="0.25">
      <c r="B953" t="e">
        <f t="shared" ca="1" si="31"/>
        <v>#NAME?</v>
      </c>
      <c r="C953">
        <v>910</v>
      </c>
      <c r="D953" t="e">
        <f t="shared" ca="1" si="30"/>
        <v>#NAME?</v>
      </c>
      <c r="E953" s="115" t="e">
        <f t="array" aca="1" ref="E953" ca="1">IF(OR(C952=0,AND(B954=0,C954=0)),"",IFERROR(INDEX($F$27:$F$36,MATCH(C953,($F$27:$F$36)*($D$27:$D$36&lt;&gt;0),0)),IF(OR(AND(D953=0,B953=0,B954&lt;&gt;0),AND(D953*D952&lt;0,B953&lt;&gt;0)),IF(D953=0,C953,C953*(1-ABS(D953)/(ABS(D953)+ABS(D952)))+C952*(1-ABS(D952)/(ABS(D953)+ABS(D952)))),"")))</f>
        <v>#NAME?</v>
      </c>
    </row>
    <row r="954" spans="2:5" x14ac:dyDescent="0.25">
      <c r="B954" t="e">
        <f t="shared" ca="1" si="31"/>
        <v>#NAME?</v>
      </c>
      <c r="C954">
        <v>911</v>
      </c>
      <c r="D954" t="e">
        <f t="shared" ca="1" si="30"/>
        <v>#NAME?</v>
      </c>
      <c r="E954" s="115" t="e">
        <f t="array" aca="1" ref="E954" ca="1">IF(OR(C953=0,AND(B955=0,C955=0)),"",IFERROR(INDEX($F$27:$F$36,MATCH(C954,($F$27:$F$36)*($D$27:$D$36&lt;&gt;0),0)),IF(OR(AND(D954=0,B954=0,B955&lt;&gt;0),AND(D954*D953&lt;0,B954&lt;&gt;0)),IF(D954=0,C954,C954*(1-ABS(D954)/(ABS(D954)+ABS(D953)))+C953*(1-ABS(D953)/(ABS(D954)+ABS(D953)))),"")))</f>
        <v>#NAME?</v>
      </c>
    </row>
    <row r="955" spans="2:5" x14ac:dyDescent="0.25">
      <c r="B955" t="e">
        <f t="shared" ca="1" si="31"/>
        <v>#NAME?</v>
      </c>
      <c r="C955">
        <v>912</v>
      </c>
      <c r="D955" t="e">
        <f t="shared" ca="1" si="30"/>
        <v>#NAME?</v>
      </c>
      <c r="E955" s="115" t="e">
        <f t="array" aca="1" ref="E955" ca="1">IF(OR(C954=0,AND(B956=0,C956=0)),"",IFERROR(INDEX($F$27:$F$36,MATCH(C955,($F$27:$F$36)*($D$27:$D$36&lt;&gt;0),0)),IF(OR(AND(D955=0,B955=0,B956&lt;&gt;0),AND(D955*D954&lt;0,B955&lt;&gt;0)),IF(D955=0,C955,C955*(1-ABS(D955)/(ABS(D955)+ABS(D954)))+C954*(1-ABS(D954)/(ABS(D955)+ABS(D954)))),"")))</f>
        <v>#NAME?</v>
      </c>
    </row>
    <row r="956" spans="2:5" x14ac:dyDescent="0.25">
      <c r="B956" t="e">
        <f t="shared" ca="1" si="31"/>
        <v>#NAME?</v>
      </c>
      <c r="C956">
        <v>913</v>
      </c>
      <c r="D956" t="e">
        <f t="shared" ca="1" si="30"/>
        <v>#NAME?</v>
      </c>
      <c r="E956" s="115" t="e">
        <f t="array" aca="1" ref="E956" ca="1">IF(OR(C955=0,AND(B957=0,C957=0)),"",IFERROR(INDEX($F$27:$F$36,MATCH(C956,($F$27:$F$36)*($D$27:$D$36&lt;&gt;0),0)),IF(OR(AND(D956=0,B956=0,B957&lt;&gt;0),AND(D956*D955&lt;0,B956&lt;&gt;0)),IF(D956=0,C956,C956*(1-ABS(D956)/(ABS(D956)+ABS(D955)))+C955*(1-ABS(D955)/(ABS(D956)+ABS(D955)))),"")))</f>
        <v>#NAME?</v>
      </c>
    </row>
    <row r="957" spans="2:5" x14ac:dyDescent="0.25">
      <c r="B957" t="e">
        <f t="shared" ca="1" si="31"/>
        <v>#NAME?</v>
      </c>
      <c r="C957">
        <v>914</v>
      </c>
      <c r="D957" t="e">
        <f t="shared" ca="1" si="30"/>
        <v>#NAME?</v>
      </c>
      <c r="E957" s="115" t="e">
        <f t="array" aca="1" ref="E957" ca="1">IF(OR(C956=0,AND(B958=0,C958=0)),"",IFERROR(INDEX($F$27:$F$36,MATCH(C957,($F$27:$F$36)*($D$27:$D$36&lt;&gt;0),0)),IF(OR(AND(D957=0,B957=0,B958&lt;&gt;0),AND(D957*D956&lt;0,B957&lt;&gt;0)),IF(D957=0,C957,C957*(1-ABS(D957)/(ABS(D957)+ABS(D956)))+C956*(1-ABS(D956)/(ABS(D957)+ABS(D956)))),"")))</f>
        <v>#NAME?</v>
      </c>
    </row>
    <row r="958" spans="2:5" x14ac:dyDescent="0.25">
      <c r="B958" t="e">
        <f t="shared" ca="1" si="31"/>
        <v>#NAME?</v>
      </c>
      <c r="C958">
        <v>915</v>
      </c>
      <c r="D958" t="e">
        <f t="shared" ca="1" si="30"/>
        <v>#NAME?</v>
      </c>
      <c r="E958" s="115" t="e">
        <f t="array" aca="1" ref="E958" ca="1">IF(OR(C957=0,AND(B959=0,C959=0)),"",IFERROR(INDEX($F$27:$F$36,MATCH(C958,($F$27:$F$36)*($D$27:$D$36&lt;&gt;0),0)),IF(OR(AND(D958=0,B958=0,B959&lt;&gt;0),AND(D958*D957&lt;0,B958&lt;&gt;0)),IF(D958=0,C958,C958*(1-ABS(D958)/(ABS(D958)+ABS(D957)))+C957*(1-ABS(D957)/(ABS(D958)+ABS(D957)))),"")))</f>
        <v>#NAME?</v>
      </c>
    </row>
    <row r="959" spans="2:5" x14ac:dyDescent="0.25">
      <c r="B959" t="e">
        <f t="shared" ca="1" si="31"/>
        <v>#NAME?</v>
      </c>
      <c r="C959">
        <v>916</v>
      </c>
      <c r="D959" t="e">
        <f t="shared" ca="1" si="30"/>
        <v>#NAME?</v>
      </c>
      <c r="E959" s="115" t="e">
        <f t="array" aca="1" ref="E959" ca="1">IF(OR(C958=0,AND(B960=0,C960=0)),"",IFERROR(INDEX($F$27:$F$36,MATCH(C959,($F$27:$F$36)*($D$27:$D$36&lt;&gt;0),0)),IF(OR(AND(D959=0,B959=0,B960&lt;&gt;0),AND(D959*D958&lt;0,B959&lt;&gt;0)),IF(D959=0,C959,C959*(1-ABS(D959)/(ABS(D959)+ABS(D958)))+C958*(1-ABS(D958)/(ABS(D959)+ABS(D958)))),"")))</f>
        <v>#NAME?</v>
      </c>
    </row>
    <row r="960" spans="2:5" x14ac:dyDescent="0.25">
      <c r="B960" t="e">
        <f t="shared" ca="1" si="31"/>
        <v>#NAME?</v>
      </c>
      <c r="C960">
        <v>917</v>
      </c>
      <c r="D960" t="e">
        <f t="shared" ca="1" si="30"/>
        <v>#NAME?</v>
      </c>
      <c r="E960" s="115" t="e">
        <f t="array" aca="1" ref="E960" ca="1">IF(OR(C959=0,AND(B961=0,C961=0)),"",IFERROR(INDEX($F$27:$F$36,MATCH(C960,($F$27:$F$36)*($D$27:$D$36&lt;&gt;0),0)),IF(OR(AND(D960=0,B960=0,B961&lt;&gt;0),AND(D960*D959&lt;0,B960&lt;&gt;0)),IF(D960=0,C960,C960*(1-ABS(D960)/(ABS(D960)+ABS(D959)))+C959*(1-ABS(D959)/(ABS(D960)+ABS(D959)))),"")))</f>
        <v>#NAME?</v>
      </c>
    </row>
    <row r="961" spans="2:5" x14ac:dyDescent="0.25">
      <c r="B961" t="e">
        <f t="shared" ca="1" si="31"/>
        <v>#NAME?</v>
      </c>
      <c r="C961">
        <v>918</v>
      </c>
      <c r="D961" t="e">
        <f t="shared" ca="1" si="30"/>
        <v>#NAME?</v>
      </c>
      <c r="E961" s="115" t="e">
        <f t="array" aca="1" ref="E961" ca="1">IF(OR(C960=0,AND(B962=0,C962=0)),"",IFERROR(INDEX($F$27:$F$36,MATCH(C961,($F$27:$F$36)*($D$27:$D$36&lt;&gt;0),0)),IF(OR(AND(D961=0,B961=0,B962&lt;&gt;0),AND(D961*D960&lt;0,B961&lt;&gt;0)),IF(D961=0,C961,C961*(1-ABS(D961)/(ABS(D961)+ABS(D960)))+C960*(1-ABS(D960)/(ABS(D961)+ABS(D960)))),"")))</f>
        <v>#NAME?</v>
      </c>
    </row>
    <row r="962" spans="2:5" x14ac:dyDescent="0.25">
      <c r="B962" t="e">
        <f t="shared" ca="1" si="31"/>
        <v>#NAME?</v>
      </c>
      <c r="C962">
        <v>919</v>
      </c>
      <c r="D962" t="e">
        <f t="shared" ca="1" si="30"/>
        <v>#NAME?</v>
      </c>
      <c r="E962" s="115" t="e">
        <f t="array" aca="1" ref="E962" ca="1">IF(OR(C961=0,AND(B963=0,C963=0)),"",IFERROR(INDEX($F$27:$F$36,MATCH(C962,($F$27:$F$36)*($D$27:$D$36&lt;&gt;0),0)),IF(OR(AND(D962=0,B962=0,B963&lt;&gt;0),AND(D962*D961&lt;0,B962&lt;&gt;0)),IF(D962=0,C962,C962*(1-ABS(D962)/(ABS(D962)+ABS(D961)))+C961*(1-ABS(D961)/(ABS(D962)+ABS(D961)))),"")))</f>
        <v>#NAME?</v>
      </c>
    </row>
    <row r="963" spans="2:5" x14ac:dyDescent="0.25">
      <c r="B963" t="e">
        <f t="shared" ca="1" si="31"/>
        <v>#NAME?</v>
      </c>
      <c r="C963">
        <v>920</v>
      </c>
      <c r="D963" t="e">
        <f t="shared" ca="1" si="30"/>
        <v>#NAME?</v>
      </c>
      <c r="E963" s="115" t="e">
        <f t="array" aca="1" ref="E963" ca="1">IF(OR(C962=0,AND(B964=0,C964=0)),"",IFERROR(INDEX($F$27:$F$36,MATCH(C963,($F$27:$F$36)*($D$27:$D$36&lt;&gt;0),0)),IF(OR(AND(D963=0,B963=0,B964&lt;&gt;0),AND(D963*D962&lt;0,B963&lt;&gt;0)),IF(D963=0,C963,C963*(1-ABS(D963)/(ABS(D963)+ABS(D962)))+C962*(1-ABS(D962)/(ABS(D963)+ABS(D962)))),"")))</f>
        <v>#NAME?</v>
      </c>
    </row>
    <row r="964" spans="2:5" x14ac:dyDescent="0.25">
      <c r="B964" t="e">
        <f t="shared" ca="1" si="31"/>
        <v>#NAME?</v>
      </c>
      <c r="C964">
        <v>921</v>
      </c>
      <c r="D964" t="e">
        <f t="shared" ca="1" si="30"/>
        <v>#NAME?</v>
      </c>
      <c r="E964" s="115" t="e">
        <f t="array" aca="1" ref="E964" ca="1">IF(OR(C963=0,AND(B965=0,C965=0)),"",IFERROR(INDEX($F$27:$F$36,MATCH(C964,($F$27:$F$36)*($D$27:$D$36&lt;&gt;0),0)),IF(OR(AND(D964=0,B964=0,B965&lt;&gt;0),AND(D964*D963&lt;0,B964&lt;&gt;0)),IF(D964=0,C964,C964*(1-ABS(D964)/(ABS(D964)+ABS(D963)))+C963*(1-ABS(D963)/(ABS(D964)+ABS(D963)))),"")))</f>
        <v>#NAME?</v>
      </c>
    </row>
    <row r="965" spans="2:5" x14ac:dyDescent="0.25">
      <c r="B965" t="e">
        <f t="shared" ca="1" si="31"/>
        <v>#NAME?</v>
      </c>
      <c r="C965">
        <v>922</v>
      </c>
      <c r="D965" t="e">
        <f t="shared" ca="1" si="30"/>
        <v>#NAME?</v>
      </c>
      <c r="E965" s="115" t="e">
        <f t="array" aca="1" ref="E965" ca="1">IF(OR(C964=0,AND(B966=0,C966=0)),"",IFERROR(INDEX($F$27:$F$36,MATCH(C965,($F$27:$F$36)*($D$27:$D$36&lt;&gt;0),0)),IF(OR(AND(D965=0,B965=0,B966&lt;&gt;0),AND(D965*D964&lt;0,B965&lt;&gt;0)),IF(D965=0,C965,C965*(1-ABS(D965)/(ABS(D965)+ABS(D964)))+C964*(1-ABS(D964)/(ABS(D965)+ABS(D964)))),"")))</f>
        <v>#NAME?</v>
      </c>
    </row>
    <row r="966" spans="2:5" x14ac:dyDescent="0.25">
      <c r="B966" t="e">
        <f t="shared" ca="1" si="31"/>
        <v>#NAME?</v>
      </c>
      <c r="C966">
        <v>923</v>
      </c>
      <c r="D966" t="e">
        <f t="shared" ca="1" si="30"/>
        <v>#NAME?</v>
      </c>
      <c r="E966" s="115" t="e">
        <f t="array" aca="1" ref="E966" ca="1">IF(OR(C965=0,AND(B967=0,C967=0)),"",IFERROR(INDEX($F$27:$F$36,MATCH(C966,($F$27:$F$36)*($D$27:$D$36&lt;&gt;0),0)),IF(OR(AND(D966=0,B966=0,B967&lt;&gt;0),AND(D966*D965&lt;0,B966&lt;&gt;0)),IF(D966=0,C966,C966*(1-ABS(D966)/(ABS(D966)+ABS(D965)))+C965*(1-ABS(D965)/(ABS(D966)+ABS(D965)))),"")))</f>
        <v>#NAME?</v>
      </c>
    </row>
    <row r="967" spans="2:5" x14ac:dyDescent="0.25">
      <c r="B967" t="e">
        <f t="shared" ca="1" si="31"/>
        <v>#NAME?</v>
      </c>
      <c r="C967">
        <v>924</v>
      </c>
      <c r="D967" t="e">
        <f t="shared" ca="1" si="30"/>
        <v>#NAME?</v>
      </c>
      <c r="E967" s="115" t="e">
        <f t="array" aca="1" ref="E967" ca="1">IF(OR(C966=0,AND(B968=0,C968=0)),"",IFERROR(INDEX($F$27:$F$36,MATCH(C967,($F$27:$F$36)*($D$27:$D$36&lt;&gt;0),0)),IF(OR(AND(D967=0,B967=0,B968&lt;&gt;0),AND(D967*D966&lt;0,B967&lt;&gt;0)),IF(D967=0,C967,C967*(1-ABS(D967)/(ABS(D967)+ABS(D966)))+C966*(1-ABS(D966)/(ABS(D967)+ABS(D966)))),"")))</f>
        <v>#NAME?</v>
      </c>
    </row>
    <row r="968" spans="2:5" x14ac:dyDescent="0.25">
      <c r="B968" t="e">
        <f t="shared" ca="1" si="31"/>
        <v>#NAME?</v>
      </c>
      <c r="C968">
        <v>925</v>
      </c>
      <c r="D968" t="e">
        <f t="shared" ca="1" si="30"/>
        <v>#NAME?</v>
      </c>
      <c r="E968" s="115" t="e">
        <f t="array" aca="1" ref="E968" ca="1">IF(OR(C967=0,AND(B969=0,C969=0)),"",IFERROR(INDEX($F$27:$F$36,MATCH(C968,($F$27:$F$36)*($D$27:$D$36&lt;&gt;0),0)),IF(OR(AND(D968=0,B968=0,B969&lt;&gt;0),AND(D968*D967&lt;0,B968&lt;&gt;0)),IF(D968=0,C968,C968*(1-ABS(D968)/(ABS(D968)+ABS(D967)))+C967*(1-ABS(D967)/(ABS(D968)+ABS(D967)))),"")))</f>
        <v>#NAME?</v>
      </c>
    </row>
    <row r="969" spans="2:5" x14ac:dyDescent="0.25">
      <c r="B969" t="e">
        <f t="shared" ca="1" si="31"/>
        <v>#NAME?</v>
      </c>
      <c r="C969">
        <v>926</v>
      </c>
      <c r="D969" t="e">
        <f t="shared" ca="1" si="30"/>
        <v>#NAME?</v>
      </c>
      <c r="E969" s="115" t="e">
        <f t="array" aca="1" ref="E969" ca="1">IF(OR(C968=0,AND(B970=0,C970=0)),"",IFERROR(INDEX($F$27:$F$36,MATCH(C969,($F$27:$F$36)*($D$27:$D$36&lt;&gt;0),0)),IF(OR(AND(D969=0,B969=0,B970&lt;&gt;0),AND(D969*D968&lt;0,B969&lt;&gt;0)),IF(D969=0,C969,C969*(1-ABS(D969)/(ABS(D969)+ABS(D968)))+C968*(1-ABS(D968)/(ABS(D969)+ABS(D968)))),"")))</f>
        <v>#NAME?</v>
      </c>
    </row>
    <row r="970" spans="2:5" x14ac:dyDescent="0.25">
      <c r="B970" t="e">
        <f t="shared" ca="1" si="31"/>
        <v>#NAME?</v>
      </c>
      <c r="C970">
        <v>927</v>
      </c>
      <c r="D970" t="e">
        <f t="shared" ca="1" si="30"/>
        <v>#NAME?</v>
      </c>
      <c r="E970" s="115" t="e">
        <f t="array" aca="1" ref="E970" ca="1">IF(OR(C969=0,AND(B971=0,C971=0)),"",IFERROR(INDEX($F$27:$F$36,MATCH(C970,($F$27:$F$36)*($D$27:$D$36&lt;&gt;0),0)),IF(OR(AND(D970=0,B970=0,B971&lt;&gt;0),AND(D970*D969&lt;0,B970&lt;&gt;0)),IF(D970=0,C970,C970*(1-ABS(D970)/(ABS(D970)+ABS(D969)))+C969*(1-ABS(D969)/(ABS(D970)+ABS(D969)))),"")))</f>
        <v>#NAME?</v>
      </c>
    </row>
    <row r="971" spans="2:5" x14ac:dyDescent="0.25">
      <c r="B971" t="e">
        <f t="shared" ca="1" si="31"/>
        <v>#NAME?</v>
      </c>
      <c r="C971">
        <v>928</v>
      </c>
      <c r="D971" t="e">
        <f t="shared" ca="1" si="30"/>
        <v>#NAME?</v>
      </c>
      <c r="E971" s="115" t="e">
        <f t="array" aca="1" ref="E971" ca="1">IF(OR(C970=0,AND(B972=0,C972=0)),"",IFERROR(INDEX($F$27:$F$36,MATCH(C971,($F$27:$F$36)*($D$27:$D$36&lt;&gt;0),0)),IF(OR(AND(D971=0,B971=0,B972&lt;&gt;0),AND(D971*D970&lt;0,B971&lt;&gt;0)),IF(D971=0,C971,C971*(1-ABS(D971)/(ABS(D971)+ABS(D970)))+C970*(1-ABS(D970)/(ABS(D971)+ABS(D970)))),"")))</f>
        <v>#NAME?</v>
      </c>
    </row>
    <row r="972" spans="2:5" x14ac:dyDescent="0.25">
      <c r="B972" t="e">
        <f t="shared" ca="1" si="31"/>
        <v>#NAME?</v>
      </c>
      <c r="C972">
        <v>929</v>
      </c>
      <c r="D972" t="e">
        <f t="shared" ca="1" si="30"/>
        <v>#NAME?</v>
      </c>
      <c r="E972" s="115" t="e">
        <f t="array" aca="1" ref="E972" ca="1">IF(OR(C971=0,AND(B973=0,C973=0)),"",IFERROR(INDEX($F$27:$F$36,MATCH(C972,($F$27:$F$36)*($D$27:$D$36&lt;&gt;0),0)),IF(OR(AND(D972=0,B972=0,B973&lt;&gt;0),AND(D972*D971&lt;0,B972&lt;&gt;0)),IF(D972=0,C972,C972*(1-ABS(D972)/(ABS(D972)+ABS(D971)))+C971*(1-ABS(D971)/(ABS(D972)+ABS(D971)))),"")))</f>
        <v>#NAME?</v>
      </c>
    </row>
    <row r="973" spans="2:5" x14ac:dyDescent="0.25">
      <c r="B973" t="e">
        <f t="shared" ca="1" si="31"/>
        <v>#NAME?</v>
      </c>
      <c r="C973">
        <v>930</v>
      </c>
      <c r="D973" t="e">
        <f t="shared" ca="1" si="30"/>
        <v>#NAME?</v>
      </c>
      <c r="E973" s="115" t="e">
        <f t="array" aca="1" ref="E973" ca="1">IF(OR(C972=0,AND(B974=0,C974=0)),"",IFERROR(INDEX($F$27:$F$36,MATCH(C973,($F$27:$F$36)*($D$27:$D$36&lt;&gt;0),0)),IF(OR(AND(D973=0,B973=0,B974&lt;&gt;0),AND(D973*D972&lt;0,B973&lt;&gt;0)),IF(D973=0,C973,C973*(1-ABS(D973)/(ABS(D973)+ABS(D972)))+C972*(1-ABS(D972)/(ABS(D973)+ABS(D972)))),"")))</f>
        <v>#NAME?</v>
      </c>
    </row>
    <row r="974" spans="2:5" x14ac:dyDescent="0.25">
      <c r="B974" t="e">
        <f t="shared" ca="1" si="31"/>
        <v>#NAME?</v>
      </c>
      <c r="C974">
        <v>931</v>
      </c>
      <c r="D974" t="e">
        <f t="shared" ca="1" si="30"/>
        <v>#NAME?</v>
      </c>
      <c r="E974" s="115" t="e">
        <f t="array" aca="1" ref="E974" ca="1">IF(OR(C973=0,AND(B975=0,C975=0)),"",IFERROR(INDEX($F$27:$F$36,MATCH(C974,($F$27:$F$36)*($D$27:$D$36&lt;&gt;0),0)),IF(OR(AND(D974=0,B974=0,B975&lt;&gt;0),AND(D974*D973&lt;0,B974&lt;&gt;0)),IF(D974=0,C974,C974*(1-ABS(D974)/(ABS(D974)+ABS(D973)))+C973*(1-ABS(D973)/(ABS(D974)+ABS(D973)))),"")))</f>
        <v>#NAME?</v>
      </c>
    </row>
    <row r="975" spans="2:5" x14ac:dyDescent="0.25">
      <c r="B975" t="e">
        <f t="shared" ca="1" si="31"/>
        <v>#NAME?</v>
      </c>
      <c r="C975">
        <v>932</v>
      </c>
      <c r="D975" t="e">
        <f t="shared" ca="1" si="30"/>
        <v>#NAME?</v>
      </c>
      <c r="E975" s="115" t="e">
        <f t="array" aca="1" ref="E975" ca="1">IF(OR(C974=0,AND(B976=0,C976=0)),"",IFERROR(INDEX($F$27:$F$36,MATCH(C975,($F$27:$F$36)*($D$27:$D$36&lt;&gt;0),0)),IF(OR(AND(D975=0,B975=0,B976&lt;&gt;0),AND(D975*D974&lt;0,B975&lt;&gt;0)),IF(D975=0,C975,C975*(1-ABS(D975)/(ABS(D975)+ABS(D974)))+C974*(1-ABS(D974)/(ABS(D975)+ABS(D974)))),"")))</f>
        <v>#NAME?</v>
      </c>
    </row>
    <row r="976" spans="2:5" x14ac:dyDescent="0.25">
      <c r="B976" t="e">
        <f t="shared" ca="1" si="31"/>
        <v>#NAME?</v>
      </c>
      <c r="C976">
        <v>933</v>
      </c>
      <c r="D976" t="e">
        <f t="shared" ca="1" si="30"/>
        <v>#NAME?</v>
      </c>
      <c r="E976" s="115" t="e">
        <f t="array" aca="1" ref="E976" ca="1">IF(OR(C975=0,AND(B977=0,C977=0)),"",IFERROR(INDEX($F$27:$F$36,MATCH(C976,($F$27:$F$36)*($D$27:$D$36&lt;&gt;0),0)),IF(OR(AND(D976=0,B976=0,B977&lt;&gt;0),AND(D976*D975&lt;0,B976&lt;&gt;0)),IF(D976=0,C976,C976*(1-ABS(D976)/(ABS(D976)+ABS(D975)))+C975*(1-ABS(D975)/(ABS(D976)+ABS(D975)))),"")))</f>
        <v>#NAME?</v>
      </c>
    </row>
    <row r="977" spans="2:5" x14ac:dyDescent="0.25">
      <c r="B977" t="e">
        <f t="shared" ca="1" si="31"/>
        <v>#NAME?</v>
      </c>
      <c r="C977">
        <v>934</v>
      </c>
      <c r="D977" t="e">
        <f t="shared" ca="1" si="30"/>
        <v>#NAME?</v>
      </c>
      <c r="E977" s="115" t="e">
        <f t="array" aca="1" ref="E977" ca="1">IF(OR(C976=0,AND(B978=0,C978=0)),"",IFERROR(INDEX($F$27:$F$36,MATCH(C977,($F$27:$F$36)*($D$27:$D$36&lt;&gt;0),0)),IF(OR(AND(D977=0,B977=0,B978&lt;&gt;0),AND(D977*D976&lt;0,B977&lt;&gt;0)),IF(D977=0,C977,C977*(1-ABS(D977)/(ABS(D977)+ABS(D976)))+C976*(1-ABS(D976)/(ABS(D977)+ABS(D976)))),"")))</f>
        <v>#NAME?</v>
      </c>
    </row>
    <row r="978" spans="2:5" x14ac:dyDescent="0.25">
      <c r="B978" t="e">
        <f t="shared" ca="1" si="31"/>
        <v>#NAME?</v>
      </c>
      <c r="C978">
        <v>935</v>
      </c>
      <c r="D978" t="e">
        <f t="shared" ca="1" si="30"/>
        <v>#NAME?</v>
      </c>
      <c r="E978" s="115" t="e">
        <f t="array" aca="1" ref="E978" ca="1">IF(OR(C977=0,AND(B979=0,C979=0)),"",IFERROR(INDEX($F$27:$F$36,MATCH(C978,($F$27:$F$36)*($D$27:$D$36&lt;&gt;0),0)),IF(OR(AND(D978=0,B978=0,B979&lt;&gt;0),AND(D978*D977&lt;0,B978&lt;&gt;0)),IF(D978=0,C978,C978*(1-ABS(D978)/(ABS(D978)+ABS(D977)))+C977*(1-ABS(D977)/(ABS(D978)+ABS(D977)))),"")))</f>
        <v>#NAME?</v>
      </c>
    </row>
    <row r="979" spans="2:5" x14ac:dyDescent="0.25">
      <c r="B979" t="e">
        <f t="shared" ca="1" si="31"/>
        <v>#NAME?</v>
      </c>
      <c r="C979">
        <v>936</v>
      </c>
      <c r="D979" t="e">
        <f t="shared" ca="1" si="30"/>
        <v>#NAME?</v>
      </c>
      <c r="E979" s="115" t="e">
        <f t="array" aca="1" ref="E979" ca="1">IF(OR(C978=0,AND(B980=0,C980=0)),"",IFERROR(INDEX($F$27:$F$36,MATCH(C979,($F$27:$F$36)*($D$27:$D$36&lt;&gt;0),0)),IF(OR(AND(D979=0,B979=0,B980&lt;&gt;0),AND(D979*D978&lt;0,B979&lt;&gt;0)),IF(D979=0,C979,C979*(1-ABS(D979)/(ABS(D979)+ABS(D978)))+C978*(1-ABS(D978)/(ABS(D979)+ABS(D978)))),"")))</f>
        <v>#NAME?</v>
      </c>
    </row>
    <row r="980" spans="2:5" x14ac:dyDescent="0.25">
      <c r="B980" t="e">
        <f t="shared" ca="1" si="31"/>
        <v>#NAME?</v>
      </c>
      <c r="C980">
        <v>937</v>
      </c>
      <c r="D980" t="e">
        <f t="shared" ca="1" si="30"/>
        <v>#NAME?</v>
      </c>
      <c r="E980" s="115" t="e">
        <f t="array" aca="1" ref="E980" ca="1">IF(OR(C979=0,AND(B981=0,C981=0)),"",IFERROR(INDEX($F$27:$F$36,MATCH(C980,($F$27:$F$36)*($D$27:$D$36&lt;&gt;0),0)),IF(OR(AND(D980=0,B980=0,B981&lt;&gt;0),AND(D980*D979&lt;0,B980&lt;&gt;0)),IF(D980=0,C980,C980*(1-ABS(D980)/(ABS(D980)+ABS(D979)))+C979*(1-ABS(D979)/(ABS(D980)+ABS(D979)))),"")))</f>
        <v>#NAME?</v>
      </c>
    </row>
    <row r="981" spans="2:5" x14ac:dyDescent="0.25">
      <c r="B981" t="e">
        <f t="shared" ca="1" si="31"/>
        <v>#NAME?</v>
      </c>
      <c r="C981">
        <v>938</v>
      </c>
      <c r="D981" t="e">
        <f t="shared" ca="1" si="30"/>
        <v>#NAME?</v>
      </c>
      <c r="E981" s="115" t="e">
        <f t="array" aca="1" ref="E981" ca="1">IF(OR(C980=0,AND(B982=0,C982=0)),"",IFERROR(INDEX($F$27:$F$36,MATCH(C981,($F$27:$F$36)*($D$27:$D$36&lt;&gt;0),0)),IF(OR(AND(D981=0,B981=0,B982&lt;&gt;0),AND(D981*D980&lt;0,B981&lt;&gt;0)),IF(D981=0,C981,C981*(1-ABS(D981)/(ABS(D981)+ABS(D980)))+C980*(1-ABS(D980)/(ABS(D981)+ABS(D980)))),"")))</f>
        <v>#NAME?</v>
      </c>
    </row>
    <row r="982" spans="2:5" x14ac:dyDescent="0.25">
      <c r="B982" t="e">
        <f t="shared" ca="1" si="31"/>
        <v>#NAME?</v>
      </c>
      <c r="C982">
        <v>939</v>
      </c>
      <c r="D982" t="e">
        <f t="shared" ca="1" si="30"/>
        <v>#NAME?</v>
      </c>
      <c r="E982" s="115" t="e">
        <f t="array" aca="1" ref="E982" ca="1">IF(OR(C981=0,AND(B983=0,C983=0)),"",IFERROR(INDEX($F$27:$F$36,MATCH(C982,($F$27:$F$36)*($D$27:$D$36&lt;&gt;0),0)),IF(OR(AND(D982=0,B982=0,B983&lt;&gt;0),AND(D982*D981&lt;0,B982&lt;&gt;0)),IF(D982=0,C982,C982*(1-ABS(D982)/(ABS(D982)+ABS(D981)))+C981*(1-ABS(D981)/(ABS(D982)+ABS(D981)))),"")))</f>
        <v>#NAME?</v>
      </c>
    </row>
    <row r="983" spans="2:5" x14ac:dyDescent="0.25">
      <c r="B983" t="e">
        <f t="shared" ca="1" si="31"/>
        <v>#NAME?</v>
      </c>
      <c r="C983">
        <v>940</v>
      </c>
      <c r="D983" t="e">
        <f t="shared" ca="1" si="30"/>
        <v>#NAME?</v>
      </c>
      <c r="E983" s="115" t="e">
        <f t="array" aca="1" ref="E983" ca="1">IF(OR(C982=0,AND(B984=0,C984=0)),"",IFERROR(INDEX($F$27:$F$36,MATCH(C983,($F$27:$F$36)*($D$27:$D$36&lt;&gt;0),0)),IF(OR(AND(D983=0,B983=0,B984&lt;&gt;0),AND(D983*D982&lt;0,B983&lt;&gt;0)),IF(D983=0,C983,C983*(1-ABS(D983)/(ABS(D983)+ABS(D982)))+C982*(1-ABS(D982)/(ABS(D983)+ABS(D982)))),"")))</f>
        <v>#NAME?</v>
      </c>
    </row>
    <row r="984" spans="2:5" x14ac:dyDescent="0.25">
      <c r="B984" t="e">
        <f t="shared" ca="1" si="31"/>
        <v>#NAME?</v>
      </c>
      <c r="C984">
        <v>941</v>
      </c>
      <c r="D984" t="e">
        <f t="shared" ca="1" si="30"/>
        <v>#NAME?</v>
      </c>
      <c r="E984" s="115" t="e">
        <f t="array" aca="1" ref="E984" ca="1">IF(OR(C983=0,AND(B985=0,C985=0)),"",IFERROR(INDEX($F$27:$F$36,MATCH(C984,($F$27:$F$36)*($D$27:$D$36&lt;&gt;0),0)),IF(OR(AND(D984=0,B984=0,B985&lt;&gt;0),AND(D984*D983&lt;0,B984&lt;&gt;0)),IF(D984=0,C984,C984*(1-ABS(D984)/(ABS(D984)+ABS(D983)))+C983*(1-ABS(D983)/(ABS(D984)+ABS(D983)))),"")))</f>
        <v>#NAME?</v>
      </c>
    </row>
    <row r="985" spans="2:5" x14ac:dyDescent="0.25">
      <c r="B985" t="e">
        <f t="shared" ca="1" si="31"/>
        <v>#NAME?</v>
      </c>
      <c r="C985">
        <v>942</v>
      </c>
      <c r="D985" t="e">
        <f t="shared" ca="1" si="30"/>
        <v>#NAME?</v>
      </c>
      <c r="E985" s="115" t="e">
        <f t="array" aca="1" ref="E985" ca="1">IF(OR(C984=0,AND(B986=0,C986=0)),"",IFERROR(INDEX($F$27:$F$36,MATCH(C985,($F$27:$F$36)*($D$27:$D$36&lt;&gt;0),0)),IF(OR(AND(D985=0,B985=0,B986&lt;&gt;0),AND(D985*D984&lt;0,B985&lt;&gt;0)),IF(D985=0,C985,C985*(1-ABS(D985)/(ABS(D985)+ABS(D984)))+C984*(1-ABS(D984)/(ABS(D985)+ABS(D984)))),"")))</f>
        <v>#NAME?</v>
      </c>
    </row>
    <row r="986" spans="2:5" x14ac:dyDescent="0.25">
      <c r="B986" t="e">
        <f t="shared" ca="1" si="31"/>
        <v>#NAME?</v>
      </c>
      <c r="C986">
        <v>943</v>
      </c>
      <c r="D986" t="e">
        <f t="shared" ca="1" si="30"/>
        <v>#NAME?</v>
      </c>
      <c r="E986" s="115" t="e">
        <f t="array" aca="1" ref="E986" ca="1">IF(OR(C985=0,AND(B987=0,C987=0)),"",IFERROR(INDEX($F$27:$F$36,MATCH(C986,($F$27:$F$36)*($D$27:$D$36&lt;&gt;0),0)),IF(OR(AND(D986=0,B986=0,B987&lt;&gt;0),AND(D986*D985&lt;0,B986&lt;&gt;0)),IF(D986=0,C986,C986*(1-ABS(D986)/(ABS(D986)+ABS(D985)))+C985*(1-ABS(D985)/(ABS(D986)+ABS(D985)))),"")))</f>
        <v>#NAME?</v>
      </c>
    </row>
    <row r="987" spans="2:5" x14ac:dyDescent="0.25">
      <c r="B987" t="e">
        <f t="shared" ca="1" si="31"/>
        <v>#NAME?</v>
      </c>
      <c r="C987">
        <v>944</v>
      </c>
      <c r="D987" t="e">
        <f t="shared" ca="1" si="30"/>
        <v>#NAME?</v>
      </c>
      <c r="E987" s="115" t="e">
        <f t="array" aca="1" ref="E987" ca="1">IF(OR(C986=0,AND(B988=0,C988=0)),"",IFERROR(INDEX($F$27:$F$36,MATCH(C987,($F$27:$F$36)*($D$27:$D$36&lt;&gt;0),0)),IF(OR(AND(D987=0,B987=0,B988&lt;&gt;0),AND(D987*D986&lt;0,B987&lt;&gt;0)),IF(D987=0,C987,C987*(1-ABS(D987)/(ABS(D987)+ABS(D986)))+C986*(1-ABS(D986)/(ABS(D987)+ABS(D986)))),"")))</f>
        <v>#NAME?</v>
      </c>
    </row>
    <row r="988" spans="2:5" x14ac:dyDescent="0.25">
      <c r="B988" t="e">
        <f t="shared" ca="1" si="31"/>
        <v>#NAME?</v>
      </c>
      <c r="C988">
        <v>945</v>
      </c>
      <c r="D988" t="e">
        <f t="shared" ca="1" si="30"/>
        <v>#NAME?</v>
      </c>
      <c r="E988" s="115" t="e">
        <f t="array" aca="1" ref="E988" ca="1">IF(OR(C987=0,AND(B989=0,C989=0)),"",IFERROR(INDEX($F$27:$F$36,MATCH(C988,($F$27:$F$36)*($D$27:$D$36&lt;&gt;0),0)),IF(OR(AND(D988=0,B988=0,B989&lt;&gt;0),AND(D988*D987&lt;0,B988&lt;&gt;0)),IF(D988=0,C988,C988*(1-ABS(D988)/(ABS(D988)+ABS(D987)))+C987*(1-ABS(D987)/(ABS(D988)+ABS(D987)))),"")))</f>
        <v>#NAME?</v>
      </c>
    </row>
    <row r="989" spans="2:5" x14ac:dyDescent="0.25">
      <c r="B989" t="e">
        <f t="shared" ca="1" si="31"/>
        <v>#NAME?</v>
      </c>
      <c r="C989">
        <v>946</v>
      </c>
      <c r="D989" t="e">
        <f t="shared" ca="1" si="30"/>
        <v>#NAME?</v>
      </c>
      <c r="E989" s="115" t="e">
        <f t="array" aca="1" ref="E989" ca="1">IF(OR(C988=0,AND(B990=0,C990=0)),"",IFERROR(INDEX($F$27:$F$36,MATCH(C989,($F$27:$F$36)*($D$27:$D$36&lt;&gt;0),0)),IF(OR(AND(D989=0,B989=0,B990&lt;&gt;0),AND(D989*D988&lt;0,B989&lt;&gt;0)),IF(D989=0,C989,C989*(1-ABS(D989)/(ABS(D989)+ABS(D988)))+C988*(1-ABS(D988)/(ABS(D989)+ABS(D988)))),"")))</f>
        <v>#NAME?</v>
      </c>
    </row>
    <row r="990" spans="2:5" x14ac:dyDescent="0.25">
      <c r="B990" t="e">
        <f t="shared" ca="1" si="31"/>
        <v>#NAME?</v>
      </c>
      <c r="C990">
        <v>947</v>
      </c>
      <c r="D990" t="e">
        <f t="shared" ca="1" si="30"/>
        <v>#NAME?</v>
      </c>
      <c r="E990" s="115" t="e">
        <f t="array" aca="1" ref="E990" ca="1">IF(OR(C989=0,AND(B991=0,C991=0)),"",IFERROR(INDEX($F$27:$F$36,MATCH(C990,($F$27:$F$36)*($D$27:$D$36&lt;&gt;0),0)),IF(OR(AND(D990=0,B990=0,B991&lt;&gt;0),AND(D990*D989&lt;0,B990&lt;&gt;0)),IF(D990=0,C990,C990*(1-ABS(D990)/(ABS(D990)+ABS(D989)))+C989*(1-ABS(D989)/(ABS(D990)+ABS(D989)))),"")))</f>
        <v>#NAME?</v>
      </c>
    </row>
    <row r="991" spans="2:5" x14ac:dyDescent="0.25">
      <c r="B991" t="e">
        <f t="shared" ca="1" si="31"/>
        <v>#NAME?</v>
      </c>
      <c r="C991">
        <v>948</v>
      </c>
      <c r="D991" t="e">
        <f t="shared" ca="1" si="30"/>
        <v>#NAME?</v>
      </c>
      <c r="E991" s="115" t="e">
        <f t="array" aca="1" ref="E991" ca="1">IF(OR(C990=0,AND(B992=0,C992=0)),"",IFERROR(INDEX($F$27:$F$36,MATCH(C991,($F$27:$F$36)*($D$27:$D$36&lt;&gt;0),0)),IF(OR(AND(D991=0,B991=0,B992&lt;&gt;0),AND(D991*D990&lt;0,B991&lt;&gt;0)),IF(D991=0,C991,C991*(1-ABS(D991)/(ABS(D991)+ABS(D990)))+C990*(1-ABS(D990)/(ABS(D991)+ABS(D990)))),"")))</f>
        <v>#NAME?</v>
      </c>
    </row>
    <row r="992" spans="2:5" x14ac:dyDescent="0.25">
      <c r="B992" t="e">
        <f t="shared" ca="1" si="31"/>
        <v>#NAME?</v>
      </c>
      <c r="C992">
        <v>949</v>
      </c>
      <c r="D992" t="e">
        <f t="shared" ca="1" si="30"/>
        <v>#NAME?</v>
      </c>
      <c r="E992" s="115" t="e">
        <f t="array" aca="1" ref="E992" ca="1">IF(OR(C991=0,AND(B993=0,C993=0)),"",IFERROR(INDEX($F$27:$F$36,MATCH(C992,($F$27:$F$36)*($D$27:$D$36&lt;&gt;0),0)),IF(OR(AND(D992=0,B992=0,B993&lt;&gt;0),AND(D992*D991&lt;0,B992&lt;&gt;0)),IF(D992=0,C992,C992*(1-ABS(D992)/(ABS(D992)+ABS(D991)))+C991*(1-ABS(D991)/(ABS(D992)+ABS(D991)))),"")))</f>
        <v>#NAME?</v>
      </c>
    </row>
    <row r="993" spans="2:5" x14ac:dyDescent="0.25">
      <c r="B993" t="e">
        <f t="shared" ca="1" si="31"/>
        <v>#NAME?</v>
      </c>
      <c r="C993">
        <v>950</v>
      </c>
      <c r="D993" t="e">
        <f t="shared" ca="1" si="30"/>
        <v>#NAME?</v>
      </c>
      <c r="E993" s="115" t="e">
        <f t="array" aca="1" ref="E993" ca="1">IF(OR(C992=0,AND(B994=0,C994=0)),"",IFERROR(INDEX($F$27:$F$36,MATCH(C993,($F$27:$F$36)*($D$27:$D$36&lt;&gt;0),0)),IF(OR(AND(D993=0,B993=0,B994&lt;&gt;0),AND(D993*D992&lt;0,B993&lt;&gt;0)),IF(D993=0,C993,C993*(1-ABS(D993)/(ABS(D993)+ABS(D992)))+C992*(1-ABS(D992)/(ABS(D993)+ABS(D992)))),"")))</f>
        <v>#NAME?</v>
      </c>
    </row>
    <row r="994" spans="2:5" x14ac:dyDescent="0.25">
      <c r="B994" t="e">
        <f t="shared" ca="1" si="31"/>
        <v>#NAME?</v>
      </c>
      <c r="C994">
        <v>951</v>
      </c>
      <c r="D994" t="e">
        <f t="shared" ca="1" si="30"/>
        <v>#NAME?</v>
      </c>
      <c r="E994" s="115" t="e">
        <f t="array" aca="1" ref="E994" ca="1">IF(OR(C993=0,AND(B995=0,C995=0)),"",IFERROR(INDEX($F$27:$F$36,MATCH(C994,($F$27:$F$36)*($D$27:$D$36&lt;&gt;0),0)),IF(OR(AND(D994=0,B994=0,B995&lt;&gt;0),AND(D994*D993&lt;0,B994&lt;&gt;0)),IF(D994=0,C994,C994*(1-ABS(D994)/(ABS(D994)+ABS(D993)))+C993*(1-ABS(D993)/(ABS(D994)+ABS(D993)))),"")))</f>
        <v>#NAME?</v>
      </c>
    </row>
    <row r="995" spans="2:5" x14ac:dyDescent="0.25">
      <c r="B995" t="e">
        <f t="shared" ca="1" si="31"/>
        <v>#NAME?</v>
      </c>
      <c r="C995">
        <v>952</v>
      </c>
      <c r="D995" t="e">
        <f t="shared" ca="1" si="30"/>
        <v>#NAME?</v>
      </c>
      <c r="E995" s="115" t="e">
        <f t="array" aca="1" ref="E995" ca="1">IF(OR(C994=0,AND(B996=0,C996=0)),"",IFERROR(INDEX($F$27:$F$36,MATCH(C995,($F$27:$F$36)*($D$27:$D$36&lt;&gt;0),0)),IF(OR(AND(D995=0,B995=0,B996&lt;&gt;0),AND(D995*D994&lt;0,B995&lt;&gt;0)),IF(D995=0,C995,C995*(1-ABS(D995)/(ABS(D995)+ABS(D994)))+C994*(1-ABS(D994)/(ABS(D995)+ABS(D994)))),"")))</f>
        <v>#NAME?</v>
      </c>
    </row>
    <row r="996" spans="2:5" x14ac:dyDescent="0.25">
      <c r="B996" t="e">
        <f t="shared" ca="1" si="31"/>
        <v>#NAME?</v>
      </c>
      <c r="C996">
        <v>953</v>
      </c>
      <c r="D996" t="e">
        <f t="shared" ca="1" si="30"/>
        <v>#NAME?</v>
      </c>
      <c r="E996" s="115" t="e">
        <f t="array" aca="1" ref="E996" ca="1">IF(OR(C995=0,AND(B997=0,C997=0)),"",IFERROR(INDEX($F$27:$F$36,MATCH(C996,($F$27:$F$36)*($D$27:$D$36&lt;&gt;0),0)),IF(OR(AND(D996=0,B996=0,B997&lt;&gt;0),AND(D996*D995&lt;0,B996&lt;&gt;0)),IF(D996=0,C996,C996*(1-ABS(D996)/(ABS(D996)+ABS(D995)))+C995*(1-ABS(D995)/(ABS(D996)+ABS(D995)))),"")))</f>
        <v>#NAME?</v>
      </c>
    </row>
    <row r="997" spans="2:5" x14ac:dyDescent="0.25">
      <c r="B997" t="e">
        <f t="shared" ca="1" si="31"/>
        <v>#NAME?</v>
      </c>
      <c r="C997">
        <v>954</v>
      </c>
      <c r="D997" t="e">
        <f t="shared" ca="1" si="30"/>
        <v>#NAME?</v>
      </c>
      <c r="E997" s="115" t="e">
        <f t="array" aca="1" ref="E997" ca="1">IF(OR(C996=0,AND(B998=0,C998=0)),"",IFERROR(INDEX($F$27:$F$36,MATCH(C997,($F$27:$F$36)*($D$27:$D$36&lt;&gt;0),0)),IF(OR(AND(D997=0,B997=0,B998&lt;&gt;0),AND(D997*D996&lt;0,B997&lt;&gt;0)),IF(D997=0,C997,C997*(1-ABS(D997)/(ABS(D997)+ABS(D996)))+C996*(1-ABS(D996)/(ABS(D997)+ABS(D996)))),"")))</f>
        <v>#NAME?</v>
      </c>
    </row>
    <row r="998" spans="2:5" x14ac:dyDescent="0.25">
      <c r="B998" t="e">
        <f t="shared" ca="1" si="31"/>
        <v>#NAME?</v>
      </c>
      <c r="C998">
        <v>955</v>
      </c>
      <c r="D998" t="e">
        <f t="shared" ca="1" si="30"/>
        <v>#NAME?</v>
      </c>
      <c r="E998" s="115" t="e">
        <f t="array" aca="1" ref="E998" ca="1">IF(OR(C997=0,AND(B999=0,C999=0)),"",IFERROR(INDEX($F$27:$F$36,MATCH(C998,($F$27:$F$36)*($D$27:$D$36&lt;&gt;0),0)),IF(OR(AND(D998=0,B998=0,B999&lt;&gt;0),AND(D998*D997&lt;0,B998&lt;&gt;0)),IF(D998=0,C998,C998*(1-ABS(D998)/(ABS(D998)+ABS(D997)))+C997*(1-ABS(D997)/(ABS(D998)+ABS(D997)))),"")))</f>
        <v>#NAME?</v>
      </c>
    </row>
    <row r="999" spans="2:5" x14ac:dyDescent="0.25">
      <c r="B999" t="e">
        <f t="shared" ca="1" si="31"/>
        <v>#NAME?</v>
      </c>
      <c r="C999">
        <v>956</v>
      </c>
      <c r="D999" t="e">
        <f t="shared" ca="1" si="30"/>
        <v>#NAME?</v>
      </c>
      <c r="E999" s="115" t="e">
        <f t="array" aca="1" ref="E999" ca="1">IF(OR(C998=0,AND(B1000=0,C1000=0)),"",IFERROR(INDEX($F$27:$F$36,MATCH(C999,($F$27:$F$36)*($D$27:$D$36&lt;&gt;0),0)),IF(OR(AND(D999=0,B999=0,B1000&lt;&gt;0),AND(D999*D998&lt;0,B999&lt;&gt;0)),IF(D999=0,C999,C999*(1-ABS(D999)/(ABS(D999)+ABS(D998)))+C998*(1-ABS(D998)/(ABS(D999)+ABS(D998)))),"")))</f>
        <v>#NAME?</v>
      </c>
    </row>
    <row r="1000" spans="2:5" x14ac:dyDescent="0.25">
      <c r="B1000" t="e">
        <f t="shared" ca="1" si="31"/>
        <v>#NAME?</v>
      </c>
      <c r="C1000">
        <v>957</v>
      </c>
      <c r="D1000" t="e">
        <f t="shared" ca="1" si="30"/>
        <v>#NAME?</v>
      </c>
      <c r="E1000" s="115" t="e">
        <f t="array" aca="1" ref="E1000" ca="1">IF(OR(C999=0,AND(B1001=0,C1001=0)),"",IFERROR(INDEX($F$27:$F$36,MATCH(C1000,($F$27:$F$36)*($D$27:$D$36&lt;&gt;0),0)),IF(OR(AND(D1000=0,B1000=0,B1001&lt;&gt;0),AND(D1000*D999&lt;0,B1000&lt;&gt;0)),IF(D1000=0,C1000,C1000*(1-ABS(D1000)/(ABS(D1000)+ABS(D999)))+C999*(1-ABS(D999)/(ABS(D1000)+ABS(D999)))),"")))</f>
        <v>#NAME?</v>
      </c>
    </row>
    <row r="1001" spans="2:5" x14ac:dyDescent="0.25">
      <c r="B1001" t="e">
        <f t="shared" ca="1" si="31"/>
        <v>#NAME?</v>
      </c>
      <c r="C1001">
        <v>958</v>
      </c>
      <c r="D1001" t="e">
        <f t="shared" ca="1" si="30"/>
        <v>#NAME?</v>
      </c>
      <c r="E1001" s="115" t="e">
        <f t="array" aca="1" ref="E1001" ca="1">IF(OR(C1000=0,AND(B1002=0,C1002=0)),"",IFERROR(INDEX($F$27:$F$36,MATCH(C1001,($F$27:$F$36)*($D$27:$D$36&lt;&gt;0),0)),IF(OR(AND(D1001=0,B1001=0,B1002&lt;&gt;0),AND(D1001*D1000&lt;0,B1001&lt;&gt;0)),IF(D1001=0,C1001,C1001*(1-ABS(D1001)/(ABS(D1001)+ABS(D1000)))+C1000*(1-ABS(D1000)/(ABS(D1001)+ABS(D1000)))),"")))</f>
        <v>#NAME?</v>
      </c>
    </row>
    <row r="1002" spans="2:5" x14ac:dyDescent="0.25">
      <c r="B1002" t="e">
        <f t="shared" ca="1" si="31"/>
        <v>#NAME?</v>
      </c>
      <c r="C1002">
        <v>959</v>
      </c>
      <c r="D1002" t="e">
        <f t="shared" ca="1" si="30"/>
        <v>#NAME?</v>
      </c>
      <c r="E1002" s="115" t="e">
        <f t="array" aca="1" ref="E1002" ca="1">IF(OR(C1001=0,AND(B1003=0,C1003=0)),"",IFERROR(INDEX($F$27:$F$36,MATCH(C1002,($F$27:$F$36)*($D$27:$D$36&lt;&gt;0),0)),IF(OR(AND(D1002=0,B1002=0,B1003&lt;&gt;0),AND(D1002*D1001&lt;0,B1002&lt;&gt;0)),IF(D1002=0,C1002,C1002*(1-ABS(D1002)/(ABS(D1002)+ABS(D1001)))+C1001*(1-ABS(D1001)/(ABS(D1002)+ABS(D1001)))),"")))</f>
        <v>#NAME?</v>
      </c>
    </row>
    <row r="1003" spans="2:5" x14ac:dyDescent="0.25">
      <c r="B1003" t="e">
        <f t="shared" ca="1" si="31"/>
        <v>#NAME?</v>
      </c>
      <c r="C1003">
        <v>960</v>
      </c>
      <c r="D1003" t="e">
        <f t="shared" ref="D1003:D1066" ca="1" si="32">SUMPRODUCT(--($J$27:$J$37&gt;0),--($C1003-$F$27:$F$37&gt;0),($D$27:$D$37),($C1003-$F$27:$F$37))+SUMPRODUCT(--($J$27:$J$37&lt;0),--($F$27:$F$37-$C1003&gt;0),($D$27:$D$37),($F$27:$F$37-$C1003))-SUMPRODUCT($D$27:$D$37,$E$27:$E$37)</f>
        <v>#NAME?</v>
      </c>
      <c r="E1003" s="115" t="e">
        <f t="array" aca="1" ref="E1003" ca="1">IF(OR(C1002=0,AND(B1004=0,C1004=0)),"",IFERROR(INDEX($F$27:$F$36,MATCH(C1003,($F$27:$F$36)*($D$27:$D$36&lt;&gt;0),0)),IF(OR(AND(D1003=0,B1003=0,B1004&lt;&gt;0),AND(D1003*D1002&lt;0,B1003&lt;&gt;0)),IF(D1003=0,C1003,C1003*(1-ABS(D1003)/(ABS(D1003)+ABS(D1002)))+C1002*(1-ABS(D1002)/(ABS(D1003)+ABS(D1002)))),"")))</f>
        <v>#NAME?</v>
      </c>
    </row>
    <row r="1004" spans="2:5" x14ac:dyDescent="0.25">
      <c r="B1004" t="e">
        <f t="shared" ref="B1004:B1067" ca="1" si="33">ROUND((D1004-D1003)/(C1004-C1003),12)</f>
        <v>#NAME?</v>
      </c>
      <c r="C1004">
        <v>961</v>
      </c>
      <c r="D1004" t="e">
        <f t="shared" ca="1" si="32"/>
        <v>#NAME?</v>
      </c>
      <c r="E1004" s="115" t="e">
        <f t="array" aca="1" ref="E1004" ca="1">IF(OR(C1003=0,AND(B1005=0,C1005=0)),"",IFERROR(INDEX($F$27:$F$36,MATCH(C1004,($F$27:$F$36)*($D$27:$D$36&lt;&gt;0),0)),IF(OR(AND(D1004=0,B1004=0,B1005&lt;&gt;0),AND(D1004*D1003&lt;0,B1004&lt;&gt;0)),IF(D1004=0,C1004,C1004*(1-ABS(D1004)/(ABS(D1004)+ABS(D1003)))+C1003*(1-ABS(D1003)/(ABS(D1004)+ABS(D1003)))),"")))</f>
        <v>#NAME?</v>
      </c>
    </row>
    <row r="1005" spans="2:5" x14ac:dyDescent="0.25">
      <c r="B1005" t="e">
        <f t="shared" ca="1" si="33"/>
        <v>#NAME?</v>
      </c>
      <c r="C1005">
        <v>962</v>
      </c>
      <c r="D1005" t="e">
        <f t="shared" ca="1" si="32"/>
        <v>#NAME?</v>
      </c>
      <c r="E1005" s="115" t="e">
        <f t="array" aca="1" ref="E1005" ca="1">IF(OR(C1004=0,AND(B1006=0,C1006=0)),"",IFERROR(INDEX($F$27:$F$36,MATCH(C1005,($F$27:$F$36)*($D$27:$D$36&lt;&gt;0),0)),IF(OR(AND(D1005=0,B1005=0,B1006&lt;&gt;0),AND(D1005*D1004&lt;0,B1005&lt;&gt;0)),IF(D1005=0,C1005,C1005*(1-ABS(D1005)/(ABS(D1005)+ABS(D1004)))+C1004*(1-ABS(D1004)/(ABS(D1005)+ABS(D1004)))),"")))</f>
        <v>#NAME?</v>
      </c>
    </row>
    <row r="1006" spans="2:5" x14ac:dyDescent="0.25">
      <c r="B1006" t="e">
        <f t="shared" ca="1" si="33"/>
        <v>#NAME?</v>
      </c>
      <c r="C1006">
        <v>963</v>
      </c>
      <c r="D1006" t="e">
        <f t="shared" ca="1" si="32"/>
        <v>#NAME?</v>
      </c>
      <c r="E1006" s="115" t="e">
        <f t="array" aca="1" ref="E1006" ca="1">IF(OR(C1005=0,AND(B1007=0,C1007=0)),"",IFERROR(INDEX($F$27:$F$36,MATCH(C1006,($F$27:$F$36)*($D$27:$D$36&lt;&gt;0),0)),IF(OR(AND(D1006=0,B1006=0,B1007&lt;&gt;0),AND(D1006*D1005&lt;0,B1006&lt;&gt;0)),IF(D1006=0,C1006,C1006*(1-ABS(D1006)/(ABS(D1006)+ABS(D1005)))+C1005*(1-ABS(D1005)/(ABS(D1006)+ABS(D1005)))),"")))</f>
        <v>#NAME?</v>
      </c>
    </row>
    <row r="1007" spans="2:5" x14ac:dyDescent="0.25">
      <c r="B1007" t="e">
        <f t="shared" ca="1" si="33"/>
        <v>#NAME?</v>
      </c>
      <c r="C1007">
        <v>964</v>
      </c>
      <c r="D1007" t="e">
        <f t="shared" ca="1" si="32"/>
        <v>#NAME?</v>
      </c>
      <c r="E1007" s="115" t="e">
        <f t="array" aca="1" ref="E1007" ca="1">IF(OR(C1006=0,AND(B1008=0,C1008=0)),"",IFERROR(INDEX($F$27:$F$36,MATCH(C1007,($F$27:$F$36)*($D$27:$D$36&lt;&gt;0),0)),IF(OR(AND(D1007=0,B1007=0,B1008&lt;&gt;0),AND(D1007*D1006&lt;0,B1007&lt;&gt;0)),IF(D1007=0,C1007,C1007*(1-ABS(D1007)/(ABS(D1007)+ABS(D1006)))+C1006*(1-ABS(D1006)/(ABS(D1007)+ABS(D1006)))),"")))</f>
        <v>#NAME?</v>
      </c>
    </row>
    <row r="1008" spans="2:5" x14ac:dyDescent="0.25">
      <c r="B1008" t="e">
        <f t="shared" ca="1" si="33"/>
        <v>#NAME?</v>
      </c>
      <c r="C1008">
        <v>965</v>
      </c>
      <c r="D1008" t="e">
        <f t="shared" ca="1" si="32"/>
        <v>#NAME?</v>
      </c>
      <c r="E1008" s="115" t="e">
        <f t="array" aca="1" ref="E1008" ca="1">IF(OR(C1007=0,AND(B1009=0,C1009=0)),"",IFERROR(INDEX($F$27:$F$36,MATCH(C1008,($F$27:$F$36)*($D$27:$D$36&lt;&gt;0),0)),IF(OR(AND(D1008=0,B1008=0,B1009&lt;&gt;0),AND(D1008*D1007&lt;0,B1008&lt;&gt;0)),IF(D1008=0,C1008,C1008*(1-ABS(D1008)/(ABS(D1008)+ABS(D1007)))+C1007*(1-ABS(D1007)/(ABS(D1008)+ABS(D1007)))),"")))</f>
        <v>#NAME?</v>
      </c>
    </row>
    <row r="1009" spans="2:5" x14ac:dyDescent="0.25">
      <c r="B1009" t="e">
        <f t="shared" ca="1" si="33"/>
        <v>#NAME?</v>
      </c>
      <c r="C1009">
        <v>966</v>
      </c>
      <c r="D1009" t="e">
        <f t="shared" ca="1" si="32"/>
        <v>#NAME?</v>
      </c>
      <c r="E1009" s="115" t="e">
        <f t="array" aca="1" ref="E1009" ca="1">IF(OR(C1008=0,AND(B1010=0,C1010=0)),"",IFERROR(INDEX($F$27:$F$36,MATCH(C1009,($F$27:$F$36)*($D$27:$D$36&lt;&gt;0),0)),IF(OR(AND(D1009=0,B1009=0,B1010&lt;&gt;0),AND(D1009*D1008&lt;0,B1009&lt;&gt;0)),IF(D1009=0,C1009,C1009*(1-ABS(D1009)/(ABS(D1009)+ABS(D1008)))+C1008*(1-ABS(D1008)/(ABS(D1009)+ABS(D1008)))),"")))</f>
        <v>#NAME?</v>
      </c>
    </row>
    <row r="1010" spans="2:5" x14ac:dyDescent="0.25">
      <c r="B1010" t="e">
        <f t="shared" ca="1" si="33"/>
        <v>#NAME?</v>
      </c>
      <c r="C1010">
        <v>967</v>
      </c>
      <c r="D1010" t="e">
        <f t="shared" ca="1" si="32"/>
        <v>#NAME?</v>
      </c>
      <c r="E1010" s="115" t="e">
        <f t="array" aca="1" ref="E1010" ca="1">IF(OR(C1009=0,AND(B1011=0,C1011=0)),"",IFERROR(INDEX($F$27:$F$36,MATCH(C1010,($F$27:$F$36)*($D$27:$D$36&lt;&gt;0),0)),IF(OR(AND(D1010=0,B1010=0,B1011&lt;&gt;0),AND(D1010*D1009&lt;0,B1010&lt;&gt;0)),IF(D1010=0,C1010,C1010*(1-ABS(D1010)/(ABS(D1010)+ABS(D1009)))+C1009*(1-ABS(D1009)/(ABS(D1010)+ABS(D1009)))),"")))</f>
        <v>#NAME?</v>
      </c>
    </row>
    <row r="1011" spans="2:5" x14ac:dyDescent="0.25">
      <c r="B1011" t="e">
        <f t="shared" ca="1" si="33"/>
        <v>#NAME?</v>
      </c>
      <c r="C1011">
        <v>968</v>
      </c>
      <c r="D1011" t="e">
        <f t="shared" ca="1" si="32"/>
        <v>#NAME?</v>
      </c>
      <c r="E1011" s="115" t="e">
        <f t="array" aca="1" ref="E1011" ca="1">IF(OR(C1010=0,AND(B1012=0,C1012=0)),"",IFERROR(INDEX($F$27:$F$36,MATCH(C1011,($F$27:$F$36)*($D$27:$D$36&lt;&gt;0),0)),IF(OR(AND(D1011=0,B1011=0,B1012&lt;&gt;0),AND(D1011*D1010&lt;0,B1011&lt;&gt;0)),IF(D1011=0,C1011,C1011*(1-ABS(D1011)/(ABS(D1011)+ABS(D1010)))+C1010*(1-ABS(D1010)/(ABS(D1011)+ABS(D1010)))),"")))</f>
        <v>#NAME?</v>
      </c>
    </row>
    <row r="1012" spans="2:5" x14ac:dyDescent="0.25">
      <c r="B1012" t="e">
        <f t="shared" ca="1" si="33"/>
        <v>#NAME?</v>
      </c>
      <c r="C1012">
        <v>969</v>
      </c>
      <c r="D1012" t="e">
        <f t="shared" ca="1" si="32"/>
        <v>#NAME?</v>
      </c>
      <c r="E1012" s="115" t="e">
        <f t="array" aca="1" ref="E1012" ca="1">IF(OR(C1011=0,AND(B1013=0,C1013=0)),"",IFERROR(INDEX($F$27:$F$36,MATCH(C1012,($F$27:$F$36)*($D$27:$D$36&lt;&gt;0),0)),IF(OR(AND(D1012=0,B1012=0,B1013&lt;&gt;0),AND(D1012*D1011&lt;0,B1012&lt;&gt;0)),IF(D1012=0,C1012,C1012*(1-ABS(D1012)/(ABS(D1012)+ABS(D1011)))+C1011*(1-ABS(D1011)/(ABS(D1012)+ABS(D1011)))),"")))</f>
        <v>#NAME?</v>
      </c>
    </row>
    <row r="1013" spans="2:5" x14ac:dyDescent="0.25">
      <c r="B1013" t="e">
        <f t="shared" ca="1" si="33"/>
        <v>#NAME?</v>
      </c>
      <c r="C1013">
        <v>970</v>
      </c>
      <c r="D1013" t="e">
        <f t="shared" ca="1" si="32"/>
        <v>#NAME?</v>
      </c>
      <c r="E1013" s="115" t="e">
        <f t="array" aca="1" ref="E1013" ca="1">IF(OR(C1012=0,AND(B1014=0,C1014=0)),"",IFERROR(INDEX($F$27:$F$36,MATCH(C1013,($F$27:$F$36)*($D$27:$D$36&lt;&gt;0),0)),IF(OR(AND(D1013=0,B1013=0,B1014&lt;&gt;0),AND(D1013*D1012&lt;0,B1013&lt;&gt;0)),IF(D1013=0,C1013,C1013*(1-ABS(D1013)/(ABS(D1013)+ABS(D1012)))+C1012*(1-ABS(D1012)/(ABS(D1013)+ABS(D1012)))),"")))</f>
        <v>#NAME?</v>
      </c>
    </row>
    <row r="1014" spans="2:5" x14ac:dyDescent="0.25">
      <c r="B1014" t="e">
        <f t="shared" ca="1" si="33"/>
        <v>#NAME?</v>
      </c>
      <c r="C1014">
        <v>971</v>
      </c>
      <c r="D1014" t="e">
        <f t="shared" ca="1" si="32"/>
        <v>#NAME?</v>
      </c>
      <c r="E1014" s="115" t="e">
        <f t="array" aca="1" ref="E1014" ca="1">IF(OR(C1013=0,AND(B1015=0,C1015=0)),"",IFERROR(INDEX($F$27:$F$36,MATCH(C1014,($F$27:$F$36)*($D$27:$D$36&lt;&gt;0),0)),IF(OR(AND(D1014=0,B1014=0,B1015&lt;&gt;0),AND(D1014*D1013&lt;0,B1014&lt;&gt;0)),IF(D1014=0,C1014,C1014*(1-ABS(D1014)/(ABS(D1014)+ABS(D1013)))+C1013*(1-ABS(D1013)/(ABS(D1014)+ABS(D1013)))),"")))</f>
        <v>#NAME?</v>
      </c>
    </row>
    <row r="1015" spans="2:5" x14ac:dyDescent="0.25">
      <c r="B1015" t="e">
        <f t="shared" ca="1" si="33"/>
        <v>#NAME?</v>
      </c>
      <c r="C1015">
        <v>972</v>
      </c>
      <c r="D1015" t="e">
        <f t="shared" ca="1" si="32"/>
        <v>#NAME?</v>
      </c>
      <c r="E1015" s="115" t="e">
        <f t="array" aca="1" ref="E1015" ca="1">IF(OR(C1014=0,AND(B1016=0,C1016=0)),"",IFERROR(INDEX($F$27:$F$36,MATCH(C1015,($F$27:$F$36)*($D$27:$D$36&lt;&gt;0),0)),IF(OR(AND(D1015=0,B1015=0,B1016&lt;&gt;0),AND(D1015*D1014&lt;0,B1015&lt;&gt;0)),IF(D1015=0,C1015,C1015*(1-ABS(D1015)/(ABS(D1015)+ABS(D1014)))+C1014*(1-ABS(D1014)/(ABS(D1015)+ABS(D1014)))),"")))</f>
        <v>#NAME?</v>
      </c>
    </row>
    <row r="1016" spans="2:5" x14ac:dyDescent="0.25">
      <c r="B1016" t="e">
        <f t="shared" ca="1" si="33"/>
        <v>#NAME?</v>
      </c>
      <c r="C1016">
        <v>973</v>
      </c>
      <c r="D1016" t="e">
        <f t="shared" ca="1" si="32"/>
        <v>#NAME?</v>
      </c>
      <c r="E1016" s="115" t="e">
        <f t="array" aca="1" ref="E1016" ca="1">IF(OR(C1015=0,AND(B1017=0,C1017=0)),"",IFERROR(INDEX($F$27:$F$36,MATCH(C1016,($F$27:$F$36)*($D$27:$D$36&lt;&gt;0),0)),IF(OR(AND(D1016=0,B1016=0,B1017&lt;&gt;0),AND(D1016*D1015&lt;0,B1016&lt;&gt;0)),IF(D1016=0,C1016,C1016*(1-ABS(D1016)/(ABS(D1016)+ABS(D1015)))+C1015*(1-ABS(D1015)/(ABS(D1016)+ABS(D1015)))),"")))</f>
        <v>#NAME?</v>
      </c>
    </row>
    <row r="1017" spans="2:5" x14ac:dyDescent="0.25">
      <c r="B1017" t="e">
        <f t="shared" ca="1" si="33"/>
        <v>#NAME?</v>
      </c>
      <c r="C1017">
        <v>974</v>
      </c>
      <c r="D1017" t="e">
        <f t="shared" ca="1" si="32"/>
        <v>#NAME?</v>
      </c>
      <c r="E1017" s="115" t="e">
        <f t="array" aca="1" ref="E1017" ca="1">IF(OR(C1016=0,AND(B1018=0,C1018=0)),"",IFERROR(INDEX($F$27:$F$36,MATCH(C1017,($F$27:$F$36)*($D$27:$D$36&lt;&gt;0),0)),IF(OR(AND(D1017=0,B1017=0,B1018&lt;&gt;0),AND(D1017*D1016&lt;0,B1017&lt;&gt;0)),IF(D1017=0,C1017,C1017*(1-ABS(D1017)/(ABS(D1017)+ABS(D1016)))+C1016*(1-ABS(D1016)/(ABS(D1017)+ABS(D1016)))),"")))</f>
        <v>#NAME?</v>
      </c>
    </row>
    <row r="1018" spans="2:5" x14ac:dyDescent="0.25">
      <c r="B1018" t="e">
        <f t="shared" ca="1" si="33"/>
        <v>#NAME?</v>
      </c>
      <c r="C1018">
        <v>975</v>
      </c>
      <c r="D1018" t="e">
        <f t="shared" ca="1" si="32"/>
        <v>#NAME?</v>
      </c>
      <c r="E1018" s="115" t="e">
        <f t="array" aca="1" ref="E1018" ca="1">IF(OR(C1017=0,AND(B1019=0,C1019=0)),"",IFERROR(INDEX($F$27:$F$36,MATCH(C1018,($F$27:$F$36)*($D$27:$D$36&lt;&gt;0),0)),IF(OR(AND(D1018=0,B1018=0,B1019&lt;&gt;0),AND(D1018*D1017&lt;0,B1018&lt;&gt;0)),IF(D1018=0,C1018,C1018*(1-ABS(D1018)/(ABS(D1018)+ABS(D1017)))+C1017*(1-ABS(D1017)/(ABS(D1018)+ABS(D1017)))),"")))</f>
        <v>#NAME?</v>
      </c>
    </row>
    <row r="1019" spans="2:5" x14ac:dyDescent="0.25">
      <c r="B1019" t="e">
        <f t="shared" ca="1" si="33"/>
        <v>#NAME?</v>
      </c>
      <c r="C1019">
        <v>976</v>
      </c>
      <c r="D1019" t="e">
        <f t="shared" ca="1" si="32"/>
        <v>#NAME?</v>
      </c>
      <c r="E1019" s="115" t="e">
        <f t="array" aca="1" ref="E1019" ca="1">IF(OR(C1018=0,AND(B1020=0,C1020=0)),"",IFERROR(INDEX($F$27:$F$36,MATCH(C1019,($F$27:$F$36)*($D$27:$D$36&lt;&gt;0),0)),IF(OR(AND(D1019=0,B1019=0,B1020&lt;&gt;0),AND(D1019*D1018&lt;0,B1019&lt;&gt;0)),IF(D1019=0,C1019,C1019*(1-ABS(D1019)/(ABS(D1019)+ABS(D1018)))+C1018*(1-ABS(D1018)/(ABS(D1019)+ABS(D1018)))),"")))</f>
        <v>#NAME?</v>
      </c>
    </row>
    <row r="1020" spans="2:5" x14ac:dyDescent="0.25">
      <c r="B1020" t="e">
        <f t="shared" ca="1" si="33"/>
        <v>#NAME?</v>
      </c>
      <c r="C1020">
        <v>977</v>
      </c>
      <c r="D1020" t="e">
        <f t="shared" ca="1" si="32"/>
        <v>#NAME?</v>
      </c>
      <c r="E1020" s="115" t="e">
        <f t="array" aca="1" ref="E1020" ca="1">IF(OR(C1019=0,AND(B1021=0,C1021=0)),"",IFERROR(INDEX($F$27:$F$36,MATCH(C1020,($F$27:$F$36)*($D$27:$D$36&lt;&gt;0),0)),IF(OR(AND(D1020=0,B1020=0,B1021&lt;&gt;0),AND(D1020*D1019&lt;0,B1020&lt;&gt;0)),IF(D1020=0,C1020,C1020*(1-ABS(D1020)/(ABS(D1020)+ABS(D1019)))+C1019*(1-ABS(D1019)/(ABS(D1020)+ABS(D1019)))),"")))</f>
        <v>#NAME?</v>
      </c>
    </row>
    <row r="1021" spans="2:5" x14ac:dyDescent="0.25">
      <c r="B1021" t="e">
        <f t="shared" ca="1" si="33"/>
        <v>#NAME?</v>
      </c>
      <c r="C1021">
        <v>978</v>
      </c>
      <c r="D1021" t="e">
        <f t="shared" ca="1" si="32"/>
        <v>#NAME?</v>
      </c>
      <c r="E1021" s="115" t="e">
        <f t="array" aca="1" ref="E1021" ca="1">IF(OR(C1020=0,AND(B1022=0,C1022=0)),"",IFERROR(INDEX($F$27:$F$36,MATCH(C1021,($F$27:$F$36)*($D$27:$D$36&lt;&gt;0),0)),IF(OR(AND(D1021=0,B1021=0,B1022&lt;&gt;0),AND(D1021*D1020&lt;0,B1021&lt;&gt;0)),IF(D1021=0,C1021,C1021*(1-ABS(D1021)/(ABS(D1021)+ABS(D1020)))+C1020*(1-ABS(D1020)/(ABS(D1021)+ABS(D1020)))),"")))</f>
        <v>#NAME?</v>
      </c>
    </row>
    <row r="1022" spans="2:5" x14ac:dyDescent="0.25">
      <c r="B1022" t="e">
        <f t="shared" ca="1" si="33"/>
        <v>#NAME?</v>
      </c>
      <c r="C1022">
        <v>979</v>
      </c>
      <c r="D1022" t="e">
        <f t="shared" ca="1" si="32"/>
        <v>#NAME?</v>
      </c>
      <c r="E1022" s="115" t="e">
        <f t="array" aca="1" ref="E1022" ca="1">IF(OR(C1021=0,AND(B1023=0,C1023=0)),"",IFERROR(INDEX($F$27:$F$36,MATCH(C1022,($F$27:$F$36)*($D$27:$D$36&lt;&gt;0),0)),IF(OR(AND(D1022=0,B1022=0,B1023&lt;&gt;0),AND(D1022*D1021&lt;0,B1022&lt;&gt;0)),IF(D1022=0,C1022,C1022*(1-ABS(D1022)/(ABS(D1022)+ABS(D1021)))+C1021*(1-ABS(D1021)/(ABS(D1022)+ABS(D1021)))),"")))</f>
        <v>#NAME?</v>
      </c>
    </row>
    <row r="1023" spans="2:5" x14ac:dyDescent="0.25">
      <c r="B1023" t="e">
        <f t="shared" ca="1" si="33"/>
        <v>#NAME?</v>
      </c>
      <c r="C1023">
        <v>980</v>
      </c>
      <c r="D1023" t="e">
        <f t="shared" ca="1" si="32"/>
        <v>#NAME?</v>
      </c>
      <c r="E1023" s="115" t="e">
        <f t="array" aca="1" ref="E1023" ca="1">IF(OR(C1022=0,AND(B1024=0,C1024=0)),"",IFERROR(INDEX($F$27:$F$36,MATCH(C1023,($F$27:$F$36)*($D$27:$D$36&lt;&gt;0),0)),IF(OR(AND(D1023=0,B1023=0,B1024&lt;&gt;0),AND(D1023*D1022&lt;0,B1023&lt;&gt;0)),IF(D1023=0,C1023,C1023*(1-ABS(D1023)/(ABS(D1023)+ABS(D1022)))+C1022*(1-ABS(D1022)/(ABS(D1023)+ABS(D1022)))),"")))</f>
        <v>#NAME?</v>
      </c>
    </row>
    <row r="1024" spans="2:5" x14ac:dyDescent="0.25">
      <c r="B1024" t="e">
        <f t="shared" ca="1" si="33"/>
        <v>#NAME?</v>
      </c>
      <c r="C1024">
        <v>981</v>
      </c>
      <c r="D1024" t="e">
        <f t="shared" ca="1" si="32"/>
        <v>#NAME?</v>
      </c>
      <c r="E1024" s="115" t="e">
        <f t="array" aca="1" ref="E1024" ca="1">IF(OR(C1023=0,AND(B1025=0,C1025=0)),"",IFERROR(INDEX($F$27:$F$36,MATCH(C1024,($F$27:$F$36)*($D$27:$D$36&lt;&gt;0),0)),IF(OR(AND(D1024=0,B1024=0,B1025&lt;&gt;0),AND(D1024*D1023&lt;0,B1024&lt;&gt;0)),IF(D1024=0,C1024,C1024*(1-ABS(D1024)/(ABS(D1024)+ABS(D1023)))+C1023*(1-ABS(D1023)/(ABS(D1024)+ABS(D1023)))),"")))</f>
        <v>#NAME?</v>
      </c>
    </row>
    <row r="1025" spans="2:5" x14ac:dyDescent="0.25">
      <c r="B1025" t="e">
        <f t="shared" ca="1" si="33"/>
        <v>#NAME?</v>
      </c>
      <c r="C1025">
        <v>982</v>
      </c>
      <c r="D1025" t="e">
        <f t="shared" ca="1" si="32"/>
        <v>#NAME?</v>
      </c>
      <c r="E1025" s="115" t="e">
        <f t="array" aca="1" ref="E1025" ca="1">IF(OR(C1024=0,AND(B1026=0,C1026=0)),"",IFERROR(INDEX($F$27:$F$36,MATCH(C1025,($F$27:$F$36)*($D$27:$D$36&lt;&gt;0),0)),IF(OR(AND(D1025=0,B1025=0,B1026&lt;&gt;0),AND(D1025*D1024&lt;0,B1025&lt;&gt;0)),IF(D1025=0,C1025,C1025*(1-ABS(D1025)/(ABS(D1025)+ABS(D1024)))+C1024*(1-ABS(D1024)/(ABS(D1025)+ABS(D1024)))),"")))</f>
        <v>#NAME?</v>
      </c>
    </row>
    <row r="1026" spans="2:5" x14ac:dyDescent="0.25">
      <c r="B1026" t="e">
        <f t="shared" ca="1" si="33"/>
        <v>#NAME?</v>
      </c>
      <c r="C1026">
        <v>983</v>
      </c>
      <c r="D1026" t="e">
        <f t="shared" ca="1" si="32"/>
        <v>#NAME?</v>
      </c>
      <c r="E1026" s="115" t="e">
        <f t="array" aca="1" ref="E1026" ca="1">IF(OR(C1025=0,AND(B1027=0,C1027=0)),"",IFERROR(INDEX($F$27:$F$36,MATCH(C1026,($F$27:$F$36)*($D$27:$D$36&lt;&gt;0),0)),IF(OR(AND(D1026=0,B1026=0,B1027&lt;&gt;0),AND(D1026*D1025&lt;0,B1026&lt;&gt;0)),IF(D1026=0,C1026,C1026*(1-ABS(D1026)/(ABS(D1026)+ABS(D1025)))+C1025*(1-ABS(D1025)/(ABS(D1026)+ABS(D1025)))),"")))</f>
        <v>#NAME?</v>
      </c>
    </row>
    <row r="1027" spans="2:5" x14ac:dyDescent="0.25">
      <c r="B1027" t="e">
        <f t="shared" ca="1" si="33"/>
        <v>#NAME?</v>
      </c>
      <c r="C1027">
        <v>984</v>
      </c>
      <c r="D1027" t="e">
        <f t="shared" ca="1" si="32"/>
        <v>#NAME?</v>
      </c>
      <c r="E1027" s="115" t="e">
        <f t="array" aca="1" ref="E1027" ca="1">IF(OR(C1026=0,AND(B1028=0,C1028=0)),"",IFERROR(INDEX($F$27:$F$36,MATCH(C1027,($F$27:$F$36)*($D$27:$D$36&lt;&gt;0),0)),IF(OR(AND(D1027=0,B1027=0,B1028&lt;&gt;0),AND(D1027*D1026&lt;0,B1027&lt;&gt;0)),IF(D1027=0,C1027,C1027*(1-ABS(D1027)/(ABS(D1027)+ABS(D1026)))+C1026*(1-ABS(D1026)/(ABS(D1027)+ABS(D1026)))),"")))</f>
        <v>#NAME?</v>
      </c>
    </row>
    <row r="1028" spans="2:5" x14ac:dyDescent="0.25">
      <c r="B1028" t="e">
        <f t="shared" ca="1" si="33"/>
        <v>#NAME?</v>
      </c>
      <c r="C1028">
        <v>985</v>
      </c>
      <c r="D1028" t="e">
        <f t="shared" ca="1" si="32"/>
        <v>#NAME?</v>
      </c>
      <c r="E1028" s="115" t="e">
        <f t="array" aca="1" ref="E1028" ca="1">IF(OR(C1027=0,AND(B1029=0,C1029=0)),"",IFERROR(INDEX($F$27:$F$36,MATCH(C1028,($F$27:$F$36)*($D$27:$D$36&lt;&gt;0),0)),IF(OR(AND(D1028=0,B1028=0,B1029&lt;&gt;0),AND(D1028*D1027&lt;0,B1028&lt;&gt;0)),IF(D1028=0,C1028,C1028*(1-ABS(D1028)/(ABS(D1028)+ABS(D1027)))+C1027*(1-ABS(D1027)/(ABS(D1028)+ABS(D1027)))),"")))</f>
        <v>#NAME?</v>
      </c>
    </row>
    <row r="1029" spans="2:5" x14ac:dyDescent="0.25">
      <c r="B1029" t="e">
        <f t="shared" ca="1" si="33"/>
        <v>#NAME?</v>
      </c>
      <c r="C1029">
        <v>986</v>
      </c>
      <c r="D1029" t="e">
        <f t="shared" ca="1" si="32"/>
        <v>#NAME?</v>
      </c>
      <c r="E1029" s="115" t="e">
        <f t="array" aca="1" ref="E1029" ca="1">IF(OR(C1028=0,AND(B1030=0,C1030=0)),"",IFERROR(INDEX($F$27:$F$36,MATCH(C1029,($F$27:$F$36)*($D$27:$D$36&lt;&gt;0),0)),IF(OR(AND(D1029=0,B1029=0,B1030&lt;&gt;0),AND(D1029*D1028&lt;0,B1029&lt;&gt;0)),IF(D1029=0,C1029,C1029*(1-ABS(D1029)/(ABS(D1029)+ABS(D1028)))+C1028*(1-ABS(D1028)/(ABS(D1029)+ABS(D1028)))),"")))</f>
        <v>#NAME?</v>
      </c>
    </row>
    <row r="1030" spans="2:5" x14ac:dyDescent="0.25">
      <c r="B1030" t="e">
        <f t="shared" ca="1" si="33"/>
        <v>#NAME?</v>
      </c>
      <c r="C1030">
        <v>987</v>
      </c>
      <c r="D1030" t="e">
        <f t="shared" ca="1" si="32"/>
        <v>#NAME?</v>
      </c>
      <c r="E1030" s="115" t="e">
        <f t="array" aca="1" ref="E1030" ca="1">IF(OR(C1029=0,AND(B1031=0,C1031=0)),"",IFERROR(INDEX($F$27:$F$36,MATCH(C1030,($F$27:$F$36)*($D$27:$D$36&lt;&gt;0),0)),IF(OR(AND(D1030=0,B1030=0,B1031&lt;&gt;0),AND(D1030*D1029&lt;0,B1030&lt;&gt;0)),IF(D1030=0,C1030,C1030*(1-ABS(D1030)/(ABS(D1030)+ABS(D1029)))+C1029*(1-ABS(D1029)/(ABS(D1030)+ABS(D1029)))),"")))</f>
        <v>#NAME?</v>
      </c>
    </row>
    <row r="1031" spans="2:5" x14ac:dyDescent="0.25">
      <c r="B1031" t="e">
        <f t="shared" ca="1" si="33"/>
        <v>#NAME?</v>
      </c>
      <c r="C1031">
        <v>988</v>
      </c>
      <c r="D1031" t="e">
        <f t="shared" ca="1" si="32"/>
        <v>#NAME?</v>
      </c>
      <c r="E1031" s="115" t="e">
        <f t="array" aca="1" ref="E1031" ca="1">IF(OR(C1030=0,AND(B1032=0,C1032=0)),"",IFERROR(INDEX($F$27:$F$36,MATCH(C1031,($F$27:$F$36)*($D$27:$D$36&lt;&gt;0),0)),IF(OR(AND(D1031=0,B1031=0,B1032&lt;&gt;0),AND(D1031*D1030&lt;0,B1031&lt;&gt;0)),IF(D1031=0,C1031,C1031*(1-ABS(D1031)/(ABS(D1031)+ABS(D1030)))+C1030*(1-ABS(D1030)/(ABS(D1031)+ABS(D1030)))),"")))</f>
        <v>#NAME?</v>
      </c>
    </row>
    <row r="1032" spans="2:5" x14ac:dyDescent="0.25">
      <c r="B1032" t="e">
        <f t="shared" ca="1" si="33"/>
        <v>#NAME?</v>
      </c>
      <c r="C1032">
        <v>989</v>
      </c>
      <c r="D1032" t="e">
        <f t="shared" ca="1" si="32"/>
        <v>#NAME?</v>
      </c>
      <c r="E1032" s="115" t="e">
        <f t="array" aca="1" ref="E1032" ca="1">IF(OR(C1031=0,AND(B1033=0,C1033=0)),"",IFERROR(INDEX($F$27:$F$36,MATCH(C1032,($F$27:$F$36)*($D$27:$D$36&lt;&gt;0),0)),IF(OR(AND(D1032=0,B1032=0,B1033&lt;&gt;0),AND(D1032*D1031&lt;0,B1032&lt;&gt;0)),IF(D1032=0,C1032,C1032*(1-ABS(D1032)/(ABS(D1032)+ABS(D1031)))+C1031*(1-ABS(D1031)/(ABS(D1032)+ABS(D1031)))),"")))</f>
        <v>#NAME?</v>
      </c>
    </row>
    <row r="1033" spans="2:5" x14ac:dyDescent="0.25">
      <c r="B1033" t="e">
        <f t="shared" ca="1" si="33"/>
        <v>#NAME?</v>
      </c>
      <c r="C1033">
        <v>990</v>
      </c>
      <c r="D1033" t="e">
        <f t="shared" ca="1" si="32"/>
        <v>#NAME?</v>
      </c>
      <c r="E1033" s="115" t="e">
        <f t="array" aca="1" ref="E1033" ca="1">IF(OR(C1032=0,AND(B1034=0,C1034=0)),"",IFERROR(INDEX($F$27:$F$36,MATCH(C1033,($F$27:$F$36)*($D$27:$D$36&lt;&gt;0),0)),IF(OR(AND(D1033=0,B1033=0,B1034&lt;&gt;0),AND(D1033*D1032&lt;0,B1033&lt;&gt;0)),IF(D1033=0,C1033,C1033*(1-ABS(D1033)/(ABS(D1033)+ABS(D1032)))+C1032*(1-ABS(D1032)/(ABS(D1033)+ABS(D1032)))),"")))</f>
        <v>#NAME?</v>
      </c>
    </row>
    <row r="1034" spans="2:5" x14ac:dyDescent="0.25">
      <c r="B1034" t="e">
        <f t="shared" ca="1" si="33"/>
        <v>#NAME?</v>
      </c>
      <c r="C1034">
        <v>991</v>
      </c>
      <c r="D1034" t="e">
        <f t="shared" ca="1" si="32"/>
        <v>#NAME?</v>
      </c>
      <c r="E1034" s="115" t="e">
        <f t="array" aca="1" ref="E1034" ca="1">IF(OR(C1033=0,AND(B1035=0,C1035=0)),"",IFERROR(INDEX($F$27:$F$36,MATCH(C1034,($F$27:$F$36)*($D$27:$D$36&lt;&gt;0),0)),IF(OR(AND(D1034=0,B1034=0,B1035&lt;&gt;0),AND(D1034*D1033&lt;0,B1034&lt;&gt;0)),IF(D1034=0,C1034,C1034*(1-ABS(D1034)/(ABS(D1034)+ABS(D1033)))+C1033*(1-ABS(D1033)/(ABS(D1034)+ABS(D1033)))),"")))</f>
        <v>#NAME?</v>
      </c>
    </row>
    <row r="1035" spans="2:5" x14ac:dyDescent="0.25">
      <c r="B1035" t="e">
        <f t="shared" ca="1" si="33"/>
        <v>#NAME?</v>
      </c>
      <c r="C1035">
        <v>992</v>
      </c>
      <c r="D1035" t="e">
        <f t="shared" ca="1" si="32"/>
        <v>#NAME?</v>
      </c>
      <c r="E1035" s="115" t="e">
        <f t="array" aca="1" ref="E1035" ca="1">IF(OR(C1034=0,AND(B1036=0,C1036=0)),"",IFERROR(INDEX($F$27:$F$36,MATCH(C1035,($F$27:$F$36)*($D$27:$D$36&lt;&gt;0),0)),IF(OR(AND(D1035=0,B1035=0,B1036&lt;&gt;0),AND(D1035*D1034&lt;0,B1035&lt;&gt;0)),IF(D1035=0,C1035,C1035*(1-ABS(D1035)/(ABS(D1035)+ABS(D1034)))+C1034*(1-ABS(D1034)/(ABS(D1035)+ABS(D1034)))),"")))</f>
        <v>#NAME?</v>
      </c>
    </row>
    <row r="1036" spans="2:5" x14ac:dyDescent="0.25">
      <c r="B1036" t="e">
        <f t="shared" ca="1" si="33"/>
        <v>#NAME?</v>
      </c>
      <c r="C1036">
        <v>993</v>
      </c>
      <c r="D1036" t="e">
        <f t="shared" ca="1" si="32"/>
        <v>#NAME?</v>
      </c>
      <c r="E1036" s="115" t="e">
        <f t="array" aca="1" ref="E1036" ca="1">IF(OR(C1035=0,AND(B1037=0,C1037=0)),"",IFERROR(INDEX($F$27:$F$36,MATCH(C1036,($F$27:$F$36)*($D$27:$D$36&lt;&gt;0),0)),IF(OR(AND(D1036=0,B1036=0,B1037&lt;&gt;0),AND(D1036*D1035&lt;0,B1036&lt;&gt;0)),IF(D1036=0,C1036,C1036*(1-ABS(D1036)/(ABS(D1036)+ABS(D1035)))+C1035*(1-ABS(D1035)/(ABS(D1036)+ABS(D1035)))),"")))</f>
        <v>#NAME?</v>
      </c>
    </row>
    <row r="1037" spans="2:5" x14ac:dyDescent="0.25">
      <c r="B1037" t="e">
        <f t="shared" ca="1" si="33"/>
        <v>#NAME?</v>
      </c>
      <c r="C1037">
        <v>994</v>
      </c>
      <c r="D1037" t="e">
        <f t="shared" ca="1" si="32"/>
        <v>#NAME?</v>
      </c>
      <c r="E1037" s="115" t="e">
        <f t="array" aca="1" ref="E1037" ca="1">IF(OR(C1036=0,AND(B1038=0,C1038=0)),"",IFERROR(INDEX($F$27:$F$36,MATCH(C1037,($F$27:$F$36)*($D$27:$D$36&lt;&gt;0),0)),IF(OR(AND(D1037=0,B1037=0,B1038&lt;&gt;0),AND(D1037*D1036&lt;0,B1037&lt;&gt;0)),IF(D1037=0,C1037,C1037*(1-ABS(D1037)/(ABS(D1037)+ABS(D1036)))+C1036*(1-ABS(D1036)/(ABS(D1037)+ABS(D1036)))),"")))</f>
        <v>#NAME?</v>
      </c>
    </row>
    <row r="1038" spans="2:5" x14ac:dyDescent="0.25">
      <c r="B1038" t="e">
        <f t="shared" ca="1" si="33"/>
        <v>#NAME?</v>
      </c>
      <c r="C1038">
        <v>995</v>
      </c>
      <c r="D1038" t="e">
        <f t="shared" ca="1" si="32"/>
        <v>#NAME?</v>
      </c>
      <c r="E1038" s="115" t="e">
        <f t="array" aca="1" ref="E1038" ca="1">IF(OR(C1037=0,AND(B1039=0,C1039=0)),"",IFERROR(INDEX($F$27:$F$36,MATCH(C1038,($F$27:$F$36)*($D$27:$D$36&lt;&gt;0),0)),IF(OR(AND(D1038=0,B1038=0,B1039&lt;&gt;0),AND(D1038*D1037&lt;0,B1038&lt;&gt;0)),IF(D1038=0,C1038,C1038*(1-ABS(D1038)/(ABS(D1038)+ABS(D1037)))+C1037*(1-ABS(D1037)/(ABS(D1038)+ABS(D1037)))),"")))</f>
        <v>#NAME?</v>
      </c>
    </row>
    <row r="1039" spans="2:5" x14ac:dyDescent="0.25">
      <c r="B1039" t="e">
        <f t="shared" ca="1" si="33"/>
        <v>#NAME?</v>
      </c>
      <c r="C1039">
        <v>996</v>
      </c>
      <c r="D1039" t="e">
        <f t="shared" ca="1" si="32"/>
        <v>#NAME?</v>
      </c>
      <c r="E1039" s="115" t="e">
        <f t="array" aca="1" ref="E1039" ca="1">IF(OR(C1038=0,AND(B1040=0,C1040=0)),"",IFERROR(INDEX($F$27:$F$36,MATCH(C1039,($F$27:$F$36)*($D$27:$D$36&lt;&gt;0),0)),IF(OR(AND(D1039=0,B1039=0,B1040&lt;&gt;0),AND(D1039*D1038&lt;0,B1039&lt;&gt;0)),IF(D1039=0,C1039,C1039*(1-ABS(D1039)/(ABS(D1039)+ABS(D1038)))+C1038*(1-ABS(D1038)/(ABS(D1039)+ABS(D1038)))),"")))</f>
        <v>#NAME?</v>
      </c>
    </row>
    <row r="1040" spans="2:5" x14ac:dyDescent="0.25">
      <c r="B1040" t="e">
        <f t="shared" ca="1" si="33"/>
        <v>#NAME?</v>
      </c>
      <c r="C1040">
        <v>997</v>
      </c>
      <c r="D1040" t="e">
        <f t="shared" ca="1" si="32"/>
        <v>#NAME?</v>
      </c>
      <c r="E1040" s="115" t="e">
        <f t="array" aca="1" ref="E1040" ca="1">IF(OR(C1039=0,AND(B1041=0,C1041=0)),"",IFERROR(INDEX($F$27:$F$36,MATCH(C1040,($F$27:$F$36)*($D$27:$D$36&lt;&gt;0),0)),IF(OR(AND(D1040=0,B1040=0,B1041&lt;&gt;0),AND(D1040*D1039&lt;0,B1040&lt;&gt;0)),IF(D1040=0,C1040,C1040*(1-ABS(D1040)/(ABS(D1040)+ABS(D1039)))+C1039*(1-ABS(D1039)/(ABS(D1040)+ABS(D1039)))),"")))</f>
        <v>#NAME?</v>
      </c>
    </row>
    <row r="1041" spans="2:5" x14ac:dyDescent="0.25">
      <c r="B1041" t="e">
        <f t="shared" ca="1" si="33"/>
        <v>#NAME?</v>
      </c>
      <c r="C1041">
        <v>998</v>
      </c>
      <c r="D1041" t="e">
        <f t="shared" ca="1" si="32"/>
        <v>#NAME?</v>
      </c>
      <c r="E1041" s="115" t="e">
        <f t="array" aca="1" ref="E1041" ca="1">IF(OR(C1040=0,AND(B1042=0,C1042=0)),"",IFERROR(INDEX($F$27:$F$36,MATCH(C1041,($F$27:$F$36)*($D$27:$D$36&lt;&gt;0),0)),IF(OR(AND(D1041=0,B1041=0,B1042&lt;&gt;0),AND(D1041*D1040&lt;0,B1041&lt;&gt;0)),IF(D1041=0,C1041,C1041*(1-ABS(D1041)/(ABS(D1041)+ABS(D1040)))+C1040*(1-ABS(D1040)/(ABS(D1041)+ABS(D1040)))),"")))</f>
        <v>#NAME?</v>
      </c>
    </row>
    <row r="1042" spans="2:5" x14ac:dyDescent="0.25">
      <c r="B1042" t="e">
        <f t="shared" ca="1" si="33"/>
        <v>#NAME?</v>
      </c>
      <c r="C1042">
        <v>999</v>
      </c>
      <c r="D1042" t="e">
        <f t="shared" ca="1" si="32"/>
        <v>#NAME?</v>
      </c>
      <c r="E1042" s="115" t="e">
        <f t="array" aca="1" ref="E1042" ca="1">IF(OR(C1041=0,AND(B1043=0,C1043=0)),"",IFERROR(INDEX($F$27:$F$36,MATCH(C1042,($F$27:$F$36)*($D$27:$D$36&lt;&gt;0),0)),IF(OR(AND(D1042=0,B1042=0,B1043&lt;&gt;0),AND(D1042*D1041&lt;0,B1042&lt;&gt;0)),IF(D1042=0,C1042,C1042*(1-ABS(D1042)/(ABS(D1042)+ABS(D1041)))+C1041*(1-ABS(D1041)/(ABS(D1042)+ABS(D1041)))),"")))</f>
        <v>#NAME?</v>
      </c>
    </row>
    <row r="1043" spans="2:5" x14ac:dyDescent="0.25">
      <c r="B1043" t="e">
        <f t="shared" ca="1" si="33"/>
        <v>#NAME?</v>
      </c>
      <c r="C1043">
        <v>1000</v>
      </c>
      <c r="D1043" t="e">
        <f t="shared" ca="1" si="32"/>
        <v>#NAME?</v>
      </c>
      <c r="E1043" s="115" t="e">
        <f t="array" aca="1" ref="E1043" ca="1">IF(OR(C1042=0,AND(B1044=0,C1044=0)),"",IFERROR(INDEX($F$27:$F$36,MATCH(C1043,($F$27:$F$36)*($D$27:$D$36&lt;&gt;0),0)),IF(OR(AND(D1043=0,B1043=0,B1044&lt;&gt;0),AND(D1043*D1042&lt;0,B1043&lt;&gt;0)),IF(D1043=0,C1043,C1043*(1-ABS(D1043)/(ABS(D1043)+ABS(D1042)))+C1042*(1-ABS(D1042)/(ABS(D1043)+ABS(D1042)))),"")))</f>
        <v>#NAME?</v>
      </c>
    </row>
    <row r="1044" spans="2:5" x14ac:dyDescent="0.25">
      <c r="B1044" t="e">
        <f t="shared" ca="1" si="33"/>
        <v>#NAME?</v>
      </c>
      <c r="C1044">
        <v>1001</v>
      </c>
      <c r="D1044" t="e">
        <f t="shared" ca="1" si="32"/>
        <v>#NAME?</v>
      </c>
      <c r="E1044" s="115" t="e">
        <f t="array" aca="1" ref="E1044" ca="1">IF(OR(C1043=0,AND(B1045=0,C1045=0)),"",IFERROR(INDEX($F$27:$F$36,MATCH(C1044,($F$27:$F$36)*($D$27:$D$36&lt;&gt;0),0)),IF(OR(AND(D1044=0,B1044=0,B1045&lt;&gt;0),AND(D1044*D1043&lt;0,B1044&lt;&gt;0)),IF(D1044=0,C1044,C1044*(1-ABS(D1044)/(ABS(D1044)+ABS(D1043)))+C1043*(1-ABS(D1043)/(ABS(D1044)+ABS(D1043)))),"")))</f>
        <v>#NAME?</v>
      </c>
    </row>
    <row r="1045" spans="2:5" x14ac:dyDescent="0.25">
      <c r="B1045" t="e">
        <f t="shared" ca="1" si="33"/>
        <v>#NAME?</v>
      </c>
      <c r="C1045">
        <v>1002</v>
      </c>
      <c r="D1045" t="e">
        <f t="shared" ca="1" si="32"/>
        <v>#NAME?</v>
      </c>
      <c r="E1045" s="115" t="e">
        <f t="array" aca="1" ref="E1045" ca="1">IF(OR(C1044=0,AND(B1046=0,C1046=0)),"",IFERROR(INDEX($F$27:$F$36,MATCH(C1045,($F$27:$F$36)*($D$27:$D$36&lt;&gt;0),0)),IF(OR(AND(D1045=0,B1045=0,B1046&lt;&gt;0),AND(D1045*D1044&lt;0,B1045&lt;&gt;0)),IF(D1045=0,C1045,C1045*(1-ABS(D1045)/(ABS(D1045)+ABS(D1044)))+C1044*(1-ABS(D1044)/(ABS(D1045)+ABS(D1044)))),"")))</f>
        <v>#NAME?</v>
      </c>
    </row>
    <row r="1046" spans="2:5" x14ac:dyDescent="0.25">
      <c r="B1046" t="e">
        <f t="shared" ca="1" si="33"/>
        <v>#NAME?</v>
      </c>
      <c r="C1046">
        <v>1003</v>
      </c>
      <c r="D1046" t="e">
        <f t="shared" ca="1" si="32"/>
        <v>#NAME?</v>
      </c>
      <c r="E1046" s="115" t="e">
        <f t="array" aca="1" ref="E1046" ca="1">IF(OR(C1045=0,AND(B1047=0,C1047=0)),"",IFERROR(INDEX($F$27:$F$36,MATCH(C1046,($F$27:$F$36)*($D$27:$D$36&lt;&gt;0),0)),IF(OR(AND(D1046=0,B1046=0,B1047&lt;&gt;0),AND(D1046*D1045&lt;0,B1046&lt;&gt;0)),IF(D1046=0,C1046,C1046*(1-ABS(D1046)/(ABS(D1046)+ABS(D1045)))+C1045*(1-ABS(D1045)/(ABS(D1046)+ABS(D1045)))),"")))</f>
        <v>#NAME?</v>
      </c>
    </row>
    <row r="1047" spans="2:5" x14ac:dyDescent="0.25">
      <c r="B1047" t="e">
        <f t="shared" ca="1" si="33"/>
        <v>#NAME?</v>
      </c>
      <c r="C1047">
        <v>1004</v>
      </c>
      <c r="D1047" t="e">
        <f t="shared" ca="1" si="32"/>
        <v>#NAME?</v>
      </c>
      <c r="E1047" s="115" t="e">
        <f t="array" aca="1" ref="E1047" ca="1">IF(OR(C1046=0,AND(B1048=0,C1048=0)),"",IFERROR(INDEX($F$27:$F$36,MATCH(C1047,($F$27:$F$36)*($D$27:$D$36&lt;&gt;0),0)),IF(OR(AND(D1047=0,B1047=0,B1048&lt;&gt;0),AND(D1047*D1046&lt;0,B1047&lt;&gt;0)),IF(D1047=0,C1047,C1047*(1-ABS(D1047)/(ABS(D1047)+ABS(D1046)))+C1046*(1-ABS(D1046)/(ABS(D1047)+ABS(D1046)))),"")))</f>
        <v>#NAME?</v>
      </c>
    </row>
    <row r="1048" spans="2:5" x14ac:dyDescent="0.25">
      <c r="B1048" t="e">
        <f t="shared" ca="1" si="33"/>
        <v>#NAME?</v>
      </c>
      <c r="C1048">
        <v>1005</v>
      </c>
      <c r="D1048" t="e">
        <f t="shared" ca="1" si="32"/>
        <v>#NAME?</v>
      </c>
      <c r="E1048" s="115" t="e">
        <f t="array" aca="1" ref="E1048" ca="1">IF(OR(C1047=0,AND(B1049=0,C1049=0)),"",IFERROR(INDEX($F$27:$F$36,MATCH(C1048,($F$27:$F$36)*($D$27:$D$36&lt;&gt;0),0)),IF(OR(AND(D1048=0,B1048=0,B1049&lt;&gt;0),AND(D1048*D1047&lt;0,B1048&lt;&gt;0)),IF(D1048=0,C1048,C1048*(1-ABS(D1048)/(ABS(D1048)+ABS(D1047)))+C1047*(1-ABS(D1047)/(ABS(D1048)+ABS(D1047)))),"")))</f>
        <v>#NAME?</v>
      </c>
    </row>
    <row r="1049" spans="2:5" x14ac:dyDescent="0.25">
      <c r="B1049" t="e">
        <f t="shared" ca="1" si="33"/>
        <v>#NAME?</v>
      </c>
      <c r="C1049">
        <v>1006</v>
      </c>
      <c r="D1049" t="e">
        <f t="shared" ca="1" si="32"/>
        <v>#NAME?</v>
      </c>
      <c r="E1049" s="115" t="e">
        <f t="array" aca="1" ref="E1049" ca="1">IF(OR(C1048=0,AND(B1050=0,C1050=0)),"",IFERROR(INDEX($F$27:$F$36,MATCH(C1049,($F$27:$F$36)*($D$27:$D$36&lt;&gt;0),0)),IF(OR(AND(D1049=0,B1049=0,B1050&lt;&gt;0),AND(D1049*D1048&lt;0,B1049&lt;&gt;0)),IF(D1049=0,C1049,C1049*(1-ABS(D1049)/(ABS(D1049)+ABS(D1048)))+C1048*(1-ABS(D1048)/(ABS(D1049)+ABS(D1048)))),"")))</f>
        <v>#NAME?</v>
      </c>
    </row>
    <row r="1050" spans="2:5" x14ac:dyDescent="0.25">
      <c r="B1050" t="e">
        <f t="shared" ca="1" si="33"/>
        <v>#NAME?</v>
      </c>
      <c r="C1050">
        <v>1007</v>
      </c>
      <c r="D1050" t="e">
        <f t="shared" ca="1" si="32"/>
        <v>#NAME?</v>
      </c>
      <c r="E1050" s="115" t="e">
        <f t="array" aca="1" ref="E1050" ca="1">IF(OR(C1049=0,AND(B1051=0,C1051=0)),"",IFERROR(INDEX($F$27:$F$36,MATCH(C1050,($F$27:$F$36)*($D$27:$D$36&lt;&gt;0),0)),IF(OR(AND(D1050=0,B1050=0,B1051&lt;&gt;0),AND(D1050*D1049&lt;0,B1050&lt;&gt;0)),IF(D1050=0,C1050,C1050*(1-ABS(D1050)/(ABS(D1050)+ABS(D1049)))+C1049*(1-ABS(D1049)/(ABS(D1050)+ABS(D1049)))),"")))</f>
        <v>#NAME?</v>
      </c>
    </row>
    <row r="1051" spans="2:5" x14ac:dyDescent="0.25">
      <c r="B1051" t="e">
        <f t="shared" ca="1" si="33"/>
        <v>#NAME?</v>
      </c>
      <c r="C1051">
        <v>1008</v>
      </c>
      <c r="D1051" t="e">
        <f t="shared" ca="1" si="32"/>
        <v>#NAME?</v>
      </c>
      <c r="E1051" s="115" t="e">
        <f t="array" aca="1" ref="E1051" ca="1">IF(OR(C1050=0,AND(B1052=0,C1052=0)),"",IFERROR(INDEX($F$27:$F$36,MATCH(C1051,($F$27:$F$36)*($D$27:$D$36&lt;&gt;0),0)),IF(OR(AND(D1051=0,B1051=0,B1052&lt;&gt;0),AND(D1051*D1050&lt;0,B1051&lt;&gt;0)),IF(D1051=0,C1051,C1051*(1-ABS(D1051)/(ABS(D1051)+ABS(D1050)))+C1050*(1-ABS(D1050)/(ABS(D1051)+ABS(D1050)))),"")))</f>
        <v>#NAME?</v>
      </c>
    </row>
    <row r="1052" spans="2:5" x14ac:dyDescent="0.25">
      <c r="B1052" t="e">
        <f t="shared" ca="1" si="33"/>
        <v>#NAME?</v>
      </c>
      <c r="C1052">
        <v>1009</v>
      </c>
      <c r="D1052" t="e">
        <f t="shared" ca="1" si="32"/>
        <v>#NAME?</v>
      </c>
      <c r="E1052" s="115" t="e">
        <f t="array" aca="1" ref="E1052" ca="1">IF(OR(C1051=0,AND(B1053=0,C1053=0)),"",IFERROR(INDEX($F$27:$F$36,MATCH(C1052,($F$27:$F$36)*($D$27:$D$36&lt;&gt;0),0)),IF(OR(AND(D1052=0,B1052=0,B1053&lt;&gt;0),AND(D1052*D1051&lt;0,B1052&lt;&gt;0)),IF(D1052=0,C1052,C1052*(1-ABS(D1052)/(ABS(D1052)+ABS(D1051)))+C1051*(1-ABS(D1051)/(ABS(D1052)+ABS(D1051)))),"")))</f>
        <v>#NAME?</v>
      </c>
    </row>
    <row r="1053" spans="2:5" x14ac:dyDescent="0.25">
      <c r="B1053" t="e">
        <f t="shared" ca="1" si="33"/>
        <v>#NAME?</v>
      </c>
      <c r="C1053">
        <v>1010</v>
      </c>
      <c r="D1053" t="e">
        <f t="shared" ca="1" si="32"/>
        <v>#NAME?</v>
      </c>
      <c r="E1053" s="115" t="e">
        <f t="array" aca="1" ref="E1053" ca="1">IF(OR(C1052=0,AND(B1054=0,C1054=0)),"",IFERROR(INDEX($F$27:$F$36,MATCH(C1053,($F$27:$F$36)*($D$27:$D$36&lt;&gt;0),0)),IF(OR(AND(D1053=0,B1053=0,B1054&lt;&gt;0),AND(D1053*D1052&lt;0,B1053&lt;&gt;0)),IF(D1053=0,C1053,C1053*(1-ABS(D1053)/(ABS(D1053)+ABS(D1052)))+C1052*(1-ABS(D1052)/(ABS(D1053)+ABS(D1052)))),"")))</f>
        <v>#NAME?</v>
      </c>
    </row>
    <row r="1054" spans="2:5" x14ac:dyDescent="0.25">
      <c r="B1054" t="e">
        <f t="shared" ca="1" si="33"/>
        <v>#NAME?</v>
      </c>
      <c r="C1054">
        <v>1011</v>
      </c>
      <c r="D1054" t="e">
        <f t="shared" ca="1" si="32"/>
        <v>#NAME?</v>
      </c>
      <c r="E1054" s="115" t="e">
        <f t="array" aca="1" ref="E1054" ca="1">IF(OR(C1053=0,AND(B1055=0,C1055=0)),"",IFERROR(INDEX($F$27:$F$36,MATCH(C1054,($F$27:$F$36)*($D$27:$D$36&lt;&gt;0),0)),IF(OR(AND(D1054=0,B1054=0,B1055&lt;&gt;0),AND(D1054*D1053&lt;0,B1054&lt;&gt;0)),IF(D1054=0,C1054,C1054*(1-ABS(D1054)/(ABS(D1054)+ABS(D1053)))+C1053*(1-ABS(D1053)/(ABS(D1054)+ABS(D1053)))),"")))</f>
        <v>#NAME?</v>
      </c>
    </row>
    <row r="1055" spans="2:5" x14ac:dyDescent="0.25">
      <c r="B1055" t="e">
        <f t="shared" ca="1" si="33"/>
        <v>#NAME?</v>
      </c>
      <c r="C1055">
        <v>1012</v>
      </c>
      <c r="D1055" t="e">
        <f t="shared" ca="1" si="32"/>
        <v>#NAME?</v>
      </c>
      <c r="E1055" s="115" t="e">
        <f t="array" aca="1" ref="E1055" ca="1">IF(OR(C1054=0,AND(B1056=0,C1056=0)),"",IFERROR(INDEX($F$27:$F$36,MATCH(C1055,($F$27:$F$36)*($D$27:$D$36&lt;&gt;0),0)),IF(OR(AND(D1055=0,B1055=0,B1056&lt;&gt;0),AND(D1055*D1054&lt;0,B1055&lt;&gt;0)),IF(D1055=0,C1055,C1055*(1-ABS(D1055)/(ABS(D1055)+ABS(D1054)))+C1054*(1-ABS(D1054)/(ABS(D1055)+ABS(D1054)))),"")))</f>
        <v>#NAME?</v>
      </c>
    </row>
    <row r="1056" spans="2:5" x14ac:dyDescent="0.25">
      <c r="B1056" t="e">
        <f t="shared" ca="1" si="33"/>
        <v>#NAME?</v>
      </c>
      <c r="C1056">
        <v>1013</v>
      </c>
      <c r="D1056" t="e">
        <f t="shared" ca="1" si="32"/>
        <v>#NAME?</v>
      </c>
      <c r="E1056" s="115" t="e">
        <f t="array" aca="1" ref="E1056" ca="1">IF(OR(C1055=0,AND(B1057=0,C1057=0)),"",IFERROR(INDEX($F$27:$F$36,MATCH(C1056,($F$27:$F$36)*($D$27:$D$36&lt;&gt;0),0)),IF(OR(AND(D1056=0,B1056=0,B1057&lt;&gt;0),AND(D1056*D1055&lt;0,B1056&lt;&gt;0)),IF(D1056=0,C1056,C1056*(1-ABS(D1056)/(ABS(D1056)+ABS(D1055)))+C1055*(1-ABS(D1055)/(ABS(D1056)+ABS(D1055)))),"")))</f>
        <v>#NAME?</v>
      </c>
    </row>
    <row r="1057" spans="2:5" x14ac:dyDescent="0.25">
      <c r="B1057" t="e">
        <f t="shared" ca="1" si="33"/>
        <v>#NAME?</v>
      </c>
      <c r="C1057">
        <v>1014</v>
      </c>
      <c r="D1057" t="e">
        <f t="shared" ca="1" si="32"/>
        <v>#NAME?</v>
      </c>
      <c r="E1057" s="115" t="e">
        <f t="array" aca="1" ref="E1057" ca="1">IF(OR(C1056=0,AND(B1058=0,C1058=0)),"",IFERROR(INDEX($F$27:$F$36,MATCH(C1057,($F$27:$F$36)*($D$27:$D$36&lt;&gt;0),0)),IF(OR(AND(D1057=0,B1057=0,B1058&lt;&gt;0),AND(D1057*D1056&lt;0,B1057&lt;&gt;0)),IF(D1057=0,C1057,C1057*(1-ABS(D1057)/(ABS(D1057)+ABS(D1056)))+C1056*(1-ABS(D1056)/(ABS(D1057)+ABS(D1056)))),"")))</f>
        <v>#NAME?</v>
      </c>
    </row>
    <row r="1058" spans="2:5" x14ac:dyDescent="0.25">
      <c r="B1058" t="e">
        <f t="shared" ca="1" si="33"/>
        <v>#NAME?</v>
      </c>
      <c r="C1058">
        <v>1015</v>
      </c>
      <c r="D1058" t="e">
        <f t="shared" ca="1" si="32"/>
        <v>#NAME?</v>
      </c>
      <c r="E1058" s="115" t="e">
        <f t="array" aca="1" ref="E1058" ca="1">IF(OR(C1057=0,AND(B1059=0,C1059=0)),"",IFERROR(INDEX($F$27:$F$36,MATCH(C1058,($F$27:$F$36)*($D$27:$D$36&lt;&gt;0),0)),IF(OR(AND(D1058=0,B1058=0,B1059&lt;&gt;0),AND(D1058*D1057&lt;0,B1058&lt;&gt;0)),IF(D1058=0,C1058,C1058*(1-ABS(D1058)/(ABS(D1058)+ABS(D1057)))+C1057*(1-ABS(D1057)/(ABS(D1058)+ABS(D1057)))),"")))</f>
        <v>#NAME?</v>
      </c>
    </row>
    <row r="1059" spans="2:5" x14ac:dyDescent="0.25">
      <c r="B1059" t="e">
        <f t="shared" ca="1" si="33"/>
        <v>#NAME?</v>
      </c>
      <c r="C1059">
        <v>1016</v>
      </c>
      <c r="D1059" t="e">
        <f t="shared" ca="1" si="32"/>
        <v>#NAME?</v>
      </c>
      <c r="E1059" s="115" t="e">
        <f t="array" aca="1" ref="E1059" ca="1">IF(OR(C1058=0,AND(B1060=0,C1060=0)),"",IFERROR(INDEX($F$27:$F$36,MATCH(C1059,($F$27:$F$36)*($D$27:$D$36&lt;&gt;0),0)),IF(OR(AND(D1059=0,B1059=0,B1060&lt;&gt;0),AND(D1059*D1058&lt;0,B1059&lt;&gt;0)),IF(D1059=0,C1059,C1059*(1-ABS(D1059)/(ABS(D1059)+ABS(D1058)))+C1058*(1-ABS(D1058)/(ABS(D1059)+ABS(D1058)))),"")))</f>
        <v>#NAME?</v>
      </c>
    </row>
    <row r="1060" spans="2:5" x14ac:dyDescent="0.25">
      <c r="B1060" t="e">
        <f t="shared" ca="1" si="33"/>
        <v>#NAME?</v>
      </c>
      <c r="C1060">
        <v>1017</v>
      </c>
      <c r="D1060" t="e">
        <f t="shared" ca="1" si="32"/>
        <v>#NAME?</v>
      </c>
      <c r="E1060" s="115" t="e">
        <f t="array" aca="1" ref="E1060" ca="1">IF(OR(C1059=0,AND(B1061=0,C1061=0)),"",IFERROR(INDEX($F$27:$F$36,MATCH(C1060,($F$27:$F$36)*($D$27:$D$36&lt;&gt;0),0)),IF(OR(AND(D1060=0,B1060=0,B1061&lt;&gt;0),AND(D1060*D1059&lt;0,B1060&lt;&gt;0)),IF(D1060=0,C1060,C1060*(1-ABS(D1060)/(ABS(D1060)+ABS(D1059)))+C1059*(1-ABS(D1059)/(ABS(D1060)+ABS(D1059)))),"")))</f>
        <v>#NAME?</v>
      </c>
    </row>
    <row r="1061" spans="2:5" x14ac:dyDescent="0.25">
      <c r="B1061" t="e">
        <f t="shared" ca="1" si="33"/>
        <v>#NAME?</v>
      </c>
      <c r="C1061">
        <v>1018</v>
      </c>
      <c r="D1061" t="e">
        <f t="shared" ca="1" si="32"/>
        <v>#NAME?</v>
      </c>
      <c r="E1061" s="115" t="e">
        <f t="array" aca="1" ref="E1061" ca="1">IF(OR(C1060=0,AND(B1062=0,C1062=0)),"",IFERROR(INDEX($F$27:$F$36,MATCH(C1061,($F$27:$F$36)*($D$27:$D$36&lt;&gt;0),0)),IF(OR(AND(D1061=0,B1061=0,B1062&lt;&gt;0),AND(D1061*D1060&lt;0,B1061&lt;&gt;0)),IF(D1061=0,C1061,C1061*(1-ABS(D1061)/(ABS(D1061)+ABS(D1060)))+C1060*(1-ABS(D1060)/(ABS(D1061)+ABS(D1060)))),"")))</f>
        <v>#NAME?</v>
      </c>
    </row>
    <row r="1062" spans="2:5" x14ac:dyDescent="0.25">
      <c r="B1062" t="e">
        <f t="shared" ca="1" si="33"/>
        <v>#NAME?</v>
      </c>
      <c r="C1062">
        <v>1019</v>
      </c>
      <c r="D1062" t="e">
        <f t="shared" ca="1" si="32"/>
        <v>#NAME?</v>
      </c>
      <c r="E1062" s="115" t="e">
        <f t="array" aca="1" ref="E1062" ca="1">IF(OR(C1061=0,AND(B1063=0,C1063=0)),"",IFERROR(INDEX($F$27:$F$36,MATCH(C1062,($F$27:$F$36)*($D$27:$D$36&lt;&gt;0),0)),IF(OR(AND(D1062=0,B1062=0,B1063&lt;&gt;0),AND(D1062*D1061&lt;0,B1062&lt;&gt;0)),IF(D1062=0,C1062,C1062*(1-ABS(D1062)/(ABS(D1062)+ABS(D1061)))+C1061*(1-ABS(D1061)/(ABS(D1062)+ABS(D1061)))),"")))</f>
        <v>#NAME?</v>
      </c>
    </row>
    <row r="1063" spans="2:5" x14ac:dyDescent="0.25">
      <c r="B1063" t="e">
        <f t="shared" ca="1" si="33"/>
        <v>#NAME?</v>
      </c>
      <c r="C1063">
        <v>1020</v>
      </c>
      <c r="D1063" t="e">
        <f t="shared" ca="1" si="32"/>
        <v>#NAME?</v>
      </c>
      <c r="E1063" s="115" t="e">
        <f t="array" aca="1" ref="E1063" ca="1">IF(OR(C1062=0,AND(B1064=0,C1064=0)),"",IFERROR(INDEX($F$27:$F$36,MATCH(C1063,($F$27:$F$36)*($D$27:$D$36&lt;&gt;0),0)),IF(OR(AND(D1063=0,B1063=0,B1064&lt;&gt;0),AND(D1063*D1062&lt;0,B1063&lt;&gt;0)),IF(D1063=0,C1063,C1063*(1-ABS(D1063)/(ABS(D1063)+ABS(D1062)))+C1062*(1-ABS(D1062)/(ABS(D1063)+ABS(D1062)))),"")))</f>
        <v>#NAME?</v>
      </c>
    </row>
    <row r="1064" spans="2:5" x14ac:dyDescent="0.25">
      <c r="B1064" t="e">
        <f t="shared" ca="1" si="33"/>
        <v>#NAME?</v>
      </c>
      <c r="C1064">
        <v>1021</v>
      </c>
      <c r="D1064" t="e">
        <f t="shared" ca="1" si="32"/>
        <v>#NAME?</v>
      </c>
      <c r="E1064" s="115" t="e">
        <f t="array" aca="1" ref="E1064" ca="1">IF(OR(C1063=0,AND(B1065=0,C1065=0)),"",IFERROR(INDEX($F$27:$F$36,MATCH(C1064,($F$27:$F$36)*($D$27:$D$36&lt;&gt;0),0)),IF(OR(AND(D1064=0,B1064=0,B1065&lt;&gt;0),AND(D1064*D1063&lt;0,B1064&lt;&gt;0)),IF(D1064=0,C1064,C1064*(1-ABS(D1064)/(ABS(D1064)+ABS(D1063)))+C1063*(1-ABS(D1063)/(ABS(D1064)+ABS(D1063)))),"")))</f>
        <v>#NAME?</v>
      </c>
    </row>
    <row r="1065" spans="2:5" x14ac:dyDescent="0.25">
      <c r="B1065" t="e">
        <f t="shared" ca="1" si="33"/>
        <v>#NAME?</v>
      </c>
      <c r="C1065">
        <v>1022</v>
      </c>
      <c r="D1065" t="e">
        <f t="shared" ca="1" si="32"/>
        <v>#NAME?</v>
      </c>
      <c r="E1065" s="115" t="e">
        <f t="array" aca="1" ref="E1065" ca="1">IF(OR(C1064=0,AND(B1066=0,C1066=0)),"",IFERROR(INDEX($F$27:$F$36,MATCH(C1065,($F$27:$F$36)*($D$27:$D$36&lt;&gt;0),0)),IF(OR(AND(D1065=0,B1065=0,B1066&lt;&gt;0),AND(D1065*D1064&lt;0,B1065&lt;&gt;0)),IF(D1065=0,C1065,C1065*(1-ABS(D1065)/(ABS(D1065)+ABS(D1064)))+C1064*(1-ABS(D1064)/(ABS(D1065)+ABS(D1064)))),"")))</f>
        <v>#NAME?</v>
      </c>
    </row>
    <row r="1066" spans="2:5" x14ac:dyDescent="0.25">
      <c r="B1066" t="e">
        <f t="shared" ca="1" si="33"/>
        <v>#NAME?</v>
      </c>
      <c r="C1066">
        <v>1023</v>
      </c>
      <c r="D1066" t="e">
        <f t="shared" ca="1" si="32"/>
        <v>#NAME?</v>
      </c>
      <c r="E1066" s="115" t="e">
        <f t="array" aca="1" ref="E1066" ca="1">IF(OR(C1065=0,AND(B1067=0,C1067=0)),"",IFERROR(INDEX($F$27:$F$36,MATCH(C1066,($F$27:$F$36)*($D$27:$D$36&lt;&gt;0),0)),IF(OR(AND(D1066=0,B1066=0,B1067&lt;&gt;0),AND(D1066*D1065&lt;0,B1066&lt;&gt;0)),IF(D1066=0,C1066,C1066*(1-ABS(D1066)/(ABS(D1066)+ABS(D1065)))+C1065*(1-ABS(D1065)/(ABS(D1066)+ABS(D1065)))),"")))</f>
        <v>#NAME?</v>
      </c>
    </row>
    <row r="1067" spans="2:5" x14ac:dyDescent="0.25">
      <c r="B1067" t="e">
        <f t="shared" ca="1" si="33"/>
        <v>#NAME?</v>
      </c>
      <c r="C1067">
        <v>1024</v>
      </c>
      <c r="D1067" t="e">
        <f t="shared" ref="D1067:D1130" ca="1" si="34">SUMPRODUCT(--($J$27:$J$37&gt;0),--($C1067-$F$27:$F$37&gt;0),($D$27:$D$37),($C1067-$F$27:$F$37))+SUMPRODUCT(--($J$27:$J$37&lt;0),--($F$27:$F$37-$C1067&gt;0),($D$27:$D$37),($F$27:$F$37-$C1067))-SUMPRODUCT($D$27:$D$37,$E$27:$E$37)</f>
        <v>#NAME?</v>
      </c>
      <c r="E1067" s="115" t="e">
        <f t="array" aca="1" ref="E1067" ca="1">IF(OR(C1066=0,AND(B1068=0,C1068=0)),"",IFERROR(INDEX($F$27:$F$36,MATCH(C1067,($F$27:$F$36)*($D$27:$D$36&lt;&gt;0),0)),IF(OR(AND(D1067=0,B1067=0,B1068&lt;&gt;0),AND(D1067*D1066&lt;0,B1067&lt;&gt;0)),IF(D1067=0,C1067,C1067*(1-ABS(D1067)/(ABS(D1067)+ABS(D1066)))+C1066*(1-ABS(D1066)/(ABS(D1067)+ABS(D1066)))),"")))</f>
        <v>#NAME?</v>
      </c>
    </row>
    <row r="1068" spans="2:5" x14ac:dyDescent="0.25">
      <c r="B1068" t="e">
        <f t="shared" ref="B1068:B1131" ca="1" si="35">ROUND((D1068-D1067)/(C1068-C1067),12)</f>
        <v>#NAME?</v>
      </c>
      <c r="C1068">
        <v>1025</v>
      </c>
      <c r="D1068" t="e">
        <f t="shared" ca="1" si="34"/>
        <v>#NAME?</v>
      </c>
      <c r="E1068" s="115" t="e">
        <f t="array" aca="1" ref="E1068" ca="1">IF(OR(C1067=0,AND(B1069=0,C1069=0)),"",IFERROR(INDEX($F$27:$F$36,MATCH(C1068,($F$27:$F$36)*($D$27:$D$36&lt;&gt;0),0)),IF(OR(AND(D1068=0,B1068=0,B1069&lt;&gt;0),AND(D1068*D1067&lt;0,B1068&lt;&gt;0)),IF(D1068=0,C1068,C1068*(1-ABS(D1068)/(ABS(D1068)+ABS(D1067)))+C1067*(1-ABS(D1067)/(ABS(D1068)+ABS(D1067)))),"")))</f>
        <v>#NAME?</v>
      </c>
    </row>
    <row r="1069" spans="2:5" x14ac:dyDescent="0.25">
      <c r="B1069" t="e">
        <f t="shared" ca="1" si="35"/>
        <v>#NAME?</v>
      </c>
      <c r="C1069">
        <v>1026</v>
      </c>
      <c r="D1069" t="e">
        <f t="shared" ca="1" si="34"/>
        <v>#NAME?</v>
      </c>
      <c r="E1069" s="115" t="e">
        <f t="array" aca="1" ref="E1069" ca="1">IF(OR(C1068=0,AND(B1070=0,C1070=0)),"",IFERROR(INDEX($F$27:$F$36,MATCH(C1069,($F$27:$F$36)*($D$27:$D$36&lt;&gt;0),0)),IF(OR(AND(D1069=0,B1069=0,B1070&lt;&gt;0),AND(D1069*D1068&lt;0,B1069&lt;&gt;0)),IF(D1069=0,C1069,C1069*(1-ABS(D1069)/(ABS(D1069)+ABS(D1068)))+C1068*(1-ABS(D1068)/(ABS(D1069)+ABS(D1068)))),"")))</f>
        <v>#NAME?</v>
      </c>
    </row>
    <row r="1070" spans="2:5" x14ac:dyDescent="0.25">
      <c r="B1070" t="e">
        <f t="shared" ca="1" si="35"/>
        <v>#NAME?</v>
      </c>
      <c r="C1070">
        <v>1027</v>
      </c>
      <c r="D1070" t="e">
        <f t="shared" ca="1" si="34"/>
        <v>#NAME?</v>
      </c>
      <c r="E1070" s="115" t="e">
        <f t="array" aca="1" ref="E1070" ca="1">IF(OR(C1069=0,AND(B1071=0,C1071=0)),"",IFERROR(INDEX($F$27:$F$36,MATCH(C1070,($F$27:$F$36)*($D$27:$D$36&lt;&gt;0),0)),IF(OR(AND(D1070=0,B1070=0,B1071&lt;&gt;0),AND(D1070*D1069&lt;0,B1070&lt;&gt;0)),IF(D1070=0,C1070,C1070*(1-ABS(D1070)/(ABS(D1070)+ABS(D1069)))+C1069*(1-ABS(D1069)/(ABS(D1070)+ABS(D1069)))),"")))</f>
        <v>#NAME?</v>
      </c>
    </row>
    <row r="1071" spans="2:5" x14ac:dyDescent="0.25">
      <c r="B1071" t="e">
        <f t="shared" ca="1" si="35"/>
        <v>#NAME?</v>
      </c>
      <c r="C1071">
        <v>1028</v>
      </c>
      <c r="D1071" t="e">
        <f t="shared" ca="1" si="34"/>
        <v>#NAME?</v>
      </c>
      <c r="E1071" s="115" t="e">
        <f t="array" aca="1" ref="E1071" ca="1">IF(OR(C1070=0,AND(B1072=0,C1072=0)),"",IFERROR(INDEX($F$27:$F$36,MATCH(C1071,($F$27:$F$36)*($D$27:$D$36&lt;&gt;0),0)),IF(OR(AND(D1071=0,B1071=0,B1072&lt;&gt;0),AND(D1071*D1070&lt;0,B1071&lt;&gt;0)),IF(D1071=0,C1071,C1071*(1-ABS(D1071)/(ABS(D1071)+ABS(D1070)))+C1070*(1-ABS(D1070)/(ABS(D1071)+ABS(D1070)))),"")))</f>
        <v>#NAME?</v>
      </c>
    </row>
    <row r="1072" spans="2:5" x14ac:dyDescent="0.25">
      <c r="B1072" t="e">
        <f t="shared" ca="1" si="35"/>
        <v>#NAME?</v>
      </c>
      <c r="C1072">
        <v>1029</v>
      </c>
      <c r="D1072" t="e">
        <f t="shared" ca="1" si="34"/>
        <v>#NAME?</v>
      </c>
      <c r="E1072" s="115" t="e">
        <f t="array" aca="1" ref="E1072" ca="1">IF(OR(C1071=0,AND(B1073=0,C1073=0)),"",IFERROR(INDEX($F$27:$F$36,MATCH(C1072,($F$27:$F$36)*($D$27:$D$36&lt;&gt;0),0)),IF(OR(AND(D1072=0,B1072=0,B1073&lt;&gt;0),AND(D1072*D1071&lt;0,B1072&lt;&gt;0)),IF(D1072=0,C1072,C1072*(1-ABS(D1072)/(ABS(D1072)+ABS(D1071)))+C1071*(1-ABS(D1071)/(ABS(D1072)+ABS(D1071)))),"")))</f>
        <v>#NAME?</v>
      </c>
    </row>
    <row r="1073" spans="2:5" x14ac:dyDescent="0.25">
      <c r="B1073" t="e">
        <f t="shared" ca="1" si="35"/>
        <v>#NAME?</v>
      </c>
      <c r="C1073">
        <v>1030</v>
      </c>
      <c r="D1073" t="e">
        <f t="shared" ca="1" si="34"/>
        <v>#NAME?</v>
      </c>
      <c r="E1073" s="115" t="e">
        <f t="array" aca="1" ref="E1073" ca="1">IF(OR(C1072=0,AND(B1074=0,C1074=0)),"",IFERROR(INDEX($F$27:$F$36,MATCH(C1073,($F$27:$F$36)*($D$27:$D$36&lt;&gt;0),0)),IF(OR(AND(D1073=0,B1073=0,B1074&lt;&gt;0),AND(D1073*D1072&lt;0,B1073&lt;&gt;0)),IF(D1073=0,C1073,C1073*(1-ABS(D1073)/(ABS(D1073)+ABS(D1072)))+C1072*(1-ABS(D1072)/(ABS(D1073)+ABS(D1072)))),"")))</f>
        <v>#NAME?</v>
      </c>
    </row>
    <row r="1074" spans="2:5" x14ac:dyDescent="0.25">
      <c r="B1074" t="e">
        <f t="shared" ca="1" si="35"/>
        <v>#NAME?</v>
      </c>
      <c r="C1074">
        <v>1031</v>
      </c>
      <c r="D1074" t="e">
        <f t="shared" ca="1" si="34"/>
        <v>#NAME?</v>
      </c>
      <c r="E1074" s="115" t="e">
        <f t="array" aca="1" ref="E1074" ca="1">IF(OR(C1073=0,AND(B1075=0,C1075=0)),"",IFERROR(INDEX($F$27:$F$36,MATCH(C1074,($F$27:$F$36)*($D$27:$D$36&lt;&gt;0),0)),IF(OR(AND(D1074=0,B1074=0,B1075&lt;&gt;0),AND(D1074*D1073&lt;0,B1074&lt;&gt;0)),IF(D1074=0,C1074,C1074*(1-ABS(D1074)/(ABS(D1074)+ABS(D1073)))+C1073*(1-ABS(D1073)/(ABS(D1074)+ABS(D1073)))),"")))</f>
        <v>#NAME?</v>
      </c>
    </row>
    <row r="1075" spans="2:5" x14ac:dyDescent="0.25">
      <c r="B1075" t="e">
        <f t="shared" ca="1" si="35"/>
        <v>#NAME?</v>
      </c>
      <c r="C1075">
        <v>1032</v>
      </c>
      <c r="D1075" t="e">
        <f t="shared" ca="1" si="34"/>
        <v>#NAME?</v>
      </c>
      <c r="E1075" s="115" t="e">
        <f t="array" aca="1" ref="E1075" ca="1">IF(OR(C1074=0,AND(B1076=0,C1076=0)),"",IFERROR(INDEX($F$27:$F$36,MATCH(C1075,($F$27:$F$36)*($D$27:$D$36&lt;&gt;0),0)),IF(OR(AND(D1075=0,B1075=0,B1076&lt;&gt;0),AND(D1075*D1074&lt;0,B1075&lt;&gt;0)),IF(D1075=0,C1075,C1075*(1-ABS(D1075)/(ABS(D1075)+ABS(D1074)))+C1074*(1-ABS(D1074)/(ABS(D1075)+ABS(D1074)))),"")))</f>
        <v>#NAME?</v>
      </c>
    </row>
    <row r="1076" spans="2:5" x14ac:dyDescent="0.25">
      <c r="B1076" t="e">
        <f t="shared" ca="1" si="35"/>
        <v>#NAME?</v>
      </c>
      <c r="C1076">
        <v>1033</v>
      </c>
      <c r="D1076" t="e">
        <f t="shared" ca="1" si="34"/>
        <v>#NAME?</v>
      </c>
      <c r="E1076" s="115" t="e">
        <f t="array" aca="1" ref="E1076" ca="1">IF(OR(C1075=0,AND(B1077=0,C1077=0)),"",IFERROR(INDEX($F$27:$F$36,MATCH(C1076,($F$27:$F$36)*($D$27:$D$36&lt;&gt;0),0)),IF(OR(AND(D1076=0,B1076=0,B1077&lt;&gt;0),AND(D1076*D1075&lt;0,B1076&lt;&gt;0)),IF(D1076=0,C1076,C1076*(1-ABS(D1076)/(ABS(D1076)+ABS(D1075)))+C1075*(1-ABS(D1075)/(ABS(D1076)+ABS(D1075)))),"")))</f>
        <v>#NAME?</v>
      </c>
    </row>
    <row r="1077" spans="2:5" x14ac:dyDescent="0.25">
      <c r="B1077" t="e">
        <f t="shared" ca="1" si="35"/>
        <v>#NAME?</v>
      </c>
      <c r="C1077">
        <v>1034</v>
      </c>
      <c r="D1077" t="e">
        <f t="shared" ca="1" si="34"/>
        <v>#NAME?</v>
      </c>
      <c r="E1077" s="115" t="e">
        <f t="array" aca="1" ref="E1077" ca="1">IF(OR(C1076=0,AND(B1078=0,C1078=0)),"",IFERROR(INDEX($F$27:$F$36,MATCH(C1077,($F$27:$F$36)*($D$27:$D$36&lt;&gt;0),0)),IF(OR(AND(D1077=0,B1077=0,B1078&lt;&gt;0),AND(D1077*D1076&lt;0,B1077&lt;&gt;0)),IF(D1077=0,C1077,C1077*(1-ABS(D1077)/(ABS(D1077)+ABS(D1076)))+C1076*(1-ABS(D1076)/(ABS(D1077)+ABS(D1076)))),"")))</f>
        <v>#NAME?</v>
      </c>
    </row>
    <row r="1078" spans="2:5" x14ac:dyDescent="0.25">
      <c r="B1078" t="e">
        <f t="shared" ca="1" si="35"/>
        <v>#NAME?</v>
      </c>
      <c r="C1078">
        <v>1035</v>
      </c>
      <c r="D1078" t="e">
        <f t="shared" ca="1" si="34"/>
        <v>#NAME?</v>
      </c>
      <c r="E1078" s="115" t="e">
        <f t="array" aca="1" ref="E1078" ca="1">IF(OR(C1077=0,AND(B1079=0,C1079=0)),"",IFERROR(INDEX($F$27:$F$36,MATCH(C1078,($F$27:$F$36)*($D$27:$D$36&lt;&gt;0),0)),IF(OR(AND(D1078=0,B1078=0,B1079&lt;&gt;0),AND(D1078*D1077&lt;0,B1078&lt;&gt;0)),IF(D1078=0,C1078,C1078*(1-ABS(D1078)/(ABS(D1078)+ABS(D1077)))+C1077*(1-ABS(D1077)/(ABS(D1078)+ABS(D1077)))),"")))</f>
        <v>#NAME?</v>
      </c>
    </row>
    <row r="1079" spans="2:5" x14ac:dyDescent="0.25">
      <c r="B1079" t="e">
        <f t="shared" ca="1" si="35"/>
        <v>#NAME?</v>
      </c>
      <c r="C1079">
        <v>1036</v>
      </c>
      <c r="D1079" t="e">
        <f t="shared" ca="1" si="34"/>
        <v>#NAME?</v>
      </c>
      <c r="E1079" s="115" t="e">
        <f t="array" aca="1" ref="E1079" ca="1">IF(OR(C1078=0,AND(B1080=0,C1080=0)),"",IFERROR(INDEX($F$27:$F$36,MATCH(C1079,($F$27:$F$36)*($D$27:$D$36&lt;&gt;0),0)),IF(OR(AND(D1079=0,B1079=0,B1080&lt;&gt;0),AND(D1079*D1078&lt;0,B1079&lt;&gt;0)),IF(D1079=0,C1079,C1079*(1-ABS(D1079)/(ABS(D1079)+ABS(D1078)))+C1078*(1-ABS(D1078)/(ABS(D1079)+ABS(D1078)))),"")))</f>
        <v>#NAME?</v>
      </c>
    </row>
    <row r="1080" spans="2:5" x14ac:dyDescent="0.25">
      <c r="B1080" t="e">
        <f t="shared" ca="1" si="35"/>
        <v>#NAME?</v>
      </c>
      <c r="C1080">
        <v>1037</v>
      </c>
      <c r="D1080" t="e">
        <f t="shared" ca="1" si="34"/>
        <v>#NAME?</v>
      </c>
      <c r="E1080" s="115" t="e">
        <f t="array" aca="1" ref="E1080" ca="1">IF(OR(C1079=0,AND(B1081=0,C1081=0)),"",IFERROR(INDEX($F$27:$F$36,MATCH(C1080,($F$27:$F$36)*($D$27:$D$36&lt;&gt;0),0)),IF(OR(AND(D1080=0,B1080=0,B1081&lt;&gt;0),AND(D1080*D1079&lt;0,B1080&lt;&gt;0)),IF(D1080=0,C1080,C1080*(1-ABS(D1080)/(ABS(D1080)+ABS(D1079)))+C1079*(1-ABS(D1079)/(ABS(D1080)+ABS(D1079)))),"")))</f>
        <v>#NAME?</v>
      </c>
    </row>
    <row r="1081" spans="2:5" x14ac:dyDescent="0.25">
      <c r="B1081" t="e">
        <f t="shared" ca="1" si="35"/>
        <v>#NAME?</v>
      </c>
      <c r="C1081">
        <v>1038</v>
      </c>
      <c r="D1081" t="e">
        <f t="shared" ca="1" si="34"/>
        <v>#NAME?</v>
      </c>
      <c r="E1081" s="115" t="e">
        <f t="array" aca="1" ref="E1081" ca="1">IF(OR(C1080=0,AND(B1082=0,C1082=0)),"",IFERROR(INDEX($F$27:$F$36,MATCH(C1081,($F$27:$F$36)*($D$27:$D$36&lt;&gt;0),0)),IF(OR(AND(D1081=0,B1081=0,B1082&lt;&gt;0),AND(D1081*D1080&lt;0,B1081&lt;&gt;0)),IF(D1081=0,C1081,C1081*(1-ABS(D1081)/(ABS(D1081)+ABS(D1080)))+C1080*(1-ABS(D1080)/(ABS(D1081)+ABS(D1080)))),"")))</f>
        <v>#NAME?</v>
      </c>
    </row>
    <row r="1082" spans="2:5" x14ac:dyDescent="0.25">
      <c r="B1082" t="e">
        <f t="shared" ca="1" si="35"/>
        <v>#NAME?</v>
      </c>
      <c r="C1082">
        <v>1039</v>
      </c>
      <c r="D1082" t="e">
        <f t="shared" ca="1" si="34"/>
        <v>#NAME?</v>
      </c>
      <c r="E1082" s="115" t="e">
        <f t="array" aca="1" ref="E1082" ca="1">IF(OR(C1081=0,AND(B1083=0,C1083=0)),"",IFERROR(INDEX($F$27:$F$36,MATCH(C1082,($F$27:$F$36)*($D$27:$D$36&lt;&gt;0),0)),IF(OR(AND(D1082=0,B1082=0,B1083&lt;&gt;0),AND(D1082*D1081&lt;0,B1082&lt;&gt;0)),IF(D1082=0,C1082,C1082*(1-ABS(D1082)/(ABS(D1082)+ABS(D1081)))+C1081*(1-ABS(D1081)/(ABS(D1082)+ABS(D1081)))),"")))</f>
        <v>#NAME?</v>
      </c>
    </row>
    <row r="1083" spans="2:5" x14ac:dyDescent="0.25">
      <c r="B1083" t="e">
        <f t="shared" ca="1" si="35"/>
        <v>#NAME?</v>
      </c>
      <c r="C1083">
        <v>1040</v>
      </c>
      <c r="D1083" t="e">
        <f t="shared" ca="1" si="34"/>
        <v>#NAME?</v>
      </c>
      <c r="E1083" s="115" t="e">
        <f t="array" aca="1" ref="E1083" ca="1">IF(OR(C1082=0,AND(B1084=0,C1084=0)),"",IFERROR(INDEX($F$27:$F$36,MATCH(C1083,($F$27:$F$36)*($D$27:$D$36&lt;&gt;0),0)),IF(OR(AND(D1083=0,B1083=0,B1084&lt;&gt;0),AND(D1083*D1082&lt;0,B1083&lt;&gt;0)),IF(D1083=0,C1083,C1083*(1-ABS(D1083)/(ABS(D1083)+ABS(D1082)))+C1082*(1-ABS(D1082)/(ABS(D1083)+ABS(D1082)))),"")))</f>
        <v>#NAME?</v>
      </c>
    </row>
    <row r="1084" spans="2:5" x14ac:dyDescent="0.25">
      <c r="B1084" t="e">
        <f t="shared" ca="1" si="35"/>
        <v>#NAME?</v>
      </c>
      <c r="C1084">
        <v>1041</v>
      </c>
      <c r="D1084" t="e">
        <f t="shared" ca="1" si="34"/>
        <v>#NAME?</v>
      </c>
      <c r="E1084" s="115" t="e">
        <f t="array" aca="1" ref="E1084" ca="1">IF(OR(C1083=0,AND(B1085=0,C1085=0)),"",IFERROR(INDEX($F$27:$F$36,MATCH(C1084,($F$27:$F$36)*($D$27:$D$36&lt;&gt;0),0)),IF(OR(AND(D1084=0,B1084=0,B1085&lt;&gt;0),AND(D1084*D1083&lt;0,B1084&lt;&gt;0)),IF(D1084=0,C1084,C1084*(1-ABS(D1084)/(ABS(D1084)+ABS(D1083)))+C1083*(1-ABS(D1083)/(ABS(D1084)+ABS(D1083)))),"")))</f>
        <v>#NAME?</v>
      </c>
    </row>
    <row r="1085" spans="2:5" x14ac:dyDescent="0.25">
      <c r="B1085" t="e">
        <f t="shared" ca="1" si="35"/>
        <v>#NAME?</v>
      </c>
      <c r="C1085">
        <v>1042</v>
      </c>
      <c r="D1085" t="e">
        <f t="shared" ca="1" si="34"/>
        <v>#NAME?</v>
      </c>
      <c r="E1085" s="115" t="e">
        <f t="array" aca="1" ref="E1085" ca="1">IF(OR(C1084=0,AND(B1086=0,C1086=0)),"",IFERROR(INDEX($F$27:$F$36,MATCH(C1085,($F$27:$F$36)*($D$27:$D$36&lt;&gt;0),0)),IF(OR(AND(D1085=0,B1085=0,B1086&lt;&gt;0),AND(D1085*D1084&lt;0,B1085&lt;&gt;0)),IF(D1085=0,C1085,C1085*(1-ABS(D1085)/(ABS(D1085)+ABS(D1084)))+C1084*(1-ABS(D1084)/(ABS(D1085)+ABS(D1084)))),"")))</f>
        <v>#NAME?</v>
      </c>
    </row>
    <row r="1086" spans="2:5" x14ac:dyDescent="0.25">
      <c r="B1086" t="e">
        <f t="shared" ca="1" si="35"/>
        <v>#NAME?</v>
      </c>
      <c r="C1086">
        <v>1043</v>
      </c>
      <c r="D1086" t="e">
        <f t="shared" ca="1" si="34"/>
        <v>#NAME?</v>
      </c>
      <c r="E1086" s="115" t="e">
        <f t="array" aca="1" ref="E1086" ca="1">IF(OR(C1085=0,AND(B1087=0,C1087=0)),"",IFERROR(INDEX($F$27:$F$36,MATCH(C1086,($F$27:$F$36)*($D$27:$D$36&lt;&gt;0),0)),IF(OR(AND(D1086=0,B1086=0,B1087&lt;&gt;0),AND(D1086*D1085&lt;0,B1086&lt;&gt;0)),IF(D1086=0,C1086,C1086*(1-ABS(D1086)/(ABS(D1086)+ABS(D1085)))+C1085*(1-ABS(D1085)/(ABS(D1086)+ABS(D1085)))),"")))</f>
        <v>#NAME?</v>
      </c>
    </row>
    <row r="1087" spans="2:5" x14ac:dyDescent="0.25">
      <c r="B1087" t="e">
        <f t="shared" ca="1" si="35"/>
        <v>#NAME?</v>
      </c>
      <c r="C1087">
        <v>1044</v>
      </c>
      <c r="D1087" t="e">
        <f t="shared" ca="1" si="34"/>
        <v>#NAME?</v>
      </c>
      <c r="E1087" s="115" t="e">
        <f t="array" aca="1" ref="E1087" ca="1">IF(OR(C1086=0,AND(B1088=0,C1088=0)),"",IFERROR(INDEX($F$27:$F$36,MATCH(C1087,($F$27:$F$36)*($D$27:$D$36&lt;&gt;0),0)),IF(OR(AND(D1087=0,B1087=0,B1088&lt;&gt;0),AND(D1087*D1086&lt;0,B1087&lt;&gt;0)),IF(D1087=0,C1087,C1087*(1-ABS(D1087)/(ABS(D1087)+ABS(D1086)))+C1086*(1-ABS(D1086)/(ABS(D1087)+ABS(D1086)))),"")))</f>
        <v>#NAME?</v>
      </c>
    </row>
    <row r="1088" spans="2:5" x14ac:dyDescent="0.25">
      <c r="B1088" t="e">
        <f t="shared" ca="1" si="35"/>
        <v>#NAME?</v>
      </c>
      <c r="C1088">
        <v>1045</v>
      </c>
      <c r="D1088" t="e">
        <f t="shared" ca="1" si="34"/>
        <v>#NAME?</v>
      </c>
      <c r="E1088" s="115" t="e">
        <f t="array" aca="1" ref="E1088" ca="1">IF(OR(C1087=0,AND(B1089=0,C1089=0)),"",IFERROR(INDEX($F$27:$F$36,MATCH(C1088,($F$27:$F$36)*($D$27:$D$36&lt;&gt;0),0)),IF(OR(AND(D1088=0,B1088=0,B1089&lt;&gt;0),AND(D1088*D1087&lt;0,B1088&lt;&gt;0)),IF(D1088=0,C1088,C1088*(1-ABS(D1088)/(ABS(D1088)+ABS(D1087)))+C1087*(1-ABS(D1087)/(ABS(D1088)+ABS(D1087)))),"")))</f>
        <v>#NAME?</v>
      </c>
    </row>
    <row r="1089" spans="2:5" x14ac:dyDescent="0.25">
      <c r="B1089" t="e">
        <f t="shared" ca="1" si="35"/>
        <v>#NAME?</v>
      </c>
      <c r="C1089">
        <v>1046</v>
      </c>
      <c r="D1089" t="e">
        <f t="shared" ca="1" si="34"/>
        <v>#NAME?</v>
      </c>
      <c r="E1089" s="115" t="e">
        <f t="array" aca="1" ref="E1089" ca="1">IF(OR(C1088=0,AND(B1090=0,C1090=0)),"",IFERROR(INDEX($F$27:$F$36,MATCH(C1089,($F$27:$F$36)*($D$27:$D$36&lt;&gt;0),0)),IF(OR(AND(D1089=0,B1089=0,B1090&lt;&gt;0),AND(D1089*D1088&lt;0,B1089&lt;&gt;0)),IF(D1089=0,C1089,C1089*(1-ABS(D1089)/(ABS(D1089)+ABS(D1088)))+C1088*(1-ABS(D1088)/(ABS(D1089)+ABS(D1088)))),"")))</f>
        <v>#NAME?</v>
      </c>
    </row>
    <row r="1090" spans="2:5" x14ac:dyDescent="0.25">
      <c r="B1090" t="e">
        <f t="shared" ca="1" si="35"/>
        <v>#NAME?</v>
      </c>
      <c r="C1090">
        <v>1047</v>
      </c>
      <c r="D1090" t="e">
        <f t="shared" ca="1" si="34"/>
        <v>#NAME?</v>
      </c>
      <c r="E1090" s="115" t="e">
        <f t="array" aca="1" ref="E1090" ca="1">IF(OR(C1089=0,AND(B1091=0,C1091=0)),"",IFERROR(INDEX($F$27:$F$36,MATCH(C1090,($F$27:$F$36)*($D$27:$D$36&lt;&gt;0),0)),IF(OR(AND(D1090=0,B1090=0,B1091&lt;&gt;0),AND(D1090*D1089&lt;0,B1090&lt;&gt;0)),IF(D1090=0,C1090,C1090*(1-ABS(D1090)/(ABS(D1090)+ABS(D1089)))+C1089*(1-ABS(D1089)/(ABS(D1090)+ABS(D1089)))),"")))</f>
        <v>#NAME?</v>
      </c>
    </row>
    <row r="1091" spans="2:5" x14ac:dyDescent="0.25">
      <c r="B1091" t="e">
        <f t="shared" ca="1" si="35"/>
        <v>#NAME?</v>
      </c>
      <c r="C1091">
        <v>1048</v>
      </c>
      <c r="D1091" t="e">
        <f t="shared" ca="1" si="34"/>
        <v>#NAME?</v>
      </c>
      <c r="E1091" s="115" t="e">
        <f t="array" aca="1" ref="E1091" ca="1">IF(OR(C1090=0,AND(B1092=0,C1092=0)),"",IFERROR(INDEX($F$27:$F$36,MATCH(C1091,($F$27:$F$36)*($D$27:$D$36&lt;&gt;0),0)),IF(OR(AND(D1091=0,B1091=0,B1092&lt;&gt;0),AND(D1091*D1090&lt;0,B1091&lt;&gt;0)),IF(D1091=0,C1091,C1091*(1-ABS(D1091)/(ABS(D1091)+ABS(D1090)))+C1090*(1-ABS(D1090)/(ABS(D1091)+ABS(D1090)))),"")))</f>
        <v>#NAME?</v>
      </c>
    </row>
    <row r="1092" spans="2:5" x14ac:dyDescent="0.25">
      <c r="B1092" t="e">
        <f t="shared" ca="1" si="35"/>
        <v>#NAME?</v>
      </c>
      <c r="C1092">
        <v>1049</v>
      </c>
      <c r="D1092" t="e">
        <f t="shared" ca="1" si="34"/>
        <v>#NAME?</v>
      </c>
      <c r="E1092" s="115" t="e">
        <f t="array" aca="1" ref="E1092" ca="1">IF(OR(C1091=0,AND(B1093=0,C1093=0)),"",IFERROR(INDEX($F$27:$F$36,MATCH(C1092,($F$27:$F$36)*($D$27:$D$36&lt;&gt;0),0)),IF(OR(AND(D1092=0,B1092=0,B1093&lt;&gt;0),AND(D1092*D1091&lt;0,B1092&lt;&gt;0)),IF(D1092=0,C1092,C1092*(1-ABS(D1092)/(ABS(D1092)+ABS(D1091)))+C1091*(1-ABS(D1091)/(ABS(D1092)+ABS(D1091)))),"")))</f>
        <v>#NAME?</v>
      </c>
    </row>
    <row r="1093" spans="2:5" x14ac:dyDescent="0.25">
      <c r="B1093" t="e">
        <f t="shared" ca="1" si="35"/>
        <v>#NAME?</v>
      </c>
      <c r="C1093">
        <v>1050</v>
      </c>
      <c r="D1093" t="e">
        <f t="shared" ca="1" si="34"/>
        <v>#NAME?</v>
      </c>
      <c r="E1093" s="115" t="e">
        <f t="array" aca="1" ref="E1093" ca="1">IF(OR(C1092=0,AND(B1094=0,C1094=0)),"",IFERROR(INDEX($F$27:$F$36,MATCH(C1093,($F$27:$F$36)*($D$27:$D$36&lt;&gt;0),0)),IF(OR(AND(D1093=0,B1093=0,B1094&lt;&gt;0),AND(D1093*D1092&lt;0,B1093&lt;&gt;0)),IF(D1093=0,C1093,C1093*(1-ABS(D1093)/(ABS(D1093)+ABS(D1092)))+C1092*(1-ABS(D1092)/(ABS(D1093)+ABS(D1092)))),"")))</f>
        <v>#NAME?</v>
      </c>
    </row>
    <row r="1094" spans="2:5" x14ac:dyDescent="0.25">
      <c r="B1094" t="e">
        <f t="shared" ca="1" si="35"/>
        <v>#NAME?</v>
      </c>
      <c r="C1094">
        <v>1051</v>
      </c>
      <c r="D1094" t="e">
        <f t="shared" ca="1" si="34"/>
        <v>#NAME?</v>
      </c>
      <c r="E1094" s="115" t="e">
        <f t="array" aca="1" ref="E1094" ca="1">IF(OR(C1093=0,AND(B1095=0,C1095=0)),"",IFERROR(INDEX($F$27:$F$36,MATCH(C1094,($F$27:$F$36)*($D$27:$D$36&lt;&gt;0),0)),IF(OR(AND(D1094=0,B1094=0,B1095&lt;&gt;0),AND(D1094*D1093&lt;0,B1094&lt;&gt;0)),IF(D1094=0,C1094,C1094*(1-ABS(D1094)/(ABS(D1094)+ABS(D1093)))+C1093*(1-ABS(D1093)/(ABS(D1094)+ABS(D1093)))),"")))</f>
        <v>#NAME?</v>
      </c>
    </row>
    <row r="1095" spans="2:5" x14ac:dyDescent="0.25">
      <c r="B1095" t="e">
        <f t="shared" ca="1" si="35"/>
        <v>#NAME?</v>
      </c>
      <c r="C1095">
        <v>1052</v>
      </c>
      <c r="D1095" t="e">
        <f t="shared" ca="1" si="34"/>
        <v>#NAME?</v>
      </c>
      <c r="E1095" s="115" t="e">
        <f t="array" aca="1" ref="E1095" ca="1">IF(OR(C1094=0,AND(B1096=0,C1096=0)),"",IFERROR(INDEX($F$27:$F$36,MATCH(C1095,($F$27:$F$36)*($D$27:$D$36&lt;&gt;0),0)),IF(OR(AND(D1095=0,B1095=0,B1096&lt;&gt;0),AND(D1095*D1094&lt;0,B1095&lt;&gt;0)),IF(D1095=0,C1095,C1095*(1-ABS(D1095)/(ABS(D1095)+ABS(D1094)))+C1094*(1-ABS(D1094)/(ABS(D1095)+ABS(D1094)))),"")))</f>
        <v>#NAME?</v>
      </c>
    </row>
    <row r="1096" spans="2:5" x14ac:dyDescent="0.25">
      <c r="B1096" t="e">
        <f t="shared" ca="1" si="35"/>
        <v>#NAME?</v>
      </c>
      <c r="C1096">
        <v>1053</v>
      </c>
      <c r="D1096" t="e">
        <f t="shared" ca="1" si="34"/>
        <v>#NAME?</v>
      </c>
      <c r="E1096" s="115" t="e">
        <f t="array" aca="1" ref="E1096" ca="1">IF(OR(C1095=0,AND(B1097=0,C1097=0)),"",IFERROR(INDEX($F$27:$F$36,MATCH(C1096,($F$27:$F$36)*($D$27:$D$36&lt;&gt;0),0)),IF(OR(AND(D1096=0,B1096=0,B1097&lt;&gt;0),AND(D1096*D1095&lt;0,B1096&lt;&gt;0)),IF(D1096=0,C1096,C1096*(1-ABS(D1096)/(ABS(D1096)+ABS(D1095)))+C1095*(1-ABS(D1095)/(ABS(D1096)+ABS(D1095)))),"")))</f>
        <v>#NAME?</v>
      </c>
    </row>
    <row r="1097" spans="2:5" x14ac:dyDescent="0.25">
      <c r="B1097" t="e">
        <f t="shared" ca="1" si="35"/>
        <v>#NAME?</v>
      </c>
      <c r="C1097">
        <v>1054</v>
      </c>
      <c r="D1097" t="e">
        <f t="shared" ca="1" si="34"/>
        <v>#NAME?</v>
      </c>
      <c r="E1097" s="115" t="e">
        <f t="array" aca="1" ref="E1097" ca="1">IF(OR(C1096=0,AND(B1098=0,C1098=0)),"",IFERROR(INDEX($F$27:$F$36,MATCH(C1097,($F$27:$F$36)*($D$27:$D$36&lt;&gt;0),0)),IF(OR(AND(D1097=0,B1097=0,B1098&lt;&gt;0),AND(D1097*D1096&lt;0,B1097&lt;&gt;0)),IF(D1097=0,C1097,C1097*(1-ABS(D1097)/(ABS(D1097)+ABS(D1096)))+C1096*(1-ABS(D1096)/(ABS(D1097)+ABS(D1096)))),"")))</f>
        <v>#NAME?</v>
      </c>
    </row>
    <row r="1098" spans="2:5" x14ac:dyDescent="0.25">
      <c r="B1098" t="e">
        <f t="shared" ca="1" si="35"/>
        <v>#NAME?</v>
      </c>
      <c r="C1098">
        <v>1055</v>
      </c>
      <c r="D1098" t="e">
        <f t="shared" ca="1" si="34"/>
        <v>#NAME?</v>
      </c>
      <c r="E1098" s="115" t="e">
        <f t="array" aca="1" ref="E1098" ca="1">IF(OR(C1097=0,AND(B1099=0,C1099=0)),"",IFERROR(INDEX($F$27:$F$36,MATCH(C1098,($F$27:$F$36)*($D$27:$D$36&lt;&gt;0),0)),IF(OR(AND(D1098=0,B1098=0,B1099&lt;&gt;0),AND(D1098*D1097&lt;0,B1098&lt;&gt;0)),IF(D1098=0,C1098,C1098*(1-ABS(D1098)/(ABS(D1098)+ABS(D1097)))+C1097*(1-ABS(D1097)/(ABS(D1098)+ABS(D1097)))),"")))</f>
        <v>#NAME?</v>
      </c>
    </row>
    <row r="1099" spans="2:5" x14ac:dyDescent="0.25">
      <c r="B1099" t="e">
        <f t="shared" ca="1" si="35"/>
        <v>#NAME?</v>
      </c>
      <c r="C1099">
        <v>1056</v>
      </c>
      <c r="D1099" t="e">
        <f t="shared" ca="1" si="34"/>
        <v>#NAME?</v>
      </c>
      <c r="E1099" s="115" t="e">
        <f t="array" aca="1" ref="E1099" ca="1">IF(OR(C1098=0,AND(B1100=0,C1100=0)),"",IFERROR(INDEX($F$27:$F$36,MATCH(C1099,($F$27:$F$36)*($D$27:$D$36&lt;&gt;0),0)),IF(OR(AND(D1099=0,B1099=0,B1100&lt;&gt;0),AND(D1099*D1098&lt;0,B1099&lt;&gt;0)),IF(D1099=0,C1099,C1099*(1-ABS(D1099)/(ABS(D1099)+ABS(D1098)))+C1098*(1-ABS(D1098)/(ABS(D1099)+ABS(D1098)))),"")))</f>
        <v>#NAME?</v>
      </c>
    </row>
    <row r="1100" spans="2:5" x14ac:dyDescent="0.25">
      <c r="B1100" t="e">
        <f t="shared" ca="1" si="35"/>
        <v>#NAME?</v>
      </c>
      <c r="C1100">
        <v>1057</v>
      </c>
      <c r="D1100" t="e">
        <f t="shared" ca="1" si="34"/>
        <v>#NAME?</v>
      </c>
      <c r="E1100" s="115" t="e">
        <f t="array" aca="1" ref="E1100" ca="1">IF(OR(C1099=0,AND(B1101=0,C1101=0)),"",IFERROR(INDEX($F$27:$F$36,MATCH(C1100,($F$27:$F$36)*($D$27:$D$36&lt;&gt;0),0)),IF(OR(AND(D1100=0,B1100=0,B1101&lt;&gt;0),AND(D1100*D1099&lt;0,B1100&lt;&gt;0)),IF(D1100=0,C1100,C1100*(1-ABS(D1100)/(ABS(D1100)+ABS(D1099)))+C1099*(1-ABS(D1099)/(ABS(D1100)+ABS(D1099)))),"")))</f>
        <v>#NAME?</v>
      </c>
    </row>
    <row r="1101" spans="2:5" x14ac:dyDescent="0.25">
      <c r="B1101" t="e">
        <f t="shared" ca="1" si="35"/>
        <v>#NAME?</v>
      </c>
      <c r="C1101">
        <v>1058</v>
      </c>
      <c r="D1101" t="e">
        <f t="shared" ca="1" si="34"/>
        <v>#NAME?</v>
      </c>
      <c r="E1101" s="115" t="e">
        <f t="array" aca="1" ref="E1101" ca="1">IF(OR(C1100=0,AND(B1102=0,C1102=0)),"",IFERROR(INDEX($F$27:$F$36,MATCH(C1101,($F$27:$F$36)*($D$27:$D$36&lt;&gt;0),0)),IF(OR(AND(D1101=0,B1101=0,B1102&lt;&gt;0),AND(D1101*D1100&lt;0,B1101&lt;&gt;0)),IF(D1101=0,C1101,C1101*(1-ABS(D1101)/(ABS(D1101)+ABS(D1100)))+C1100*(1-ABS(D1100)/(ABS(D1101)+ABS(D1100)))),"")))</f>
        <v>#NAME?</v>
      </c>
    </row>
    <row r="1102" spans="2:5" x14ac:dyDescent="0.25">
      <c r="B1102" t="e">
        <f t="shared" ca="1" si="35"/>
        <v>#NAME?</v>
      </c>
      <c r="C1102">
        <v>1059</v>
      </c>
      <c r="D1102" t="e">
        <f t="shared" ca="1" si="34"/>
        <v>#NAME?</v>
      </c>
      <c r="E1102" s="115" t="e">
        <f t="array" aca="1" ref="E1102" ca="1">IF(OR(C1101=0,AND(B1103=0,C1103=0)),"",IFERROR(INDEX($F$27:$F$36,MATCH(C1102,($F$27:$F$36)*($D$27:$D$36&lt;&gt;0),0)),IF(OR(AND(D1102=0,B1102=0,B1103&lt;&gt;0),AND(D1102*D1101&lt;0,B1102&lt;&gt;0)),IF(D1102=0,C1102,C1102*(1-ABS(D1102)/(ABS(D1102)+ABS(D1101)))+C1101*(1-ABS(D1101)/(ABS(D1102)+ABS(D1101)))),"")))</f>
        <v>#NAME?</v>
      </c>
    </row>
    <row r="1103" spans="2:5" x14ac:dyDescent="0.25">
      <c r="B1103" t="e">
        <f t="shared" ca="1" si="35"/>
        <v>#NAME?</v>
      </c>
      <c r="C1103">
        <v>1060</v>
      </c>
      <c r="D1103" t="e">
        <f t="shared" ca="1" si="34"/>
        <v>#NAME?</v>
      </c>
      <c r="E1103" s="115" t="e">
        <f t="array" aca="1" ref="E1103" ca="1">IF(OR(C1102=0,AND(B1104=0,C1104=0)),"",IFERROR(INDEX($F$27:$F$36,MATCH(C1103,($F$27:$F$36)*($D$27:$D$36&lt;&gt;0),0)),IF(OR(AND(D1103=0,B1103=0,B1104&lt;&gt;0),AND(D1103*D1102&lt;0,B1103&lt;&gt;0)),IF(D1103=0,C1103,C1103*(1-ABS(D1103)/(ABS(D1103)+ABS(D1102)))+C1102*(1-ABS(D1102)/(ABS(D1103)+ABS(D1102)))),"")))</f>
        <v>#NAME?</v>
      </c>
    </row>
    <row r="1104" spans="2:5" x14ac:dyDescent="0.25">
      <c r="B1104" t="e">
        <f t="shared" ca="1" si="35"/>
        <v>#NAME?</v>
      </c>
      <c r="C1104">
        <v>1061</v>
      </c>
      <c r="D1104" t="e">
        <f t="shared" ca="1" si="34"/>
        <v>#NAME?</v>
      </c>
      <c r="E1104" s="115" t="e">
        <f t="array" aca="1" ref="E1104" ca="1">IF(OR(C1103=0,AND(B1105=0,C1105=0)),"",IFERROR(INDEX($F$27:$F$36,MATCH(C1104,($F$27:$F$36)*($D$27:$D$36&lt;&gt;0),0)),IF(OR(AND(D1104=0,B1104=0,B1105&lt;&gt;0),AND(D1104*D1103&lt;0,B1104&lt;&gt;0)),IF(D1104=0,C1104,C1104*(1-ABS(D1104)/(ABS(D1104)+ABS(D1103)))+C1103*(1-ABS(D1103)/(ABS(D1104)+ABS(D1103)))),"")))</f>
        <v>#NAME?</v>
      </c>
    </row>
    <row r="1105" spans="2:5" x14ac:dyDescent="0.25">
      <c r="B1105" t="e">
        <f t="shared" ca="1" si="35"/>
        <v>#NAME?</v>
      </c>
      <c r="C1105">
        <v>1062</v>
      </c>
      <c r="D1105" t="e">
        <f t="shared" ca="1" si="34"/>
        <v>#NAME?</v>
      </c>
      <c r="E1105" s="115" t="e">
        <f t="array" aca="1" ref="E1105" ca="1">IF(OR(C1104=0,AND(B1106=0,C1106=0)),"",IFERROR(INDEX($F$27:$F$36,MATCH(C1105,($F$27:$F$36)*($D$27:$D$36&lt;&gt;0),0)),IF(OR(AND(D1105=0,B1105=0,B1106&lt;&gt;0),AND(D1105*D1104&lt;0,B1105&lt;&gt;0)),IF(D1105=0,C1105,C1105*(1-ABS(D1105)/(ABS(D1105)+ABS(D1104)))+C1104*(1-ABS(D1104)/(ABS(D1105)+ABS(D1104)))),"")))</f>
        <v>#NAME?</v>
      </c>
    </row>
    <row r="1106" spans="2:5" x14ac:dyDescent="0.25">
      <c r="B1106" t="e">
        <f t="shared" ca="1" si="35"/>
        <v>#NAME?</v>
      </c>
      <c r="C1106">
        <v>1063</v>
      </c>
      <c r="D1106" t="e">
        <f t="shared" ca="1" si="34"/>
        <v>#NAME?</v>
      </c>
      <c r="E1106" s="115" t="e">
        <f t="array" aca="1" ref="E1106" ca="1">IF(OR(C1105=0,AND(B1107=0,C1107=0)),"",IFERROR(INDEX($F$27:$F$36,MATCH(C1106,($F$27:$F$36)*($D$27:$D$36&lt;&gt;0),0)),IF(OR(AND(D1106=0,B1106=0,B1107&lt;&gt;0),AND(D1106*D1105&lt;0,B1106&lt;&gt;0)),IF(D1106=0,C1106,C1106*(1-ABS(D1106)/(ABS(D1106)+ABS(D1105)))+C1105*(1-ABS(D1105)/(ABS(D1106)+ABS(D1105)))),"")))</f>
        <v>#NAME?</v>
      </c>
    </row>
    <row r="1107" spans="2:5" x14ac:dyDescent="0.25">
      <c r="B1107" t="e">
        <f t="shared" ca="1" si="35"/>
        <v>#NAME?</v>
      </c>
      <c r="C1107">
        <v>1064</v>
      </c>
      <c r="D1107" t="e">
        <f t="shared" ca="1" si="34"/>
        <v>#NAME?</v>
      </c>
      <c r="E1107" s="115" t="e">
        <f t="array" aca="1" ref="E1107" ca="1">IF(OR(C1106=0,AND(B1108=0,C1108=0)),"",IFERROR(INDEX($F$27:$F$36,MATCH(C1107,($F$27:$F$36)*($D$27:$D$36&lt;&gt;0),0)),IF(OR(AND(D1107=0,B1107=0,B1108&lt;&gt;0),AND(D1107*D1106&lt;0,B1107&lt;&gt;0)),IF(D1107=0,C1107,C1107*(1-ABS(D1107)/(ABS(D1107)+ABS(D1106)))+C1106*(1-ABS(D1106)/(ABS(D1107)+ABS(D1106)))),"")))</f>
        <v>#NAME?</v>
      </c>
    </row>
    <row r="1108" spans="2:5" x14ac:dyDescent="0.25">
      <c r="B1108" t="e">
        <f t="shared" ca="1" si="35"/>
        <v>#NAME?</v>
      </c>
      <c r="C1108">
        <v>1065</v>
      </c>
      <c r="D1108" t="e">
        <f t="shared" ca="1" si="34"/>
        <v>#NAME?</v>
      </c>
      <c r="E1108" s="115" t="e">
        <f t="array" aca="1" ref="E1108" ca="1">IF(OR(C1107=0,AND(B1109=0,C1109=0)),"",IFERROR(INDEX($F$27:$F$36,MATCH(C1108,($F$27:$F$36)*($D$27:$D$36&lt;&gt;0),0)),IF(OR(AND(D1108=0,B1108=0,B1109&lt;&gt;0),AND(D1108*D1107&lt;0,B1108&lt;&gt;0)),IF(D1108=0,C1108,C1108*(1-ABS(D1108)/(ABS(D1108)+ABS(D1107)))+C1107*(1-ABS(D1107)/(ABS(D1108)+ABS(D1107)))),"")))</f>
        <v>#NAME?</v>
      </c>
    </row>
    <row r="1109" spans="2:5" x14ac:dyDescent="0.25">
      <c r="B1109" t="e">
        <f t="shared" ca="1" si="35"/>
        <v>#NAME?</v>
      </c>
      <c r="C1109">
        <v>1066</v>
      </c>
      <c r="D1109" t="e">
        <f t="shared" ca="1" si="34"/>
        <v>#NAME?</v>
      </c>
      <c r="E1109" s="115" t="e">
        <f t="array" aca="1" ref="E1109" ca="1">IF(OR(C1108=0,AND(B1110=0,C1110=0)),"",IFERROR(INDEX($F$27:$F$36,MATCH(C1109,($F$27:$F$36)*($D$27:$D$36&lt;&gt;0),0)),IF(OR(AND(D1109=0,B1109=0,B1110&lt;&gt;0),AND(D1109*D1108&lt;0,B1109&lt;&gt;0)),IF(D1109=0,C1109,C1109*(1-ABS(D1109)/(ABS(D1109)+ABS(D1108)))+C1108*(1-ABS(D1108)/(ABS(D1109)+ABS(D1108)))),"")))</f>
        <v>#NAME?</v>
      </c>
    </row>
    <row r="1110" spans="2:5" x14ac:dyDescent="0.25">
      <c r="B1110" t="e">
        <f t="shared" ca="1" si="35"/>
        <v>#NAME?</v>
      </c>
      <c r="C1110">
        <v>1067</v>
      </c>
      <c r="D1110" t="e">
        <f t="shared" ca="1" si="34"/>
        <v>#NAME?</v>
      </c>
      <c r="E1110" s="115" t="e">
        <f t="array" aca="1" ref="E1110" ca="1">IF(OR(C1109=0,AND(B1111=0,C1111=0)),"",IFERROR(INDEX($F$27:$F$36,MATCH(C1110,($F$27:$F$36)*($D$27:$D$36&lt;&gt;0),0)),IF(OR(AND(D1110=0,B1110=0,B1111&lt;&gt;0),AND(D1110*D1109&lt;0,B1110&lt;&gt;0)),IF(D1110=0,C1110,C1110*(1-ABS(D1110)/(ABS(D1110)+ABS(D1109)))+C1109*(1-ABS(D1109)/(ABS(D1110)+ABS(D1109)))),"")))</f>
        <v>#NAME?</v>
      </c>
    </row>
    <row r="1111" spans="2:5" x14ac:dyDescent="0.25">
      <c r="B1111" t="e">
        <f t="shared" ca="1" si="35"/>
        <v>#NAME?</v>
      </c>
      <c r="C1111">
        <v>1068</v>
      </c>
      <c r="D1111" t="e">
        <f t="shared" ca="1" si="34"/>
        <v>#NAME?</v>
      </c>
      <c r="E1111" s="115" t="e">
        <f t="array" aca="1" ref="E1111" ca="1">IF(OR(C1110=0,AND(B1112=0,C1112=0)),"",IFERROR(INDEX($F$27:$F$36,MATCH(C1111,($F$27:$F$36)*($D$27:$D$36&lt;&gt;0),0)),IF(OR(AND(D1111=0,B1111=0,B1112&lt;&gt;0),AND(D1111*D1110&lt;0,B1111&lt;&gt;0)),IF(D1111=0,C1111,C1111*(1-ABS(D1111)/(ABS(D1111)+ABS(D1110)))+C1110*(1-ABS(D1110)/(ABS(D1111)+ABS(D1110)))),"")))</f>
        <v>#NAME?</v>
      </c>
    </row>
    <row r="1112" spans="2:5" x14ac:dyDescent="0.25">
      <c r="B1112" t="e">
        <f t="shared" ca="1" si="35"/>
        <v>#NAME?</v>
      </c>
      <c r="C1112">
        <v>1069</v>
      </c>
      <c r="D1112" t="e">
        <f t="shared" ca="1" si="34"/>
        <v>#NAME?</v>
      </c>
      <c r="E1112" s="115" t="e">
        <f t="array" aca="1" ref="E1112" ca="1">IF(OR(C1111=0,AND(B1113=0,C1113=0)),"",IFERROR(INDEX($F$27:$F$36,MATCH(C1112,($F$27:$F$36)*($D$27:$D$36&lt;&gt;0),0)),IF(OR(AND(D1112=0,B1112=0,B1113&lt;&gt;0),AND(D1112*D1111&lt;0,B1112&lt;&gt;0)),IF(D1112=0,C1112,C1112*(1-ABS(D1112)/(ABS(D1112)+ABS(D1111)))+C1111*(1-ABS(D1111)/(ABS(D1112)+ABS(D1111)))),"")))</f>
        <v>#NAME?</v>
      </c>
    </row>
    <row r="1113" spans="2:5" x14ac:dyDescent="0.25">
      <c r="B1113" t="e">
        <f t="shared" ca="1" si="35"/>
        <v>#NAME?</v>
      </c>
      <c r="C1113">
        <v>1070</v>
      </c>
      <c r="D1113" t="e">
        <f t="shared" ca="1" si="34"/>
        <v>#NAME?</v>
      </c>
      <c r="E1113" s="115" t="e">
        <f t="array" aca="1" ref="E1113" ca="1">IF(OR(C1112=0,AND(B1114=0,C1114=0)),"",IFERROR(INDEX($F$27:$F$36,MATCH(C1113,($F$27:$F$36)*($D$27:$D$36&lt;&gt;0),0)),IF(OR(AND(D1113=0,B1113=0,B1114&lt;&gt;0),AND(D1113*D1112&lt;0,B1113&lt;&gt;0)),IF(D1113=0,C1113,C1113*(1-ABS(D1113)/(ABS(D1113)+ABS(D1112)))+C1112*(1-ABS(D1112)/(ABS(D1113)+ABS(D1112)))),"")))</f>
        <v>#NAME?</v>
      </c>
    </row>
    <row r="1114" spans="2:5" x14ac:dyDescent="0.25">
      <c r="B1114" t="e">
        <f t="shared" ca="1" si="35"/>
        <v>#NAME?</v>
      </c>
      <c r="C1114">
        <v>1071</v>
      </c>
      <c r="D1114" t="e">
        <f t="shared" ca="1" si="34"/>
        <v>#NAME?</v>
      </c>
      <c r="E1114" s="115" t="e">
        <f t="array" aca="1" ref="E1114" ca="1">IF(OR(C1113=0,AND(B1115=0,C1115=0)),"",IFERROR(INDEX($F$27:$F$36,MATCH(C1114,($F$27:$F$36)*($D$27:$D$36&lt;&gt;0),0)),IF(OR(AND(D1114=0,B1114=0,B1115&lt;&gt;0),AND(D1114*D1113&lt;0,B1114&lt;&gt;0)),IF(D1114=0,C1114,C1114*(1-ABS(D1114)/(ABS(D1114)+ABS(D1113)))+C1113*(1-ABS(D1113)/(ABS(D1114)+ABS(D1113)))),"")))</f>
        <v>#NAME?</v>
      </c>
    </row>
    <row r="1115" spans="2:5" x14ac:dyDescent="0.25">
      <c r="B1115" t="e">
        <f t="shared" ca="1" si="35"/>
        <v>#NAME?</v>
      </c>
      <c r="C1115">
        <v>1072</v>
      </c>
      <c r="D1115" t="e">
        <f t="shared" ca="1" si="34"/>
        <v>#NAME?</v>
      </c>
      <c r="E1115" s="115" t="e">
        <f t="array" aca="1" ref="E1115" ca="1">IF(OR(C1114=0,AND(B1116=0,C1116=0)),"",IFERROR(INDEX($F$27:$F$36,MATCH(C1115,($F$27:$F$36)*($D$27:$D$36&lt;&gt;0),0)),IF(OR(AND(D1115=0,B1115=0,B1116&lt;&gt;0),AND(D1115*D1114&lt;0,B1115&lt;&gt;0)),IF(D1115=0,C1115,C1115*(1-ABS(D1115)/(ABS(D1115)+ABS(D1114)))+C1114*(1-ABS(D1114)/(ABS(D1115)+ABS(D1114)))),"")))</f>
        <v>#NAME?</v>
      </c>
    </row>
    <row r="1116" spans="2:5" x14ac:dyDescent="0.25">
      <c r="B1116" t="e">
        <f t="shared" ca="1" si="35"/>
        <v>#NAME?</v>
      </c>
      <c r="C1116">
        <v>1073</v>
      </c>
      <c r="D1116" t="e">
        <f t="shared" ca="1" si="34"/>
        <v>#NAME?</v>
      </c>
      <c r="E1116" s="115" t="e">
        <f t="array" aca="1" ref="E1116" ca="1">IF(OR(C1115=0,AND(B1117=0,C1117=0)),"",IFERROR(INDEX($F$27:$F$36,MATCH(C1116,($F$27:$F$36)*($D$27:$D$36&lt;&gt;0),0)),IF(OR(AND(D1116=0,B1116=0,B1117&lt;&gt;0),AND(D1116*D1115&lt;0,B1116&lt;&gt;0)),IF(D1116=0,C1116,C1116*(1-ABS(D1116)/(ABS(D1116)+ABS(D1115)))+C1115*(1-ABS(D1115)/(ABS(D1116)+ABS(D1115)))),"")))</f>
        <v>#NAME?</v>
      </c>
    </row>
    <row r="1117" spans="2:5" x14ac:dyDescent="0.25">
      <c r="B1117" t="e">
        <f t="shared" ca="1" si="35"/>
        <v>#NAME?</v>
      </c>
      <c r="C1117">
        <v>1074</v>
      </c>
      <c r="D1117" t="e">
        <f t="shared" ca="1" si="34"/>
        <v>#NAME?</v>
      </c>
      <c r="E1117" s="115" t="e">
        <f t="array" aca="1" ref="E1117" ca="1">IF(OR(C1116=0,AND(B1118=0,C1118=0)),"",IFERROR(INDEX($F$27:$F$36,MATCH(C1117,($F$27:$F$36)*($D$27:$D$36&lt;&gt;0),0)),IF(OR(AND(D1117=0,B1117=0,B1118&lt;&gt;0),AND(D1117*D1116&lt;0,B1117&lt;&gt;0)),IF(D1117=0,C1117,C1117*(1-ABS(D1117)/(ABS(D1117)+ABS(D1116)))+C1116*(1-ABS(D1116)/(ABS(D1117)+ABS(D1116)))),"")))</f>
        <v>#NAME?</v>
      </c>
    </row>
    <row r="1118" spans="2:5" x14ac:dyDescent="0.25">
      <c r="B1118" t="e">
        <f t="shared" ca="1" si="35"/>
        <v>#NAME?</v>
      </c>
      <c r="C1118">
        <v>1075</v>
      </c>
      <c r="D1118" t="e">
        <f t="shared" ca="1" si="34"/>
        <v>#NAME?</v>
      </c>
      <c r="E1118" s="115" t="e">
        <f t="array" aca="1" ref="E1118" ca="1">IF(OR(C1117=0,AND(B1119=0,C1119=0)),"",IFERROR(INDEX($F$27:$F$36,MATCH(C1118,($F$27:$F$36)*($D$27:$D$36&lt;&gt;0),0)),IF(OR(AND(D1118=0,B1118=0,B1119&lt;&gt;0),AND(D1118*D1117&lt;0,B1118&lt;&gt;0)),IF(D1118=0,C1118,C1118*(1-ABS(D1118)/(ABS(D1118)+ABS(D1117)))+C1117*(1-ABS(D1117)/(ABS(D1118)+ABS(D1117)))),"")))</f>
        <v>#NAME?</v>
      </c>
    </row>
    <row r="1119" spans="2:5" x14ac:dyDescent="0.25">
      <c r="B1119" t="e">
        <f t="shared" ca="1" si="35"/>
        <v>#NAME?</v>
      </c>
      <c r="C1119">
        <v>1076</v>
      </c>
      <c r="D1119" t="e">
        <f t="shared" ca="1" si="34"/>
        <v>#NAME?</v>
      </c>
      <c r="E1119" s="115" t="e">
        <f t="array" aca="1" ref="E1119" ca="1">IF(OR(C1118=0,AND(B1120=0,C1120=0)),"",IFERROR(INDEX($F$27:$F$36,MATCH(C1119,($F$27:$F$36)*($D$27:$D$36&lt;&gt;0),0)),IF(OR(AND(D1119=0,B1119=0,B1120&lt;&gt;0),AND(D1119*D1118&lt;0,B1119&lt;&gt;0)),IF(D1119=0,C1119,C1119*(1-ABS(D1119)/(ABS(D1119)+ABS(D1118)))+C1118*(1-ABS(D1118)/(ABS(D1119)+ABS(D1118)))),"")))</f>
        <v>#NAME?</v>
      </c>
    </row>
    <row r="1120" spans="2:5" x14ac:dyDescent="0.25">
      <c r="B1120" t="e">
        <f t="shared" ca="1" si="35"/>
        <v>#NAME?</v>
      </c>
      <c r="C1120">
        <v>1077</v>
      </c>
      <c r="D1120" t="e">
        <f t="shared" ca="1" si="34"/>
        <v>#NAME?</v>
      </c>
      <c r="E1120" s="115" t="e">
        <f t="array" aca="1" ref="E1120" ca="1">IF(OR(C1119=0,AND(B1121=0,C1121=0)),"",IFERROR(INDEX($F$27:$F$36,MATCH(C1120,($F$27:$F$36)*($D$27:$D$36&lt;&gt;0),0)),IF(OR(AND(D1120=0,B1120=0,B1121&lt;&gt;0),AND(D1120*D1119&lt;0,B1120&lt;&gt;0)),IF(D1120=0,C1120,C1120*(1-ABS(D1120)/(ABS(D1120)+ABS(D1119)))+C1119*(1-ABS(D1119)/(ABS(D1120)+ABS(D1119)))),"")))</f>
        <v>#NAME?</v>
      </c>
    </row>
    <row r="1121" spans="2:5" x14ac:dyDescent="0.25">
      <c r="B1121" t="e">
        <f t="shared" ca="1" si="35"/>
        <v>#NAME?</v>
      </c>
      <c r="C1121">
        <v>1078</v>
      </c>
      <c r="D1121" t="e">
        <f t="shared" ca="1" si="34"/>
        <v>#NAME?</v>
      </c>
      <c r="E1121" s="115" t="e">
        <f t="array" aca="1" ref="E1121" ca="1">IF(OR(C1120=0,AND(B1122=0,C1122=0)),"",IFERROR(INDEX($F$27:$F$36,MATCH(C1121,($F$27:$F$36)*($D$27:$D$36&lt;&gt;0),0)),IF(OR(AND(D1121=0,B1121=0,B1122&lt;&gt;0),AND(D1121*D1120&lt;0,B1121&lt;&gt;0)),IF(D1121=0,C1121,C1121*(1-ABS(D1121)/(ABS(D1121)+ABS(D1120)))+C1120*(1-ABS(D1120)/(ABS(D1121)+ABS(D1120)))),"")))</f>
        <v>#NAME?</v>
      </c>
    </row>
    <row r="1122" spans="2:5" x14ac:dyDescent="0.25">
      <c r="B1122" t="e">
        <f t="shared" ca="1" si="35"/>
        <v>#NAME?</v>
      </c>
      <c r="C1122">
        <v>1079</v>
      </c>
      <c r="D1122" t="e">
        <f t="shared" ca="1" si="34"/>
        <v>#NAME?</v>
      </c>
      <c r="E1122" s="115" t="e">
        <f t="array" aca="1" ref="E1122" ca="1">IF(OR(C1121=0,AND(B1123=0,C1123=0)),"",IFERROR(INDEX($F$27:$F$36,MATCH(C1122,($F$27:$F$36)*($D$27:$D$36&lt;&gt;0),0)),IF(OR(AND(D1122=0,B1122=0,B1123&lt;&gt;0),AND(D1122*D1121&lt;0,B1122&lt;&gt;0)),IF(D1122=0,C1122,C1122*(1-ABS(D1122)/(ABS(D1122)+ABS(D1121)))+C1121*(1-ABS(D1121)/(ABS(D1122)+ABS(D1121)))),"")))</f>
        <v>#NAME?</v>
      </c>
    </row>
    <row r="1123" spans="2:5" x14ac:dyDescent="0.25">
      <c r="B1123" t="e">
        <f t="shared" ca="1" si="35"/>
        <v>#NAME?</v>
      </c>
      <c r="C1123">
        <v>1080</v>
      </c>
      <c r="D1123" t="e">
        <f t="shared" ca="1" si="34"/>
        <v>#NAME?</v>
      </c>
      <c r="E1123" s="115" t="e">
        <f t="array" aca="1" ref="E1123" ca="1">IF(OR(C1122=0,AND(B1124=0,C1124=0)),"",IFERROR(INDEX($F$27:$F$36,MATCH(C1123,($F$27:$F$36)*($D$27:$D$36&lt;&gt;0),0)),IF(OR(AND(D1123=0,B1123=0,B1124&lt;&gt;0),AND(D1123*D1122&lt;0,B1123&lt;&gt;0)),IF(D1123=0,C1123,C1123*(1-ABS(D1123)/(ABS(D1123)+ABS(D1122)))+C1122*(1-ABS(D1122)/(ABS(D1123)+ABS(D1122)))),"")))</f>
        <v>#NAME?</v>
      </c>
    </row>
    <row r="1124" spans="2:5" x14ac:dyDescent="0.25">
      <c r="B1124" t="e">
        <f t="shared" ca="1" si="35"/>
        <v>#NAME?</v>
      </c>
      <c r="C1124">
        <v>1081</v>
      </c>
      <c r="D1124" t="e">
        <f t="shared" ca="1" si="34"/>
        <v>#NAME?</v>
      </c>
      <c r="E1124" s="115" t="e">
        <f t="array" aca="1" ref="E1124" ca="1">IF(OR(C1123=0,AND(B1125=0,C1125=0)),"",IFERROR(INDEX($F$27:$F$36,MATCH(C1124,($F$27:$F$36)*($D$27:$D$36&lt;&gt;0),0)),IF(OR(AND(D1124=0,B1124=0,B1125&lt;&gt;0),AND(D1124*D1123&lt;0,B1124&lt;&gt;0)),IF(D1124=0,C1124,C1124*(1-ABS(D1124)/(ABS(D1124)+ABS(D1123)))+C1123*(1-ABS(D1123)/(ABS(D1124)+ABS(D1123)))),"")))</f>
        <v>#NAME?</v>
      </c>
    </row>
    <row r="1125" spans="2:5" x14ac:dyDescent="0.25">
      <c r="B1125" t="e">
        <f t="shared" ca="1" si="35"/>
        <v>#NAME?</v>
      </c>
      <c r="C1125">
        <v>1082</v>
      </c>
      <c r="D1125" t="e">
        <f t="shared" ca="1" si="34"/>
        <v>#NAME?</v>
      </c>
      <c r="E1125" s="115" t="e">
        <f t="array" aca="1" ref="E1125" ca="1">IF(OR(C1124=0,AND(B1126=0,C1126=0)),"",IFERROR(INDEX($F$27:$F$36,MATCH(C1125,($F$27:$F$36)*($D$27:$D$36&lt;&gt;0),0)),IF(OR(AND(D1125=0,B1125=0,B1126&lt;&gt;0),AND(D1125*D1124&lt;0,B1125&lt;&gt;0)),IF(D1125=0,C1125,C1125*(1-ABS(D1125)/(ABS(D1125)+ABS(D1124)))+C1124*(1-ABS(D1124)/(ABS(D1125)+ABS(D1124)))),"")))</f>
        <v>#NAME?</v>
      </c>
    </row>
    <row r="1126" spans="2:5" x14ac:dyDescent="0.25">
      <c r="B1126" t="e">
        <f t="shared" ca="1" si="35"/>
        <v>#NAME?</v>
      </c>
      <c r="C1126">
        <v>1083</v>
      </c>
      <c r="D1126" t="e">
        <f t="shared" ca="1" si="34"/>
        <v>#NAME?</v>
      </c>
      <c r="E1126" s="115" t="e">
        <f t="array" aca="1" ref="E1126" ca="1">IF(OR(C1125=0,AND(B1127=0,C1127=0)),"",IFERROR(INDEX($F$27:$F$36,MATCH(C1126,($F$27:$F$36)*($D$27:$D$36&lt;&gt;0),0)),IF(OR(AND(D1126=0,B1126=0,B1127&lt;&gt;0),AND(D1126*D1125&lt;0,B1126&lt;&gt;0)),IF(D1126=0,C1126,C1126*(1-ABS(D1126)/(ABS(D1126)+ABS(D1125)))+C1125*(1-ABS(D1125)/(ABS(D1126)+ABS(D1125)))),"")))</f>
        <v>#NAME?</v>
      </c>
    </row>
    <row r="1127" spans="2:5" x14ac:dyDescent="0.25">
      <c r="B1127" t="e">
        <f t="shared" ca="1" si="35"/>
        <v>#NAME?</v>
      </c>
      <c r="C1127">
        <v>1084</v>
      </c>
      <c r="D1127" t="e">
        <f t="shared" ca="1" si="34"/>
        <v>#NAME?</v>
      </c>
      <c r="E1127" s="115" t="e">
        <f t="array" aca="1" ref="E1127" ca="1">IF(OR(C1126=0,AND(B1128=0,C1128=0)),"",IFERROR(INDEX($F$27:$F$36,MATCH(C1127,($F$27:$F$36)*($D$27:$D$36&lt;&gt;0),0)),IF(OR(AND(D1127=0,B1127=0,B1128&lt;&gt;0),AND(D1127*D1126&lt;0,B1127&lt;&gt;0)),IF(D1127=0,C1127,C1127*(1-ABS(D1127)/(ABS(D1127)+ABS(D1126)))+C1126*(1-ABS(D1126)/(ABS(D1127)+ABS(D1126)))),"")))</f>
        <v>#NAME?</v>
      </c>
    </row>
    <row r="1128" spans="2:5" x14ac:dyDescent="0.25">
      <c r="B1128" t="e">
        <f t="shared" ca="1" si="35"/>
        <v>#NAME?</v>
      </c>
      <c r="C1128">
        <v>1085</v>
      </c>
      <c r="D1128" t="e">
        <f t="shared" ca="1" si="34"/>
        <v>#NAME?</v>
      </c>
      <c r="E1128" s="115" t="e">
        <f t="array" aca="1" ref="E1128" ca="1">IF(OR(C1127=0,AND(B1129=0,C1129=0)),"",IFERROR(INDEX($F$27:$F$36,MATCH(C1128,($F$27:$F$36)*($D$27:$D$36&lt;&gt;0),0)),IF(OR(AND(D1128=0,B1128=0,B1129&lt;&gt;0),AND(D1128*D1127&lt;0,B1128&lt;&gt;0)),IF(D1128=0,C1128,C1128*(1-ABS(D1128)/(ABS(D1128)+ABS(D1127)))+C1127*(1-ABS(D1127)/(ABS(D1128)+ABS(D1127)))),"")))</f>
        <v>#NAME?</v>
      </c>
    </row>
    <row r="1129" spans="2:5" x14ac:dyDescent="0.25">
      <c r="B1129" t="e">
        <f t="shared" ca="1" si="35"/>
        <v>#NAME?</v>
      </c>
      <c r="C1129">
        <v>1086</v>
      </c>
      <c r="D1129" t="e">
        <f t="shared" ca="1" si="34"/>
        <v>#NAME?</v>
      </c>
      <c r="E1129" s="115" t="e">
        <f t="array" aca="1" ref="E1129" ca="1">IF(OR(C1128=0,AND(B1130=0,C1130=0)),"",IFERROR(INDEX($F$27:$F$36,MATCH(C1129,($F$27:$F$36)*($D$27:$D$36&lt;&gt;0),0)),IF(OR(AND(D1129=0,B1129=0,B1130&lt;&gt;0),AND(D1129*D1128&lt;0,B1129&lt;&gt;0)),IF(D1129=0,C1129,C1129*(1-ABS(D1129)/(ABS(D1129)+ABS(D1128)))+C1128*(1-ABS(D1128)/(ABS(D1129)+ABS(D1128)))),"")))</f>
        <v>#NAME?</v>
      </c>
    </row>
    <row r="1130" spans="2:5" x14ac:dyDescent="0.25">
      <c r="B1130" t="e">
        <f t="shared" ca="1" si="35"/>
        <v>#NAME?</v>
      </c>
      <c r="C1130">
        <v>1087</v>
      </c>
      <c r="D1130" t="e">
        <f t="shared" ca="1" si="34"/>
        <v>#NAME?</v>
      </c>
      <c r="E1130" s="115" t="e">
        <f t="array" aca="1" ref="E1130" ca="1">IF(OR(C1129=0,AND(B1131=0,C1131=0)),"",IFERROR(INDEX($F$27:$F$36,MATCH(C1130,($F$27:$F$36)*($D$27:$D$36&lt;&gt;0),0)),IF(OR(AND(D1130=0,B1130=0,B1131&lt;&gt;0),AND(D1130*D1129&lt;0,B1130&lt;&gt;0)),IF(D1130=0,C1130,C1130*(1-ABS(D1130)/(ABS(D1130)+ABS(D1129)))+C1129*(1-ABS(D1129)/(ABS(D1130)+ABS(D1129)))),"")))</f>
        <v>#NAME?</v>
      </c>
    </row>
    <row r="1131" spans="2:5" x14ac:dyDescent="0.25">
      <c r="B1131" t="e">
        <f t="shared" ca="1" si="35"/>
        <v>#NAME?</v>
      </c>
      <c r="C1131">
        <v>1088</v>
      </c>
      <c r="D1131" t="e">
        <f t="shared" ref="D1131:D1194" ca="1" si="36">SUMPRODUCT(--($J$27:$J$37&gt;0),--($C1131-$F$27:$F$37&gt;0),($D$27:$D$37),($C1131-$F$27:$F$37))+SUMPRODUCT(--($J$27:$J$37&lt;0),--($F$27:$F$37-$C1131&gt;0),($D$27:$D$37),($F$27:$F$37-$C1131))-SUMPRODUCT($D$27:$D$37,$E$27:$E$37)</f>
        <v>#NAME?</v>
      </c>
      <c r="E1131" s="115" t="e">
        <f t="array" aca="1" ref="E1131" ca="1">IF(OR(C1130=0,AND(B1132=0,C1132=0)),"",IFERROR(INDEX($F$27:$F$36,MATCH(C1131,($F$27:$F$36)*($D$27:$D$36&lt;&gt;0),0)),IF(OR(AND(D1131=0,B1131=0,B1132&lt;&gt;0),AND(D1131*D1130&lt;0,B1131&lt;&gt;0)),IF(D1131=0,C1131,C1131*(1-ABS(D1131)/(ABS(D1131)+ABS(D1130)))+C1130*(1-ABS(D1130)/(ABS(D1131)+ABS(D1130)))),"")))</f>
        <v>#NAME?</v>
      </c>
    </row>
    <row r="1132" spans="2:5" x14ac:dyDescent="0.25">
      <c r="B1132" t="e">
        <f t="shared" ref="B1132:B1195" ca="1" si="37">ROUND((D1132-D1131)/(C1132-C1131),12)</f>
        <v>#NAME?</v>
      </c>
      <c r="C1132">
        <v>1089</v>
      </c>
      <c r="D1132" t="e">
        <f t="shared" ca="1" si="36"/>
        <v>#NAME?</v>
      </c>
      <c r="E1132" s="115" t="e">
        <f t="array" aca="1" ref="E1132" ca="1">IF(OR(C1131=0,AND(B1133=0,C1133=0)),"",IFERROR(INDEX($F$27:$F$36,MATCH(C1132,($F$27:$F$36)*($D$27:$D$36&lt;&gt;0),0)),IF(OR(AND(D1132=0,B1132=0,B1133&lt;&gt;0),AND(D1132*D1131&lt;0,B1132&lt;&gt;0)),IF(D1132=0,C1132,C1132*(1-ABS(D1132)/(ABS(D1132)+ABS(D1131)))+C1131*(1-ABS(D1131)/(ABS(D1132)+ABS(D1131)))),"")))</f>
        <v>#NAME?</v>
      </c>
    </row>
    <row r="1133" spans="2:5" x14ac:dyDescent="0.25">
      <c r="B1133" t="e">
        <f t="shared" ca="1" si="37"/>
        <v>#NAME?</v>
      </c>
      <c r="C1133">
        <v>1090</v>
      </c>
      <c r="D1133" t="e">
        <f t="shared" ca="1" si="36"/>
        <v>#NAME?</v>
      </c>
      <c r="E1133" s="115" t="e">
        <f t="array" aca="1" ref="E1133" ca="1">IF(OR(C1132=0,AND(B1134=0,C1134=0)),"",IFERROR(INDEX($F$27:$F$36,MATCH(C1133,($F$27:$F$36)*($D$27:$D$36&lt;&gt;0),0)),IF(OR(AND(D1133=0,B1133=0,B1134&lt;&gt;0),AND(D1133*D1132&lt;0,B1133&lt;&gt;0)),IF(D1133=0,C1133,C1133*(1-ABS(D1133)/(ABS(D1133)+ABS(D1132)))+C1132*(1-ABS(D1132)/(ABS(D1133)+ABS(D1132)))),"")))</f>
        <v>#NAME?</v>
      </c>
    </row>
    <row r="1134" spans="2:5" x14ac:dyDescent="0.25">
      <c r="B1134" t="e">
        <f t="shared" ca="1" si="37"/>
        <v>#NAME?</v>
      </c>
      <c r="C1134">
        <v>1091</v>
      </c>
      <c r="D1134" t="e">
        <f t="shared" ca="1" si="36"/>
        <v>#NAME?</v>
      </c>
      <c r="E1134" s="115" t="e">
        <f t="array" aca="1" ref="E1134" ca="1">IF(OR(C1133=0,AND(B1135=0,C1135=0)),"",IFERROR(INDEX($F$27:$F$36,MATCH(C1134,($F$27:$F$36)*($D$27:$D$36&lt;&gt;0),0)),IF(OR(AND(D1134=0,B1134=0,B1135&lt;&gt;0),AND(D1134*D1133&lt;0,B1134&lt;&gt;0)),IF(D1134=0,C1134,C1134*(1-ABS(D1134)/(ABS(D1134)+ABS(D1133)))+C1133*(1-ABS(D1133)/(ABS(D1134)+ABS(D1133)))),"")))</f>
        <v>#NAME?</v>
      </c>
    </row>
    <row r="1135" spans="2:5" x14ac:dyDescent="0.25">
      <c r="B1135" t="e">
        <f t="shared" ca="1" si="37"/>
        <v>#NAME?</v>
      </c>
      <c r="C1135">
        <v>1092</v>
      </c>
      <c r="D1135" t="e">
        <f t="shared" ca="1" si="36"/>
        <v>#NAME?</v>
      </c>
      <c r="E1135" s="115" t="e">
        <f t="array" aca="1" ref="E1135" ca="1">IF(OR(C1134=0,AND(B1136=0,C1136=0)),"",IFERROR(INDEX($F$27:$F$36,MATCH(C1135,($F$27:$F$36)*($D$27:$D$36&lt;&gt;0),0)),IF(OR(AND(D1135=0,B1135=0,B1136&lt;&gt;0),AND(D1135*D1134&lt;0,B1135&lt;&gt;0)),IF(D1135=0,C1135,C1135*(1-ABS(D1135)/(ABS(D1135)+ABS(D1134)))+C1134*(1-ABS(D1134)/(ABS(D1135)+ABS(D1134)))),"")))</f>
        <v>#NAME?</v>
      </c>
    </row>
    <row r="1136" spans="2:5" x14ac:dyDescent="0.25">
      <c r="B1136" t="e">
        <f t="shared" ca="1" si="37"/>
        <v>#NAME?</v>
      </c>
      <c r="C1136">
        <v>1093</v>
      </c>
      <c r="D1136" t="e">
        <f t="shared" ca="1" si="36"/>
        <v>#NAME?</v>
      </c>
      <c r="E1136" s="115" t="e">
        <f t="array" aca="1" ref="E1136" ca="1">IF(OR(C1135=0,AND(B1137=0,C1137=0)),"",IFERROR(INDEX($F$27:$F$36,MATCH(C1136,($F$27:$F$36)*($D$27:$D$36&lt;&gt;0),0)),IF(OR(AND(D1136=0,B1136=0,B1137&lt;&gt;0),AND(D1136*D1135&lt;0,B1136&lt;&gt;0)),IF(D1136=0,C1136,C1136*(1-ABS(D1136)/(ABS(D1136)+ABS(D1135)))+C1135*(1-ABS(D1135)/(ABS(D1136)+ABS(D1135)))),"")))</f>
        <v>#NAME?</v>
      </c>
    </row>
    <row r="1137" spans="2:5" x14ac:dyDescent="0.25">
      <c r="B1137" t="e">
        <f t="shared" ca="1" si="37"/>
        <v>#NAME?</v>
      </c>
      <c r="C1137">
        <v>1094</v>
      </c>
      <c r="D1137" t="e">
        <f t="shared" ca="1" si="36"/>
        <v>#NAME?</v>
      </c>
      <c r="E1137" s="115" t="e">
        <f t="array" aca="1" ref="E1137" ca="1">IF(OR(C1136=0,AND(B1138=0,C1138=0)),"",IFERROR(INDEX($F$27:$F$36,MATCH(C1137,($F$27:$F$36)*($D$27:$D$36&lt;&gt;0),0)),IF(OR(AND(D1137=0,B1137=0,B1138&lt;&gt;0),AND(D1137*D1136&lt;0,B1137&lt;&gt;0)),IF(D1137=0,C1137,C1137*(1-ABS(D1137)/(ABS(D1137)+ABS(D1136)))+C1136*(1-ABS(D1136)/(ABS(D1137)+ABS(D1136)))),"")))</f>
        <v>#NAME?</v>
      </c>
    </row>
    <row r="1138" spans="2:5" x14ac:dyDescent="0.25">
      <c r="B1138" t="e">
        <f t="shared" ca="1" si="37"/>
        <v>#NAME?</v>
      </c>
      <c r="C1138">
        <v>1095</v>
      </c>
      <c r="D1138" t="e">
        <f t="shared" ca="1" si="36"/>
        <v>#NAME?</v>
      </c>
      <c r="E1138" s="115" t="e">
        <f t="array" aca="1" ref="E1138" ca="1">IF(OR(C1137=0,AND(B1139=0,C1139=0)),"",IFERROR(INDEX($F$27:$F$36,MATCH(C1138,($F$27:$F$36)*($D$27:$D$36&lt;&gt;0),0)),IF(OR(AND(D1138=0,B1138=0,B1139&lt;&gt;0),AND(D1138*D1137&lt;0,B1138&lt;&gt;0)),IF(D1138=0,C1138,C1138*(1-ABS(D1138)/(ABS(D1138)+ABS(D1137)))+C1137*(1-ABS(D1137)/(ABS(D1138)+ABS(D1137)))),"")))</f>
        <v>#NAME?</v>
      </c>
    </row>
    <row r="1139" spans="2:5" x14ac:dyDescent="0.25">
      <c r="B1139" t="e">
        <f t="shared" ca="1" si="37"/>
        <v>#NAME?</v>
      </c>
      <c r="C1139">
        <v>1096</v>
      </c>
      <c r="D1139" t="e">
        <f t="shared" ca="1" si="36"/>
        <v>#NAME?</v>
      </c>
      <c r="E1139" s="115" t="e">
        <f t="array" aca="1" ref="E1139" ca="1">IF(OR(C1138=0,AND(B1140=0,C1140=0)),"",IFERROR(INDEX($F$27:$F$36,MATCH(C1139,($F$27:$F$36)*($D$27:$D$36&lt;&gt;0),0)),IF(OR(AND(D1139=0,B1139=0,B1140&lt;&gt;0),AND(D1139*D1138&lt;0,B1139&lt;&gt;0)),IF(D1139=0,C1139,C1139*(1-ABS(D1139)/(ABS(D1139)+ABS(D1138)))+C1138*(1-ABS(D1138)/(ABS(D1139)+ABS(D1138)))),"")))</f>
        <v>#NAME?</v>
      </c>
    </row>
    <row r="1140" spans="2:5" x14ac:dyDescent="0.25">
      <c r="B1140" t="e">
        <f t="shared" ca="1" si="37"/>
        <v>#NAME?</v>
      </c>
      <c r="C1140">
        <v>1097</v>
      </c>
      <c r="D1140" t="e">
        <f t="shared" ca="1" si="36"/>
        <v>#NAME?</v>
      </c>
      <c r="E1140" s="115" t="e">
        <f t="array" aca="1" ref="E1140" ca="1">IF(OR(C1139=0,AND(B1141=0,C1141=0)),"",IFERROR(INDEX($F$27:$F$36,MATCH(C1140,($F$27:$F$36)*($D$27:$D$36&lt;&gt;0),0)),IF(OR(AND(D1140=0,B1140=0,B1141&lt;&gt;0),AND(D1140*D1139&lt;0,B1140&lt;&gt;0)),IF(D1140=0,C1140,C1140*(1-ABS(D1140)/(ABS(D1140)+ABS(D1139)))+C1139*(1-ABS(D1139)/(ABS(D1140)+ABS(D1139)))),"")))</f>
        <v>#NAME?</v>
      </c>
    </row>
    <row r="1141" spans="2:5" x14ac:dyDescent="0.25">
      <c r="B1141" t="e">
        <f t="shared" ca="1" si="37"/>
        <v>#NAME?</v>
      </c>
      <c r="C1141">
        <v>1098</v>
      </c>
      <c r="D1141" t="e">
        <f t="shared" ca="1" si="36"/>
        <v>#NAME?</v>
      </c>
      <c r="E1141" s="115" t="e">
        <f t="array" aca="1" ref="E1141" ca="1">IF(OR(C1140=0,AND(B1142=0,C1142=0)),"",IFERROR(INDEX($F$27:$F$36,MATCH(C1141,($F$27:$F$36)*($D$27:$D$36&lt;&gt;0),0)),IF(OR(AND(D1141=0,B1141=0,B1142&lt;&gt;0),AND(D1141*D1140&lt;0,B1141&lt;&gt;0)),IF(D1141=0,C1141,C1141*(1-ABS(D1141)/(ABS(D1141)+ABS(D1140)))+C1140*(1-ABS(D1140)/(ABS(D1141)+ABS(D1140)))),"")))</f>
        <v>#NAME?</v>
      </c>
    </row>
    <row r="1142" spans="2:5" x14ac:dyDescent="0.25">
      <c r="B1142" t="e">
        <f t="shared" ca="1" si="37"/>
        <v>#NAME?</v>
      </c>
      <c r="C1142">
        <v>1099</v>
      </c>
      <c r="D1142" t="e">
        <f t="shared" ca="1" si="36"/>
        <v>#NAME?</v>
      </c>
      <c r="E1142" s="115" t="e">
        <f t="array" aca="1" ref="E1142" ca="1">IF(OR(C1141=0,AND(B1143=0,C1143=0)),"",IFERROR(INDEX($F$27:$F$36,MATCH(C1142,($F$27:$F$36)*($D$27:$D$36&lt;&gt;0),0)),IF(OR(AND(D1142=0,B1142=0,B1143&lt;&gt;0),AND(D1142*D1141&lt;0,B1142&lt;&gt;0)),IF(D1142=0,C1142,C1142*(1-ABS(D1142)/(ABS(D1142)+ABS(D1141)))+C1141*(1-ABS(D1141)/(ABS(D1142)+ABS(D1141)))),"")))</f>
        <v>#NAME?</v>
      </c>
    </row>
    <row r="1143" spans="2:5" x14ac:dyDescent="0.25">
      <c r="B1143" t="e">
        <f t="shared" ca="1" si="37"/>
        <v>#NAME?</v>
      </c>
      <c r="C1143">
        <v>1100</v>
      </c>
      <c r="D1143" t="e">
        <f t="shared" ca="1" si="36"/>
        <v>#NAME?</v>
      </c>
      <c r="E1143" s="115" t="e">
        <f t="array" aca="1" ref="E1143" ca="1">IF(OR(C1142=0,AND(B1144=0,C1144=0)),"",IFERROR(INDEX($F$27:$F$36,MATCH(C1143,($F$27:$F$36)*($D$27:$D$36&lt;&gt;0),0)),IF(OR(AND(D1143=0,B1143=0,B1144&lt;&gt;0),AND(D1143*D1142&lt;0,B1143&lt;&gt;0)),IF(D1143=0,C1143,C1143*(1-ABS(D1143)/(ABS(D1143)+ABS(D1142)))+C1142*(1-ABS(D1142)/(ABS(D1143)+ABS(D1142)))),"")))</f>
        <v>#NAME?</v>
      </c>
    </row>
    <row r="1144" spans="2:5" x14ac:dyDescent="0.25">
      <c r="B1144" t="e">
        <f t="shared" ca="1" si="37"/>
        <v>#NAME?</v>
      </c>
      <c r="C1144">
        <v>1101</v>
      </c>
      <c r="D1144" t="e">
        <f t="shared" ca="1" si="36"/>
        <v>#NAME?</v>
      </c>
      <c r="E1144" s="115" t="e">
        <f t="array" aca="1" ref="E1144" ca="1">IF(OR(C1143=0,AND(B1145=0,C1145=0)),"",IFERROR(INDEX($F$27:$F$36,MATCH(C1144,($F$27:$F$36)*($D$27:$D$36&lt;&gt;0),0)),IF(OR(AND(D1144=0,B1144=0,B1145&lt;&gt;0),AND(D1144*D1143&lt;0,B1144&lt;&gt;0)),IF(D1144=0,C1144,C1144*(1-ABS(D1144)/(ABS(D1144)+ABS(D1143)))+C1143*(1-ABS(D1143)/(ABS(D1144)+ABS(D1143)))),"")))</f>
        <v>#NAME?</v>
      </c>
    </row>
    <row r="1145" spans="2:5" x14ac:dyDescent="0.25">
      <c r="B1145" t="e">
        <f t="shared" ca="1" si="37"/>
        <v>#NAME?</v>
      </c>
      <c r="C1145">
        <v>1102</v>
      </c>
      <c r="D1145" t="e">
        <f t="shared" ca="1" si="36"/>
        <v>#NAME?</v>
      </c>
      <c r="E1145" s="115" t="e">
        <f t="array" aca="1" ref="E1145" ca="1">IF(OR(C1144=0,AND(B1146=0,C1146=0)),"",IFERROR(INDEX($F$27:$F$36,MATCH(C1145,($F$27:$F$36)*($D$27:$D$36&lt;&gt;0),0)),IF(OR(AND(D1145=0,B1145=0,B1146&lt;&gt;0),AND(D1145*D1144&lt;0,B1145&lt;&gt;0)),IF(D1145=0,C1145,C1145*(1-ABS(D1145)/(ABS(D1145)+ABS(D1144)))+C1144*(1-ABS(D1144)/(ABS(D1145)+ABS(D1144)))),"")))</f>
        <v>#NAME?</v>
      </c>
    </row>
    <row r="1146" spans="2:5" x14ac:dyDescent="0.25">
      <c r="B1146" t="e">
        <f t="shared" ca="1" si="37"/>
        <v>#NAME?</v>
      </c>
      <c r="C1146">
        <v>1103</v>
      </c>
      <c r="D1146" t="e">
        <f t="shared" ca="1" si="36"/>
        <v>#NAME?</v>
      </c>
      <c r="E1146" s="115" t="e">
        <f t="array" aca="1" ref="E1146" ca="1">IF(OR(C1145=0,AND(B1147=0,C1147=0)),"",IFERROR(INDEX($F$27:$F$36,MATCH(C1146,($F$27:$F$36)*($D$27:$D$36&lt;&gt;0),0)),IF(OR(AND(D1146=0,B1146=0,B1147&lt;&gt;0),AND(D1146*D1145&lt;0,B1146&lt;&gt;0)),IF(D1146=0,C1146,C1146*(1-ABS(D1146)/(ABS(D1146)+ABS(D1145)))+C1145*(1-ABS(D1145)/(ABS(D1146)+ABS(D1145)))),"")))</f>
        <v>#NAME?</v>
      </c>
    </row>
    <row r="1147" spans="2:5" x14ac:dyDescent="0.25">
      <c r="B1147" t="e">
        <f t="shared" ca="1" si="37"/>
        <v>#NAME?</v>
      </c>
      <c r="C1147">
        <v>1104</v>
      </c>
      <c r="D1147" t="e">
        <f t="shared" ca="1" si="36"/>
        <v>#NAME?</v>
      </c>
      <c r="E1147" s="115" t="e">
        <f t="array" aca="1" ref="E1147" ca="1">IF(OR(C1146=0,AND(B1148=0,C1148=0)),"",IFERROR(INDEX($F$27:$F$36,MATCH(C1147,($F$27:$F$36)*($D$27:$D$36&lt;&gt;0),0)),IF(OR(AND(D1147=0,B1147=0,B1148&lt;&gt;0),AND(D1147*D1146&lt;0,B1147&lt;&gt;0)),IF(D1147=0,C1147,C1147*(1-ABS(D1147)/(ABS(D1147)+ABS(D1146)))+C1146*(1-ABS(D1146)/(ABS(D1147)+ABS(D1146)))),"")))</f>
        <v>#NAME?</v>
      </c>
    </row>
    <row r="1148" spans="2:5" x14ac:dyDescent="0.25">
      <c r="B1148" t="e">
        <f t="shared" ca="1" si="37"/>
        <v>#NAME?</v>
      </c>
      <c r="C1148">
        <v>1105</v>
      </c>
      <c r="D1148" t="e">
        <f t="shared" ca="1" si="36"/>
        <v>#NAME?</v>
      </c>
      <c r="E1148" s="115" t="e">
        <f t="array" aca="1" ref="E1148" ca="1">IF(OR(C1147=0,AND(B1149=0,C1149=0)),"",IFERROR(INDEX($F$27:$F$36,MATCH(C1148,($F$27:$F$36)*($D$27:$D$36&lt;&gt;0),0)),IF(OR(AND(D1148=0,B1148=0,B1149&lt;&gt;0),AND(D1148*D1147&lt;0,B1148&lt;&gt;0)),IF(D1148=0,C1148,C1148*(1-ABS(D1148)/(ABS(D1148)+ABS(D1147)))+C1147*(1-ABS(D1147)/(ABS(D1148)+ABS(D1147)))),"")))</f>
        <v>#NAME?</v>
      </c>
    </row>
    <row r="1149" spans="2:5" x14ac:dyDescent="0.25">
      <c r="B1149" t="e">
        <f t="shared" ca="1" si="37"/>
        <v>#NAME?</v>
      </c>
      <c r="C1149">
        <v>1106</v>
      </c>
      <c r="D1149" t="e">
        <f t="shared" ca="1" si="36"/>
        <v>#NAME?</v>
      </c>
      <c r="E1149" s="115" t="e">
        <f t="array" aca="1" ref="E1149" ca="1">IF(OR(C1148=0,AND(B1150=0,C1150=0)),"",IFERROR(INDEX($F$27:$F$36,MATCH(C1149,($F$27:$F$36)*($D$27:$D$36&lt;&gt;0),0)),IF(OR(AND(D1149=0,B1149=0,B1150&lt;&gt;0),AND(D1149*D1148&lt;0,B1149&lt;&gt;0)),IF(D1149=0,C1149,C1149*(1-ABS(D1149)/(ABS(D1149)+ABS(D1148)))+C1148*(1-ABS(D1148)/(ABS(D1149)+ABS(D1148)))),"")))</f>
        <v>#NAME?</v>
      </c>
    </row>
    <row r="1150" spans="2:5" x14ac:dyDescent="0.25">
      <c r="B1150" t="e">
        <f t="shared" ca="1" si="37"/>
        <v>#NAME?</v>
      </c>
      <c r="C1150">
        <v>1107</v>
      </c>
      <c r="D1150" t="e">
        <f t="shared" ca="1" si="36"/>
        <v>#NAME?</v>
      </c>
      <c r="E1150" s="115" t="e">
        <f t="array" aca="1" ref="E1150" ca="1">IF(OR(C1149=0,AND(B1151=0,C1151=0)),"",IFERROR(INDEX($F$27:$F$36,MATCH(C1150,($F$27:$F$36)*($D$27:$D$36&lt;&gt;0),0)),IF(OR(AND(D1150=0,B1150=0,B1151&lt;&gt;0),AND(D1150*D1149&lt;0,B1150&lt;&gt;0)),IF(D1150=0,C1150,C1150*(1-ABS(D1150)/(ABS(D1150)+ABS(D1149)))+C1149*(1-ABS(D1149)/(ABS(D1150)+ABS(D1149)))),"")))</f>
        <v>#NAME?</v>
      </c>
    </row>
    <row r="1151" spans="2:5" x14ac:dyDescent="0.25">
      <c r="B1151" t="e">
        <f t="shared" ca="1" si="37"/>
        <v>#NAME?</v>
      </c>
      <c r="C1151">
        <v>1108</v>
      </c>
      <c r="D1151" t="e">
        <f t="shared" ca="1" si="36"/>
        <v>#NAME?</v>
      </c>
      <c r="E1151" s="115" t="e">
        <f t="array" aca="1" ref="E1151" ca="1">IF(OR(C1150=0,AND(B1152=0,C1152=0)),"",IFERROR(INDEX($F$27:$F$36,MATCH(C1151,($F$27:$F$36)*($D$27:$D$36&lt;&gt;0),0)),IF(OR(AND(D1151=0,B1151=0,B1152&lt;&gt;0),AND(D1151*D1150&lt;0,B1151&lt;&gt;0)),IF(D1151=0,C1151,C1151*(1-ABS(D1151)/(ABS(D1151)+ABS(D1150)))+C1150*(1-ABS(D1150)/(ABS(D1151)+ABS(D1150)))),"")))</f>
        <v>#NAME?</v>
      </c>
    </row>
    <row r="1152" spans="2:5" x14ac:dyDescent="0.25">
      <c r="B1152" t="e">
        <f t="shared" ca="1" si="37"/>
        <v>#NAME?</v>
      </c>
      <c r="C1152">
        <v>1109</v>
      </c>
      <c r="D1152" t="e">
        <f t="shared" ca="1" si="36"/>
        <v>#NAME?</v>
      </c>
      <c r="E1152" s="115" t="e">
        <f t="array" aca="1" ref="E1152" ca="1">IF(OR(C1151=0,AND(B1153=0,C1153=0)),"",IFERROR(INDEX($F$27:$F$36,MATCH(C1152,($F$27:$F$36)*($D$27:$D$36&lt;&gt;0),0)),IF(OR(AND(D1152=0,B1152=0,B1153&lt;&gt;0),AND(D1152*D1151&lt;0,B1152&lt;&gt;0)),IF(D1152=0,C1152,C1152*(1-ABS(D1152)/(ABS(D1152)+ABS(D1151)))+C1151*(1-ABS(D1151)/(ABS(D1152)+ABS(D1151)))),"")))</f>
        <v>#NAME?</v>
      </c>
    </row>
    <row r="1153" spans="2:5" x14ac:dyDescent="0.25">
      <c r="B1153" t="e">
        <f t="shared" ca="1" si="37"/>
        <v>#NAME?</v>
      </c>
      <c r="C1153">
        <v>1110</v>
      </c>
      <c r="D1153" t="e">
        <f t="shared" ca="1" si="36"/>
        <v>#NAME?</v>
      </c>
      <c r="E1153" s="115" t="e">
        <f t="array" aca="1" ref="E1153" ca="1">IF(OR(C1152=0,AND(B1154=0,C1154=0)),"",IFERROR(INDEX($F$27:$F$36,MATCH(C1153,($F$27:$F$36)*($D$27:$D$36&lt;&gt;0),0)),IF(OR(AND(D1153=0,B1153=0,B1154&lt;&gt;0),AND(D1153*D1152&lt;0,B1153&lt;&gt;0)),IF(D1153=0,C1153,C1153*(1-ABS(D1153)/(ABS(D1153)+ABS(D1152)))+C1152*(1-ABS(D1152)/(ABS(D1153)+ABS(D1152)))),"")))</f>
        <v>#NAME?</v>
      </c>
    </row>
    <row r="1154" spans="2:5" x14ac:dyDescent="0.25">
      <c r="B1154" t="e">
        <f t="shared" ca="1" si="37"/>
        <v>#NAME?</v>
      </c>
      <c r="C1154">
        <v>1111</v>
      </c>
      <c r="D1154" t="e">
        <f t="shared" ca="1" si="36"/>
        <v>#NAME?</v>
      </c>
      <c r="E1154" s="115" t="e">
        <f t="array" aca="1" ref="E1154" ca="1">IF(OR(C1153=0,AND(B1155=0,C1155=0)),"",IFERROR(INDEX($F$27:$F$36,MATCH(C1154,($F$27:$F$36)*($D$27:$D$36&lt;&gt;0),0)),IF(OR(AND(D1154=0,B1154=0,B1155&lt;&gt;0),AND(D1154*D1153&lt;0,B1154&lt;&gt;0)),IF(D1154=0,C1154,C1154*(1-ABS(D1154)/(ABS(D1154)+ABS(D1153)))+C1153*(1-ABS(D1153)/(ABS(D1154)+ABS(D1153)))),"")))</f>
        <v>#NAME?</v>
      </c>
    </row>
    <row r="1155" spans="2:5" x14ac:dyDescent="0.25">
      <c r="B1155" t="e">
        <f t="shared" ca="1" si="37"/>
        <v>#NAME?</v>
      </c>
      <c r="C1155">
        <v>1112</v>
      </c>
      <c r="D1155" t="e">
        <f t="shared" ca="1" si="36"/>
        <v>#NAME?</v>
      </c>
      <c r="E1155" s="115" t="e">
        <f t="array" aca="1" ref="E1155" ca="1">IF(OR(C1154=0,AND(B1156=0,C1156=0)),"",IFERROR(INDEX($F$27:$F$36,MATCH(C1155,($F$27:$F$36)*($D$27:$D$36&lt;&gt;0),0)),IF(OR(AND(D1155=0,B1155=0,B1156&lt;&gt;0),AND(D1155*D1154&lt;0,B1155&lt;&gt;0)),IF(D1155=0,C1155,C1155*(1-ABS(D1155)/(ABS(D1155)+ABS(D1154)))+C1154*(1-ABS(D1154)/(ABS(D1155)+ABS(D1154)))),"")))</f>
        <v>#NAME?</v>
      </c>
    </row>
    <row r="1156" spans="2:5" x14ac:dyDescent="0.25">
      <c r="B1156" t="e">
        <f t="shared" ca="1" si="37"/>
        <v>#NAME?</v>
      </c>
      <c r="C1156">
        <v>1113</v>
      </c>
      <c r="D1156" t="e">
        <f t="shared" ca="1" si="36"/>
        <v>#NAME?</v>
      </c>
      <c r="E1156" s="115" t="e">
        <f t="array" aca="1" ref="E1156" ca="1">IF(OR(C1155=0,AND(B1157=0,C1157=0)),"",IFERROR(INDEX($F$27:$F$36,MATCH(C1156,($F$27:$F$36)*($D$27:$D$36&lt;&gt;0),0)),IF(OR(AND(D1156=0,B1156=0,B1157&lt;&gt;0),AND(D1156*D1155&lt;0,B1156&lt;&gt;0)),IF(D1156=0,C1156,C1156*(1-ABS(D1156)/(ABS(D1156)+ABS(D1155)))+C1155*(1-ABS(D1155)/(ABS(D1156)+ABS(D1155)))),"")))</f>
        <v>#NAME?</v>
      </c>
    </row>
    <row r="1157" spans="2:5" x14ac:dyDescent="0.25">
      <c r="B1157" t="e">
        <f t="shared" ca="1" si="37"/>
        <v>#NAME?</v>
      </c>
      <c r="C1157">
        <v>1114</v>
      </c>
      <c r="D1157" t="e">
        <f t="shared" ca="1" si="36"/>
        <v>#NAME?</v>
      </c>
      <c r="E1157" s="115" t="e">
        <f t="array" aca="1" ref="E1157" ca="1">IF(OR(C1156=0,AND(B1158=0,C1158=0)),"",IFERROR(INDEX($F$27:$F$36,MATCH(C1157,($F$27:$F$36)*($D$27:$D$36&lt;&gt;0),0)),IF(OR(AND(D1157=0,B1157=0,B1158&lt;&gt;0),AND(D1157*D1156&lt;0,B1157&lt;&gt;0)),IF(D1157=0,C1157,C1157*(1-ABS(D1157)/(ABS(D1157)+ABS(D1156)))+C1156*(1-ABS(D1156)/(ABS(D1157)+ABS(D1156)))),"")))</f>
        <v>#NAME?</v>
      </c>
    </row>
    <row r="1158" spans="2:5" x14ac:dyDescent="0.25">
      <c r="B1158" t="e">
        <f t="shared" ca="1" si="37"/>
        <v>#NAME?</v>
      </c>
      <c r="C1158">
        <v>1115</v>
      </c>
      <c r="D1158" t="e">
        <f t="shared" ca="1" si="36"/>
        <v>#NAME?</v>
      </c>
      <c r="E1158" s="115" t="e">
        <f t="array" aca="1" ref="E1158" ca="1">IF(OR(C1157=0,AND(B1159=0,C1159=0)),"",IFERROR(INDEX($F$27:$F$36,MATCH(C1158,($F$27:$F$36)*($D$27:$D$36&lt;&gt;0),0)),IF(OR(AND(D1158=0,B1158=0,B1159&lt;&gt;0),AND(D1158*D1157&lt;0,B1158&lt;&gt;0)),IF(D1158=0,C1158,C1158*(1-ABS(D1158)/(ABS(D1158)+ABS(D1157)))+C1157*(1-ABS(D1157)/(ABS(D1158)+ABS(D1157)))),"")))</f>
        <v>#NAME?</v>
      </c>
    </row>
    <row r="1159" spans="2:5" x14ac:dyDescent="0.25">
      <c r="B1159" t="e">
        <f t="shared" ca="1" si="37"/>
        <v>#NAME?</v>
      </c>
      <c r="C1159">
        <v>1116</v>
      </c>
      <c r="D1159" t="e">
        <f t="shared" ca="1" si="36"/>
        <v>#NAME?</v>
      </c>
      <c r="E1159" s="115" t="e">
        <f t="array" aca="1" ref="E1159" ca="1">IF(OR(C1158=0,AND(B1160=0,C1160=0)),"",IFERROR(INDEX($F$27:$F$36,MATCH(C1159,($F$27:$F$36)*($D$27:$D$36&lt;&gt;0),0)),IF(OR(AND(D1159=0,B1159=0,B1160&lt;&gt;0),AND(D1159*D1158&lt;0,B1159&lt;&gt;0)),IF(D1159=0,C1159,C1159*(1-ABS(D1159)/(ABS(D1159)+ABS(D1158)))+C1158*(1-ABS(D1158)/(ABS(D1159)+ABS(D1158)))),"")))</f>
        <v>#NAME?</v>
      </c>
    </row>
    <row r="1160" spans="2:5" x14ac:dyDescent="0.25">
      <c r="B1160" t="e">
        <f t="shared" ca="1" si="37"/>
        <v>#NAME?</v>
      </c>
      <c r="C1160">
        <v>1117</v>
      </c>
      <c r="D1160" t="e">
        <f t="shared" ca="1" si="36"/>
        <v>#NAME?</v>
      </c>
      <c r="E1160" s="115" t="e">
        <f t="array" aca="1" ref="E1160" ca="1">IF(OR(C1159=0,AND(B1161=0,C1161=0)),"",IFERROR(INDEX($F$27:$F$36,MATCH(C1160,($F$27:$F$36)*($D$27:$D$36&lt;&gt;0),0)),IF(OR(AND(D1160=0,B1160=0,B1161&lt;&gt;0),AND(D1160*D1159&lt;0,B1160&lt;&gt;0)),IF(D1160=0,C1160,C1160*(1-ABS(D1160)/(ABS(D1160)+ABS(D1159)))+C1159*(1-ABS(D1159)/(ABS(D1160)+ABS(D1159)))),"")))</f>
        <v>#NAME?</v>
      </c>
    </row>
    <row r="1161" spans="2:5" x14ac:dyDescent="0.25">
      <c r="B1161" t="e">
        <f t="shared" ca="1" si="37"/>
        <v>#NAME?</v>
      </c>
      <c r="C1161">
        <v>1118</v>
      </c>
      <c r="D1161" t="e">
        <f t="shared" ca="1" si="36"/>
        <v>#NAME?</v>
      </c>
      <c r="E1161" s="115" t="e">
        <f t="array" aca="1" ref="E1161" ca="1">IF(OR(C1160=0,AND(B1162=0,C1162=0)),"",IFERROR(INDEX($F$27:$F$36,MATCH(C1161,($F$27:$F$36)*($D$27:$D$36&lt;&gt;0),0)),IF(OR(AND(D1161=0,B1161=0,B1162&lt;&gt;0),AND(D1161*D1160&lt;0,B1161&lt;&gt;0)),IF(D1161=0,C1161,C1161*(1-ABS(D1161)/(ABS(D1161)+ABS(D1160)))+C1160*(1-ABS(D1160)/(ABS(D1161)+ABS(D1160)))),"")))</f>
        <v>#NAME?</v>
      </c>
    </row>
    <row r="1162" spans="2:5" x14ac:dyDescent="0.25">
      <c r="B1162" t="e">
        <f t="shared" ca="1" si="37"/>
        <v>#NAME?</v>
      </c>
      <c r="C1162">
        <v>1119</v>
      </c>
      <c r="D1162" t="e">
        <f t="shared" ca="1" si="36"/>
        <v>#NAME?</v>
      </c>
      <c r="E1162" s="115" t="e">
        <f t="array" aca="1" ref="E1162" ca="1">IF(OR(C1161=0,AND(B1163=0,C1163=0)),"",IFERROR(INDEX($F$27:$F$36,MATCH(C1162,($F$27:$F$36)*($D$27:$D$36&lt;&gt;0),0)),IF(OR(AND(D1162=0,B1162=0,B1163&lt;&gt;0),AND(D1162*D1161&lt;0,B1162&lt;&gt;0)),IF(D1162=0,C1162,C1162*(1-ABS(D1162)/(ABS(D1162)+ABS(D1161)))+C1161*(1-ABS(D1161)/(ABS(D1162)+ABS(D1161)))),"")))</f>
        <v>#NAME?</v>
      </c>
    </row>
    <row r="1163" spans="2:5" x14ac:dyDescent="0.25">
      <c r="B1163" t="e">
        <f t="shared" ca="1" si="37"/>
        <v>#NAME?</v>
      </c>
      <c r="C1163">
        <v>1120</v>
      </c>
      <c r="D1163" t="e">
        <f t="shared" ca="1" si="36"/>
        <v>#NAME?</v>
      </c>
      <c r="E1163" s="115" t="e">
        <f t="array" aca="1" ref="E1163" ca="1">IF(OR(C1162=0,AND(B1164=0,C1164=0)),"",IFERROR(INDEX($F$27:$F$36,MATCH(C1163,($F$27:$F$36)*($D$27:$D$36&lt;&gt;0),0)),IF(OR(AND(D1163=0,B1163=0,B1164&lt;&gt;0),AND(D1163*D1162&lt;0,B1163&lt;&gt;0)),IF(D1163=0,C1163,C1163*(1-ABS(D1163)/(ABS(D1163)+ABS(D1162)))+C1162*(1-ABS(D1162)/(ABS(D1163)+ABS(D1162)))),"")))</f>
        <v>#NAME?</v>
      </c>
    </row>
    <row r="1164" spans="2:5" x14ac:dyDescent="0.25">
      <c r="B1164" t="e">
        <f t="shared" ca="1" si="37"/>
        <v>#NAME?</v>
      </c>
      <c r="C1164">
        <v>1121</v>
      </c>
      <c r="D1164" t="e">
        <f t="shared" ca="1" si="36"/>
        <v>#NAME?</v>
      </c>
      <c r="E1164" s="115" t="e">
        <f t="array" aca="1" ref="E1164" ca="1">IF(OR(C1163=0,AND(B1165=0,C1165=0)),"",IFERROR(INDEX($F$27:$F$36,MATCH(C1164,($F$27:$F$36)*($D$27:$D$36&lt;&gt;0),0)),IF(OR(AND(D1164=0,B1164=0,B1165&lt;&gt;0),AND(D1164*D1163&lt;0,B1164&lt;&gt;0)),IF(D1164=0,C1164,C1164*(1-ABS(D1164)/(ABS(D1164)+ABS(D1163)))+C1163*(1-ABS(D1163)/(ABS(D1164)+ABS(D1163)))),"")))</f>
        <v>#NAME?</v>
      </c>
    </row>
    <row r="1165" spans="2:5" x14ac:dyDescent="0.25">
      <c r="B1165" t="e">
        <f t="shared" ca="1" si="37"/>
        <v>#NAME?</v>
      </c>
      <c r="C1165">
        <v>1122</v>
      </c>
      <c r="D1165" t="e">
        <f t="shared" ca="1" si="36"/>
        <v>#NAME?</v>
      </c>
      <c r="E1165" s="115" t="e">
        <f t="array" aca="1" ref="E1165" ca="1">IF(OR(C1164=0,AND(B1166=0,C1166=0)),"",IFERROR(INDEX($F$27:$F$36,MATCH(C1165,($F$27:$F$36)*($D$27:$D$36&lt;&gt;0),0)),IF(OR(AND(D1165=0,B1165=0,B1166&lt;&gt;0),AND(D1165*D1164&lt;0,B1165&lt;&gt;0)),IF(D1165=0,C1165,C1165*(1-ABS(D1165)/(ABS(D1165)+ABS(D1164)))+C1164*(1-ABS(D1164)/(ABS(D1165)+ABS(D1164)))),"")))</f>
        <v>#NAME?</v>
      </c>
    </row>
    <row r="1166" spans="2:5" x14ac:dyDescent="0.25">
      <c r="B1166" t="e">
        <f t="shared" ca="1" si="37"/>
        <v>#NAME?</v>
      </c>
      <c r="C1166">
        <v>1123</v>
      </c>
      <c r="D1166" t="e">
        <f t="shared" ca="1" si="36"/>
        <v>#NAME?</v>
      </c>
      <c r="E1166" s="115" t="e">
        <f t="array" aca="1" ref="E1166" ca="1">IF(OR(C1165=0,AND(B1167=0,C1167=0)),"",IFERROR(INDEX($F$27:$F$36,MATCH(C1166,($F$27:$F$36)*($D$27:$D$36&lt;&gt;0),0)),IF(OR(AND(D1166=0,B1166=0,B1167&lt;&gt;0),AND(D1166*D1165&lt;0,B1166&lt;&gt;0)),IF(D1166=0,C1166,C1166*(1-ABS(D1166)/(ABS(D1166)+ABS(D1165)))+C1165*(1-ABS(D1165)/(ABS(D1166)+ABS(D1165)))),"")))</f>
        <v>#NAME?</v>
      </c>
    </row>
    <row r="1167" spans="2:5" x14ac:dyDescent="0.25">
      <c r="B1167" t="e">
        <f t="shared" ca="1" si="37"/>
        <v>#NAME?</v>
      </c>
      <c r="C1167">
        <v>1124</v>
      </c>
      <c r="D1167" t="e">
        <f t="shared" ca="1" si="36"/>
        <v>#NAME?</v>
      </c>
      <c r="E1167" s="115" t="e">
        <f t="array" aca="1" ref="E1167" ca="1">IF(OR(C1166=0,AND(B1168=0,C1168=0)),"",IFERROR(INDEX($F$27:$F$36,MATCH(C1167,($F$27:$F$36)*($D$27:$D$36&lt;&gt;0),0)),IF(OR(AND(D1167=0,B1167=0,B1168&lt;&gt;0),AND(D1167*D1166&lt;0,B1167&lt;&gt;0)),IF(D1167=0,C1167,C1167*(1-ABS(D1167)/(ABS(D1167)+ABS(D1166)))+C1166*(1-ABS(D1166)/(ABS(D1167)+ABS(D1166)))),"")))</f>
        <v>#NAME?</v>
      </c>
    </row>
    <row r="1168" spans="2:5" x14ac:dyDescent="0.25">
      <c r="B1168" t="e">
        <f t="shared" ca="1" si="37"/>
        <v>#NAME?</v>
      </c>
      <c r="C1168">
        <v>1125</v>
      </c>
      <c r="D1168" t="e">
        <f t="shared" ca="1" si="36"/>
        <v>#NAME?</v>
      </c>
      <c r="E1168" s="115" t="e">
        <f t="array" aca="1" ref="E1168" ca="1">IF(OR(C1167=0,AND(B1169=0,C1169=0)),"",IFERROR(INDEX($F$27:$F$36,MATCH(C1168,($F$27:$F$36)*($D$27:$D$36&lt;&gt;0),0)),IF(OR(AND(D1168=0,B1168=0,B1169&lt;&gt;0),AND(D1168*D1167&lt;0,B1168&lt;&gt;0)),IF(D1168=0,C1168,C1168*(1-ABS(D1168)/(ABS(D1168)+ABS(D1167)))+C1167*(1-ABS(D1167)/(ABS(D1168)+ABS(D1167)))),"")))</f>
        <v>#NAME?</v>
      </c>
    </row>
    <row r="1169" spans="2:5" x14ac:dyDescent="0.25">
      <c r="B1169" t="e">
        <f t="shared" ca="1" si="37"/>
        <v>#NAME?</v>
      </c>
      <c r="C1169">
        <v>1126</v>
      </c>
      <c r="D1169" t="e">
        <f t="shared" ca="1" si="36"/>
        <v>#NAME?</v>
      </c>
      <c r="E1169" s="115" t="e">
        <f t="array" aca="1" ref="E1169" ca="1">IF(OR(C1168=0,AND(B1170=0,C1170=0)),"",IFERROR(INDEX($F$27:$F$36,MATCH(C1169,($F$27:$F$36)*($D$27:$D$36&lt;&gt;0),0)),IF(OR(AND(D1169=0,B1169=0,B1170&lt;&gt;0),AND(D1169*D1168&lt;0,B1169&lt;&gt;0)),IF(D1169=0,C1169,C1169*(1-ABS(D1169)/(ABS(D1169)+ABS(D1168)))+C1168*(1-ABS(D1168)/(ABS(D1169)+ABS(D1168)))),"")))</f>
        <v>#NAME?</v>
      </c>
    </row>
    <row r="1170" spans="2:5" x14ac:dyDescent="0.25">
      <c r="B1170" t="e">
        <f t="shared" ca="1" si="37"/>
        <v>#NAME?</v>
      </c>
      <c r="C1170">
        <v>1127</v>
      </c>
      <c r="D1170" t="e">
        <f t="shared" ca="1" si="36"/>
        <v>#NAME?</v>
      </c>
      <c r="E1170" s="115" t="e">
        <f t="array" aca="1" ref="E1170" ca="1">IF(OR(C1169=0,AND(B1171=0,C1171=0)),"",IFERROR(INDEX($F$27:$F$36,MATCH(C1170,($F$27:$F$36)*($D$27:$D$36&lt;&gt;0),0)),IF(OR(AND(D1170=0,B1170=0,B1171&lt;&gt;0),AND(D1170*D1169&lt;0,B1170&lt;&gt;0)),IF(D1170=0,C1170,C1170*(1-ABS(D1170)/(ABS(D1170)+ABS(D1169)))+C1169*(1-ABS(D1169)/(ABS(D1170)+ABS(D1169)))),"")))</f>
        <v>#NAME?</v>
      </c>
    </row>
    <row r="1171" spans="2:5" x14ac:dyDescent="0.25">
      <c r="B1171" t="e">
        <f t="shared" ca="1" si="37"/>
        <v>#NAME?</v>
      </c>
      <c r="C1171">
        <v>1128</v>
      </c>
      <c r="D1171" t="e">
        <f t="shared" ca="1" si="36"/>
        <v>#NAME?</v>
      </c>
      <c r="E1171" s="115" t="e">
        <f t="array" aca="1" ref="E1171" ca="1">IF(OR(C1170=0,AND(B1172=0,C1172=0)),"",IFERROR(INDEX($F$27:$F$36,MATCH(C1171,($F$27:$F$36)*($D$27:$D$36&lt;&gt;0),0)),IF(OR(AND(D1171=0,B1171=0,B1172&lt;&gt;0),AND(D1171*D1170&lt;0,B1171&lt;&gt;0)),IF(D1171=0,C1171,C1171*(1-ABS(D1171)/(ABS(D1171)+ABS(D1170)))+C1170*(1-ABS(D1170)/(ABS(D1171)+ABS(D1170)))),"")))</f>
        <v>#NAME?</v>
      </c>
    </row>
    <row r="1172" spans="2:5" x14ac:dyDescent="0.25">
      <c r="B1172" t="e">
        <f t="shared" ca="1" si="37"/>
        <v>#NAME?</v>
      </c>
      <c r="C1172">
        <v>1129</v>
      </c>
      <c r="D1172" t="e">
        <f t="shared" ca="1" si="36"/>
        <v>#NAME?</v>
      </c>
      <c r="E1172" s="115" t="e">
        <f t="array" aca="1" ref="E1172" ca="1">IF(OR(C1171=0,AND(B1173=0,C1173=0)),"",IFERROR(INDEX($F$27:$F$36,MATCH(C1172,($F$27:$F$36)*($D$27:$D$36&lt;&gt;0),0)),IF(OR(AND(D1172=0,B1172=0,B1173&lt;&gt;0),AND(D1172*D1171&lt;0,B1172&lt;&gt;0)),IF(D1172=0,C1172,C1172*(1-ABS(D1172)/(ABS(D1172)+ABS(D1171)))+C1171*(1-ABS(D1171)/(ABS(D1172)+ABS(D1171)))),"")))</f>
        <v>#NAME?</v>
      </c>
    </row>
    <row r="1173" spans="2:5" x14ac:dyDescent="0.25">
      <c r="B1173" t="e">
        <f t="shared" ca="1" si="37"/>
        <v>#NAME?</v>
      </c>
      <c r="C1173">
        <v>1130</v>
      </c>
      <c r="D1173" t="e">
        <f t="shared" ca="1" si="36"/>
        <v>#NAME?</v>
      </c>
      <c r="E1173" s="115" t="e">
        <f t="array" aca="1" ref="E1173" ca="1">IF(OR(C1172=0,AND(B1174=0,C1174=0)),"",IFERROR(INDEX($F$27:$F$36,MATCH(C1173,($F$27:$F$36)*($D$27:$D$36&lt;&gt;0),0)),IF(OR(AND(D1173=0,B1173=0,B1174&lt;&gt;0),AND(D1173*D1172&lt;0,B1173&lt;&gt;0)),IF(D1173=0,C1173,C1173*(1-ABS(D1173)/(ABS(D1173)+ABS(D1172)))+C1172*(1-ABS(D1172)/(ABS(D1173)+ABS(D1172)))),"")))</f>
        <v>#NAME?</v>
      </c>
    </row>
    <row r="1174" spans="2:5" x14ac:dyDescent="0.25">
      <c r="B1174" t="e">
        <f t="shared" ca="1" si="37"/>
        <v>#NAME?</v>
      </c>
      <c r="C1174">
        <v>1131</v>
      </c>
      <c r="D1174" t="e">
        <f t="shared" ca="1" si="36"/>
        <v>#NAME?</v>
      </c>
      <c r="E1174" s="115" t="e">
        <f t="array" aca="1" ref="E1174" ca="1">IF(OR(C1173=0,AND(B1175=0,C1175=0)),"",IFERROR(INDEX($F$27:$F$36,MATCH(C1174,($F$27:$F$36)*($D$27:$D$36&lt;&gt;0),0)),IF(OR(AND(D1174=0,B1174=0,B1175&lt;&gt;0),AND(D1174*D1173&lt;0,B1174&lt;&gt;0)),IF(D1174=0,C1174,C1174*(1-ABS(D1174)/(ABS(D1174)+ABS(D1173)))+C1173*(1-ABS(D1173)/(ABS(D1174)+ABS(D1173)))),"")))</f>
        <v>#NAME?</v>
      </c>
    </row>
    <row r="1175" spans="2:5" x14ac:dyDescent="0.25">
      <c r="B1175" t="e">
        <f t="shared" ca="1" si="37"/>
        <v>#NAME?</v>
      </c>
      <c r="C1175">
        <v>1132</v>
      </c>
      <c r="D1175" t="e">
        <f t="shared" ca="1" si="36"/>
        <v>#NAME?</v>
      </c>
      <c r="E1175" s="115" t="e">
        <f t="array" aca="1" ref="E1175" ca="1">IF(OR(C1174=0,AND(B1176=0,C1176=0)),"",IFERROR(INDEX($F$27:$F$36,MATCH(C1175,($F$27:$F$36)*($D$27:$D$36&lt;&gt;0),0)),IF(OR(AND(D1175=0,B1175=0,B1176&lt;&gt;0),AND(D1175*D1174&lt;0,B1175&lt;&gt;0)),IF(D1175=0,C1175,C1175*(1-ABS(D1175)/(ABS(D1175)+ABS(D1174)))+C1174*(1-ABS(D1174)/(ABS(D1175)+ABS(D1174)))),"")))</f>
        <v>#NAME?</v>
      </c>
    </row>
    <row r="1176" spans="2:5" x14ac:dyDescent="0.25">
      <c r="B1176" t="e">
        <f t="shared" ca="1" si="37"/>
        <v>#NAME?</v>
      </c>
      <c r="C1176">
        <v>1133</v>
      </c>
      <c r="D1176" t="e">
        <f t="shared" ca="1" si="36"/>
        <v>#NAME?</v>
      </c>
      <c r="E1176" s="115" t="e">
        <f t="array" aca="1" ref="E1176" ca="1">IF(OR(C1175=0,AND(B1177=0,C1177=0)),"",IFERROR(INDEX($F$27:$F$36,MATCH(C1176,($F$27:$F$36)*($D$27:$D$36&lt;&gt;0),0)),IF(OR(AND(D1176=0,B1176=0,B1177&lt;&gt;0),AND(D1176*D1175&lt;0,B1176&lt;&gt;0)),IF(D1176=0,C1176,C1176*(1-ABS(D1176)/(ABS(D1176)+ABS(D1175)))+C1175*(1-ABS(D1175)/(ABS(D1176)+ABS(D1175)))),"")))</f>
        <v>#NAME?</v>
      </c>
    </row>
    <row r="1177" spans="2:5" x14ac:dyDescent="0.25">
      <c r="B1177" t="e">
        <f t="shared" ca="1" si="37"/>
        <v>#NAME?</v>
      </c>
      <c r="C1177">
        <v>1134</v>
      </c>
      <c r="D1177" t="e">
        <f t="shared" ca="1" si="36"/>
        <v>#NAME?</v>
      </c>
      <c r="E1177" s="115" t="e">
        <f t="array" aca="1" ref="E1177" ca="1">IF(OR(C1176=0,AND(B1178=0,C1178=0)),"",IFERROR(INDEX($F$27:$F$36,MATCH(C1177,($F$27:$F$36)*($D$27:$D$36&lt;&gt;0),0)),IF(OR(AND(D1177=0,B1177=0,B1178&lt;&gt;0),AND(D1177*D1176&lt;0,B1177&lt;&gt;0)),IF(D1177=0,C1177,C1177*(1-ABS(D1177)/(ABS(D1177)+ABS(D1176)))+C1176*(1-ABS(D1176)/(ABS(D1177)+ABS(D1176)))),"")))</f>
        <v>#NAME?</v>
      </c>
    </row>
    <row r="1178" spans="2:5" x14ac:dyDescent="0.25">
      <c r="B1178" t="e">
        <f t="shared" ca="1" si="37"/>
        <v>#NAME?</v>
      </c>
      <c r="C1178">
        <v>1135</v>
      </c>
      <c r="D1178" t="e">
        <f t="shared" ca="1" si="36"/>
        <v>#NAME?</v>
      </c>
      <c r="E1178" s="115" t="e">
        <f t="array" aca="1" ref="E1178" ca="1">IF(OR(C1177=0,AND(B1179=0,C1179=0)),"",IFERROR(INDEX($F$27:$F$36,MATCH(C1178,($F$27:$F$36)*($D$27:$D$36&lt;&gt;0),0)),IF(OR(AND(D1178=0,B1178=0,B1179&lt;&gt;0),AND(D1178*D1177&lt;0,B1178&lt;&gt;0)),IF(D1178=0,C1178,C1178*(1-ABS(D1178)/(ABS(D1178)+ABS(D1177)))+C1177*(1-ABS(D1177)/(ABS(D1178)+ABS(D1177)))),"")))</f>
        <v>#NAME?</v>
      </c>
    </row>
    <row r="1179" spans="2:5" x14ac:dyDescent="0.25">
      <c r="B1179" t="e">
        <f t="shared" ca="1" si="37"/>
        <v>#NAME?</v>
      </c>
      <c r="C1179">
        <v>1136</v>
      </c>
      <c r="D1179" t="e">
        <f t="shared" ca="1" si="36"/>
        <v>#NAME?</v>
      </c>
      <c r="E1179" s="115" t="e">
        <f t="array" aca="1" ref="E1179" ca="1">IF(OR(C1178=0,AND(B1180=0,C1180=0)),"",IFERROR(INDEX($F$27:$F$36,MATCH(C1179,($F$27:$F$36)*($D$27:$D$36&lt;&gt;0),0)),IF(OR(AND(D1179=0,B1179=0,B1180&lt;&gt;0),AND(D1179*D1178&lt;0,B1179&lt;&gt;0)),IF(D1179=0,C1179,C1179*(1-ABS(D1179)/(ABS(D1179)+ABS(D1178)))+C1178*(1-ABS(D1178)/(ABS(D1179)+ABS(D1178)))),"")))</f>
        <v>#NAME?</v>
      </c>
    </row>
    <row r="1180" spans="2:5" x14ac:dyDescent="0.25">
      <c r="B1180" t="e">
        <f t="shared" ca="1" si="37"/>
        <v>#NAME?</v>
      </c>
      <c r="C1180">
        <v>1137</v>
      </c>
      <c r="D1180" t="e">
        <f t="shared" ca="1" si="36"/>
        <v>#NAME?</v>
      </c>
      <c r="E1180" s="115" t="e">
        <f t="array" aca="1" ref="E1180" ca="1">IF(OR(C1179=0,AND(B1181=0,C1181=0)),"",IFERROR(INDEX($F$27:$F$36,MATCH(C1180,($F$27:$F$36)*($D$27:$D$36&lt;&gt;0),0)),IF(OR(AND(D1180=0,B1180=0,B1181&lt;&gt;0),AND(D1180*D1179&lt;0,B1180&lt;&gt;0)),IF(D1180=0,C1180,C1180*(1-ABS(D1180)/(ABS(D1180)+ABS(D1179)))+C1179*(1-ABS(D1179)/(ABS(D1180)+ABS(D1179)))),"")))</f>
        <v>#NAME?</v>
      </c>
    </row>
    <row r="1181" spans="2:5" x14ac:dyDescent="0.25">
      <c r="B1181" t="e">
        <f t="shared" ca="1" si="37"/>
        <v>#NAME?</v>
      </c>
      <c r="C1181">
        <v>1138</v>
      </c>
      <c r="D1181" t="e">
        <f t="shared" ca="1" si="36"/>
        <v>#NAME?</v>
      </c>
      <c r="E1181" s="115" t="e">
        <f t="array" aca="1" ref="E1181" ca="1">IF(OR(C1180=0,AND(B1182=0,C1182=0)),"",IFERROR(INDEX($F$27:$F$36,MATCH(C1181,($F$27:$F$36)*($D$27:$D$36&lt;&gt;0),0)),IF(OR(AND(D1181=0,B1181=0,B1182&lt;&gt;0),AND(D1181*D1180&lt;0,B1181&lt;&gt;0)),IF(D1181=0,C1181,C1181*(1-ABS(D1181)/(ABS(D1181)+ABS(D1180)))+C1180*(1-ABS(D1180)/(ABS(D1181)+ABS(D1180)))),"")))</f>
        <v>#NAME?</v>
      </c>
    </row>
    <row r="1182" spans="2:5" x14ac:dyDescent="0.25">
      <c r="B1182" t="e">
        <f t="shared" ca="1" si="37"/>
        <v>#NAME?</v>
      </c>
      <c r="C1182">
        <v>1139</v>
      </c>
      <c r="D1182" t="e">
        <f t="shared" ca="1" si="36"/>
        <v>#NAME?</v>
      </c>
      <c r="E1182" s="115" t="e">
        <f t="array" aca="1" ref="E1182" ca="1">IF(OR(C1181=0,AND(B1183=0,C1183=0)),"",IFERROR(INDEX($F$27:$F$36,MATCH(C1182,($F$27:$F$36)*($D$27:$D$36&lt;&gt;0),0)),IF(OR(AND(D1182=0,B1182=0,B1183&lt;&gt;0),AND(D1182*D1181&lt;0,B1182&lt;&gt;0)),IF(D1182=0,C1182,C1182*(1-ABS(D1182)/(ABS(D1182)+ABS(D1181)))+C1181*(1-ABS(D1181)/(ABS(D1182)+ABS(D1181)))),"")))</f>
        <v>#NAME?</v>
      </c>
    </row>
    <row r="1183" spans="2:5" x14ac:dyDescent="0.25">
      <c r="B1183" t="e">
        <f t="shared" ca="1" si="37"/>
        <v>#NAME?</v>
      </c>
      <c r="C1183">
        <v>1140</v>
      </c>
      <c r="D1183" t="e">
        <f t="shared" ca="1" si="36"/>
        <v>#NAME?</v>
      </c>
      <c r="E1183" s="115" t="e">
        <f t="array" aca="1" ref="E1183" ca="1">IF(OR(C1182=0,AND(B1184=0,C1184=0)),"",IFERROR(INDEX($F$27:$F$36,MATCH(C1183,($F$27:$F$36)*($D$27:$D$36&lt;&gt;0),0)),IF(OR(AND(D1183=0,B1183=0,B1184&lt;&gt;0),AND(D1183*D1182&lt;0,B1183&lt;&gt;0)),IF(D1183=0,C1183,C1183*(1-ABS(D1183)/(ABS(D1183)+ABS(D1182)))+C1182*(1-ABS(D1182)/(ABS(D1183)+ABS(D1182)))),"")))</f>
        <v>#NAME?</v>
      </c>
    </row>
    <row r="1184" spans="2:5" x14ac:dyDescent="0.25">
      <c r="B1184" t="e">
        <f t="shared" ca="1" si="37"/>
        <v>#NAME?</v>
      </c>
      <c r="C1184">
        <v>1141</v>
      </c>
      <c r="D1184" t="e">
        <f t="shared" ca="1" si="36"/>
        <v>#NAME?</v>
      </c>
      <c r="E1184" s="115" t="e">
        <f t="array" aca="1" ref="E1184" ca="1">IF(OR(C1183=0,AND(B1185=0,C1185=0)),"",IFERROR(INDEX($F$27:$F$36,MATCH(C1184,($F$27:$F$36)*($D$27:$D$36&lt;&gt;0),0)),IF(OR(AND(D1184=0,B1184=0,B1185&lt;&gt;0),AND(D1184*D1183&lt;0,B1184&lt;&gt;0)),IF(D1184=0,C1184,C1184*(1-ABS(D1184)/(ABS(D1184)+ABS(D1183)))+C1183*(1-ABS(D1183)/(ABS(D1184)+ABS(D1183)))),"")))</f>
        <v>#NAME?</v>
      </c>
    </row>
    <row r="1185" spans="2:5" x14ac:dyDescent="0.25">
      <c r="B1185" t="e">
        <f t="shared" ca="1" si="37"/>
        <v>#NAME?</v>
      </c>
      <c r="C1185">
        <v>1142</v>
      </c>
      <c r="D1185" t="e">
        <f t="shared" ca="1" si="36"/>
        <v>#NAME?</v>
      </c>
      <c r="E1185" s="115" t="e">
        <f t="array" aca="1" ref="E1185" ca="1">IF(OR(C1184=0,AND(B1186=0,C1186=0)),"",IFERROR(INDEX($F$27:$F$36,MATCH(C1185,($F$27:$F$36)*($D$27:$D$36&lt;&gt;0),0)),IF(OR(AND(D1185=0,B1185=0,B1186&lt;&gt;0),AND(D1185*D1184&lt;0,B1185&lt;&gt;0)),IF(D1185=0,C1185,C1185*(1-ABS(D1185)/(ABS(D1185)+ABS(D1184)))+C1184*(1-ABS(D1184)/(ABS(D1185)+ABS(D1184)))),"")))</f>
        <v>#NAME?</v>
      </c>
    </row>
    <row r="1186" spans="2:5" x14ac:dyDescent="0.25">
      <c r="B1186" t="e">
        <f t="shared" ca="1" si="37"/>
        <v>#NAME?</v>
      </c>
      <c r="C1186">
        <v>1143</v>
      </c>
      <c r="D1186" t="e">
        <f t="shared" ca="1" si="36"/>
        <v>#NAME?</v>
      </c>
      <c r="E1186" s="115" t="e">
        <f t="array" aca="1" ref="E1186" ca="1">IF(OR(C1185=0,AND(B1187=0,C1187=0)),"",IFERROR(INDEX($F$27:$F$36,MATCH(C1186,($F$27:$F$36)*($D$27:$D$36&lt;&gt;0),0)),IF(OR(AND(D1186=0,B1186=0,B1187&lt;&gt;0),AND(D1186*D1185&lt;0,B1186&lt;&gt;0)),IF(D1186=0,C1186,C1186*(1-ABS(D1186)/(ABS(D1186)+ABS(D1185)))+C1185*(1-ABS(D1185)/(ABS(D1186)+ABS(D1185)))),"")))</f>
        <v>#NAME?</v>
      </c>
    </row>
    <row r="1187" spans="2:5" x14ac:dyDescent="0.25">
      <c r="B1187" t="e">
        <f t="shared" ca="1" si="37"/>
        <v>#NAME?</v>
      </c>
      <c r="C1187">
        <v>1144</v>
      </c>
      <c r="D1187" t="e">
        <f t="shared" ca="1" si="36"/>
        <v>#NAME?</v>
      </c>
      <c r="E1187" s="115" t="e">
        <f t="array" aca="1" ref="E1187" ca="1">IF(OR(C1186=0,AND(B1188=0,C1188=0)),"",IFERROR(INDEX($F$27:$F$36,MATCH(C1187,($F$27:$F$36)*($D$27:$D$36&lt;&gt;0),0)),IF(OR(AND(D1187=0,B1187=0,B1188&lt;&gt;0),AND(D1187*D1186&lt;0,B1187&lt;&gt;0)),IF(D1187=0,C1187,C1187*(1-ABS(D1187)/(ABS(D1187)+ABS(D1186)))+C1186*(1-ABS(D1186)/(ABS(D1187)+ABS(D1186)))),"")))</f>
        <v>#NAME?</v>
      </c>
    </row>
    <row r="1188" spans="2:5" x14ac:dyDescent="0.25">
      <c r="B1188" t="e">
        <f t="shared" ca="1" si="37"/>
        <v>#NAME?</v>
      </c>
      <c r="C1188">
        <v>1145</v>
      </c>
      <c r="D1188" t="e">
        <f t="shared" ca="1" si="36"/>
        <v>#NAME?</v>
      </c>
      <c r="E1188" s="115" t="e">
        <f t="array" aca="1" ref="E1188" ca="1">IF(OR(C1187=0,AND(B1189=0,C1189=0)),"",IFERROR(INDEX($F$27:$F$36,MATCH(C1188,($F$27:$F$36)*($D$27:$D$36&lt;&gt;0),0)),IF(OR(AND(D1188=0,B1188=0,B1189&lt;&gt;0),AND(D1188*D1187&lt;0,B1188&lt;&gt;0)),IF(D1188=0,C1188,C1188*(1-ABS(D1188)/(ABS(D1188)+ABS(D1187)))+C1187*(1-ABS(D1187)/(ABS(D1188)+ABS(D1187)))),"")))</f>
        <v>#NAME?</v>
      </c>
    </row>
    <row r="1189" spans="2:5" x14ac:dyDescent="0.25">
      <c r="B1189" t="e">
        <f t="shared" ca="1" si="37"/>
        <v>#NAME?</v>
      </c>
      <c r="C1189">
        <v>1146</v>
      </c>
      <c r="D1189" t="e">
        <f t="shared" ca="1" si="36"/>
        <v>#NAME?</v>
      </c>
      <c r="E1189" s="115" t="e">
        <f t="array" aca="1" ref="E1189" ca="1">IF(OR(C1188=0,AND(B1190=0,C1190=0)),"",IFERROR(INDEX($F$27:$F$36,MATCH(C1189,($F$27:$F$36)*($D$27:$D$36&lt;&gt;0),0)),IF(OR(AND(D1189=0,B1189=0,B1190&lt;&gt;0),AND(D1189*D1188&lt;0,B1189&lt;&gt;0)),IF(D1189=0,C1189,C1189*(1-ABS(D1189)/(ABS(D1189)+ABS(D1188)))+C1188*(1-ABS(D1188)/(ABS(D1189)+ABS(D1188)))),"")))</f>
        <v>#NAME?</v>
      </c>
    </row>
    <row r="1190" spans="2:5" x14ac:dyDescent="0.25">
      <c r="B1190" t="e">
        <f t="shared" ca="1" si="37"/>
        <v>#NAME?</v>
      </c>
      <c r="C1190">
        <v>1147</v>
      </c>
      <c r="D1190" t="e">
        <f t="shared" ca="1" si="36"/>
        <v>#NAME?</v>
      </c>
      <c r="E1190" s="115" t="e">
        <f t="array" aca="1" ref="E1190" ca="1">IF(OR(C1189=0,AND(B1191=0,C1191=0)),"",IFERROR(INDEX($F$27:$F$36,MATCH(C1190,($F$27:$F$36)*($D$27:$D$36&lt;&gt;0),0)),IF(OR(AND(D1190=0,B1190=0,B1191&lt;&gt;0),AND(D1190*D1189&lt;0,B1190&lt;&gt;0)),IF(D1190=0,C1190,C1190*(1-ABS(D1190)/(ABS(D1190)+ABS(D1189)))+C1189*(1-ABS(D1189)/(ABS(D1190)+ABS(D1189)))),"")))</f>
        <v>#NAME?</v>
      </c>
    </row>
    <row r="1191" spans="2:5" x14ac:dyDescent="0.25">
      <c r="B1191" t="e">
        <f t="shared" ca="1" si="37"/>
        <v>#NAME?</v>
      </c>
      <c r="C1191">
        <v>1148</v>
      </c>
      <c r="D1191" t="e">
        <f t="shared" ca="1" si="36"/>
        <v>#NAME?</v>
      </c>
      <c r="E1191" s="115" t="e">
        <f t="array" aca="1" ref="E1191" ca="1">IF(OR(C1190=0,AND(B1192=0,C1192=0)),"",IFERROR(INDEX($F$27:$F$36,MATCH(C1191,($F$27:$F$36)*($D$27:$D$36&lt;&gt;0),0)),IF(OR(AND(D1191=0,B1191=0,B1192&lt;&gt;0),AND(D1191*D1190&lt;0,B1191&lt;&gt;0)),IF(D1191=0,C1191,C1191*(1-ABS(D1191)/(ABS(D1191)+ABS(D1190)))+C1190*(1-ABS(D1190)/(ABS(D1191)+ABS(D1190)))),"")))</f>
        <v>#NAME?</v>
      </c>
    </row>
    <row r="1192" spans="2:5" x14ac:dyDescent="0.25">
      <c r="B1192" t="e">
        <f t="shared" ca="1" si="37"/>
        <v>#NAME?</v>
      </c>
      <c r="C1192">
        <v>1149</v>
      </c>
      <c r="D1192" t="e">
        <f t="shared" ca="1" si="36"/>
        <v>#NAME?</v>
      </c>
      <c r="E1192" s="115" t="e">
        <f t="array" aca="1" ref="E1192" ca="1">IF(OR(C1191=0,AND(B1193=0,C1193=0)),"",IFERROR(INDEX($F$27:$F$36,MATCH(C1192,($F$27:$F$36)*($D$27:$D$36&lt;&gt;0),0)),IF(OR(AND(D1192=0,B1192=0,B1193&lt;&gt;0),AND(D1192*D1191&lt;0,B1192&lt;&gt;0)),IF(D1192=0,C1192,C1192*(1-ABS(D1192)/(ABS(D1192)+ABS(D1191)))+C1191*(1-ABS(D1191)/(ABS(D1192)+ABS(D1191)))),"")))</f>
        <v>#NAME?</v>
      </c>
    </row>
    <row r="1193" spans="2:5" x14ac:dyDescent="0.25">
      <c r="B1193" t="e">
        <f t="shared" ca="1" si="37"/>
        <v>#NAME?</v>
      </c>
      <c r="C1193">
        <v>1150</v>
      </c>
      <c r="D1193" t="e">
        <f t="shared" ca="1" si="36"/>
        <v>#NAME?</v>
      </c>
      <c r="E1193" s="115" t="e">
        <f t="array" aca="1" ref="E1193" ca="1">IF(OR(C1192=0,AND(B1194=0,C1194=0)),"",IFERROR(INDEX($F$27:$F$36,MATCH(C1193,($F$27:$F$36)*($D$27:$D$36&lt;&gt;0),0)),IF(OR(AND(D1193=0,B1193=0,B1194&lt;&gt;0),AND(D1193*D1192&lt;0,B1193&lt;&gt;0)),IF(D1193=0,C1193,C1193*(1-ABS(D1193)/(ABS(D1193)+ABS(D1192)))+C1192*(1-ABS(D1192)/(ABS(D1193)+ABS(D1192)))),"")))</f>
        <v>#NAME?</v>
      </c>
    </row>
    <row r="1194" spans="2:5" x14ac:dyDescent="0.25">
      <c r="B1194" t="e">
        <f t="shared" ca="1" si="37"/>
        <v>#NAME?</v>
      </c>
      <c r="C1194">
        <v>1151</v>
      </c>
      <c r="D1194" t="e">
        <f t="shared" ca="1" si="36"/>
        <v>#NAME?</v>
      </c>
      <c r="E1194" s="115" t="e">
        <f t="array" aca="1" ref="E1194" ca="1">IF(OR(C1193=0,AND(B1195=0,C1195=0)),"",IFERROR(INDEX($F$27:$F$36,MATCH(C1194,($F$27:$F$36)*($D$27:$D$36&lt;&gt;0),0)),IF(OR(AND(D1194=0,B1194=0,B1195&lt;&gt;0),AND(D1194*D1193&lt;0,B1194&lt;&gt;0)),IF(D1194=0,C1194,C1194*(1-ABS(D1194)/(ABS(D1194)+ABS(D1193)))+C1193*(1-ABS(D1193)/(ABS(D1194)+ABS(D1193)))),"")))</f>
        <v>#NAME?</v>
      </c>
    </row>
    <row r="1195" spans="2:5" x14ac:dyDescent="0.25">
      <c r="B1195" t="e">
        <f t="shared" ca="1" si="37"/>
        <v>#NAME?</v>
      </c>
      <c r="C1195">
        <v>1152</v>
      </c>
      <c r="D1195" t="e">
        <f t="shared" ref="D1195:D1258" ca="1" si="38">SUMPRODUCT(--($J$27:$J$37&gt;0),--($C1195-$F$27:$F$37&gt;0),($D$27:$D$37),($C1195-$F$27:$F$37))+SUMPRODUCT(--($J$27:$J$37&lt;0),--($F$27:$F$37-$C1195&gt;0),($D$27:$D$37),($F$27:$F$37-$C1195))-SUMPRODUCT($D$27:$D$37,$E$27:$E$37)</f>
        <v>#NAME?</v>
      </c>
      <c r="E1195" s="115" t="e">
        <f t="array" aca="1" ref="E1195" ca="1">IF(OR(C1194=0,AND(B1196=0,C1196=0)),"",IFERROR(INDEX($F$27:$F$36,MATCH(C1195,($F$27:$F$36)*($D$27:$D$36&lt;&gt;0),0)),IF(OR(AND(D1195=0,B1195=0,B1196&lt;&gt;0),AND(D1195*D1194&lt;0,B1195&lt;&gt;0)),IF(D1195=0,C1195,C1195*(1-ABS(D1195)/(ABS(D1195)+ABS(D1194)))+C1194*(1-ABS(D1194)/(ABS(D1195)+ABS(D1194)))),"")))</f>
        <v>#NAME?</v>
      </c>
    </row>
    <row r="1196" spans="2:5" x14ac:dyDescent="0.25">
      <c r="B1196" t="e">
        <f t="shared" ref="B1196:B1259" ca="1" si="39">ROUND((D1196-D1195)/(C1196-C1195),12)</f>
        <v>#NAME?</v>
      </c>
      <c r="C1196">
        <v>1153</v>
      </c>
      <c r="D1196" t="e">
        <f t="shared" ca="1" si="38"/>
        <v>#NAME?</v>
      </c>
      <c r="E1196" s="115" t="e">
        <f t="array" aca="1" ref="E1196" ca="1">IF(OR(C1195=0,AND(B1197=0,C1197=0)),"",IFERROR(INDEX($F$27:$F$36,MATCH(C1196,($F$27:$F$36)*($D$27:$D$36&lt;&gt;0),0)),IF(OR(AND(D1196=0,B1196=0,B1197&lt;&gt;0),AND(D1196*D1195&lt;0,B1196&lt;&gt;0)),IF(D1196=0,C1196,C1196*(1-ABS(D1196)/(ABS(D1196)+ABS(D1195)))+C1195*(1-ABS(D1195)/(ABS(D1196)+ABS(D1195)))),"")))</f>
        <v>#NAME?</v>
      </c>
    </row>
    <row r="1197" spans="2:5" x14ac:dyDescent="0.25">
      <c r="B1197" t="e">
        <f t="shared" ca="1" si="39"/>
        <v>#NAME?</v>
      </c>
      <c r="C1197">
        <v>1154</v>
      </c>
      <c r="D1197" t="e">
        <f t="shared" ca="1" si="38"/>
        <v>#NAME?</v>
      </c>
      <c r="E1197" s="115" t="e">
        <f t="array" aca="1" ref="E1197" ca="1">IF(OR(C1196=0,AND(B1198=0,C1198=0)),"",IFERROR(INDEX($F$27:$F$36,MATCH(C1197,($F$27:$F$36)*($D$27:$D$36&lt;&gt;0),0)),IF(OR(AND(D1197=0,B1197=0,B1198&lt;&gt;0),AND(D1197*D1196&lt;0,B1197&lt;&gt;0)),IF(D1197=0,C1197,C1197*(1-ABS(D1197)/(ABS(D1197)+ABS(D1196)))+C1196*(1-ABS(D1196)/(ABS(D1197)+ABS(D1196)))),"")))</f>
        <v>#NAME?</v>
      </c>
    </row>
    <row r="1198" spans="2:5" x14ac:dyDescent="0.25">
      <c r="B1198" t="e">
        <f t="shared" ca="1" si="39"/>
        <v>#NAME?</v>
      </c>
      <c r="C1198">
        <v>1155</v>
      </c>
      <c r="D1198" t="e">
        <f t="shared" ca="1" si="38"/>
        <v>#NAME?</v>
      </c>
      <c r="E1198" s="115" t="e">
        <f t="array" aca="1" ref="E1198" ca="1">IF(OR(C1197=0,AND(B1199=0,C1199=0)),"",IFERROR(INDEX($F$27:$F$36,MATCH(C1198,($F$27:$F$36)*($D$27:$D$36&lt;&gt;0),0)),IF(OR(AND(D1198=0,B1198=0,B1199&lt;&gt;0),AND(D1198*D1197&lt;0,B1198&lt;&gt;0)),IF(D1198=0,C1198,C1198*(1-ABS(D1198)/(ABS(D1198)+ABS(D1197)))+C1197*(1-ABS(D1197)/(ABS(D1198)+ABS(D1197)))),"")))</f>
        <v>#NAME?</v>
      </c>
    </row>
    <row r="1199" spans="2:5" x14ac:dyDescent="0.25">
      <c r="B1199" t="e">
        <f t="shared" ca="1" si="39"/>
        <v>#NAME?</v>
      </c>
      <c r="C1199">
        <v>1156</v>
      </c>
      <c r="D1199" t="e">
        <f t="shared" ca="1" si="38"/>
        <v>#NAME?</v>
      </c>
      <c r="E1199" s="115" t="e">
        <f t="array" aca="1" ref="E1199" ca="1">IF(OR(C1198=0,AND(B1200=0,C1200=0)),"",IFERROR(INDEX($F$27:$F$36,MATCH(C1199,($F$27:$F$36)*($D$27:$D$36&lt;&gt;0),0)),IF(OR(AND(D1199=0,B1199=0,B1200&lt;&gt;0),AND(D1199*D1198&lt;0,B1199&lt;&gt;0)),IF(D1199=0,C1199,C1199*(1-ABS(D1199)/(ABS(D1199)+ABS(D1198)))+C1198*(1-ABS(D1198)/(ABS(D1199)+ABS(D1198)))),"")))</f>
        <v>#NAME?</v>
      </c>
    </row>
    <row r="1200" spans="2:5" x14ac:dyDescent="0.25">
      <c r="B1200" t="e">
        <f t="shared" ca="1" si="39"/>
        <v>#NAME?</v>
      </c>
      <c r="C1200">
        <v>1157</v>
      </c>
      <c r="D1200" t="e">
        <f t="shared" ca="1" si="38"/>
        <v>#NAME?</v>
      </c>
      <c r="E1200" s="115" t="e">
        <f t="array" aca="1" ref="E1200" ca="1">IF(OR(C1199=0,AND(B1201=0,C1201=0)),"",IFERROR(INDEX($F$27:$F$36,MATCH(C1200,($F$27:$F$36)*($D$27:$D$36&lt;&gt;0),0)),IF(OR(AND(D1200=0,B1200=0,B1201&lt;&gt;0),AND(D1200*D1199&lt;0,B1200&lt;&gt;0)),IF(D1200=0,C1200,C1200*(1-ABS(D1200)/(ABS(D1200)+ABS(D1199)))+C1199*(1-ABS(D1199)/(ABS(D1200)+ABS(D1199)))),"")))</f>
        <v>#NAME?</v>
      </c>
    </row>
    <row r="1201" spans="2:5" x14ac:dyDescent="0.25">
      <c r="B1201" t="e">
        <f t="shared" ca="1" si="39"/>
        <v>#NAME?</v>
      </c>
      <c r="C1201">
        <v>1158</v>
      </c>
      <c r="D1201" t="e">
        <f t="shared" ca="1" si="38"/>
        <v>#NAME?</v>
      </c>
      <c r="E1201" s="115" t="e">
        <f t="array" aca="1" ref="E1201" ca="1">IF(OR(C1200=0,AND(B1202=0,C1202=0)),"",IFERROR(INDEX($F$27:$F$36,MATCH(C1201,($F$27:$F$36)*($D$27:$D$36&lt;&gt;0),0)),IF(OR(AND(D1201=0,B1201=0,B1202&lt;&gt;0),AND(D1201*D1200&lt;0,B1201&lt;&gt;0)),IF(D1201=0,C1201,C1201*(1-ABS(D1201)/(ABS(D1201)+ABS(D1200)))+C1200*(1-ABS(D1200)/(ABS(D1201)+ABS(D1200)))),"")))</f>
        <v>#NAME?</v>
      </c>
    </row>
    <row r="1202" spans="2:5" x14ac:dyDescent="0.25">
      <c r="B1202" t="e">
        <f t="shared" ca="1" si="39"/>
        <v>#NAME?</v>
      </c>
      <c r="C1202">
        <v>1159</v>
      </c>
      <c r="D1202" t="e">
        <f t="shared" ca="1" si="38"/>
        <v>#NAME?</v>
      </c>
      <c r="E1202" s="115" t="e">
        <f t="array" aca="1" ref="E1202" ca="1">IF(OR(C1201=0,AND(B1203=0,C1203=0)),"",IFERROR(INDEX($F$27:$F$36,MATCH(C1202,($F$27:$F$36)*($D$27:$D$36&lt;&gt;0),0)),IF(OR(AND(D1202=0,B1202=0,B1203&lt;&gt;0),AND(D1202*D1201&lt;0,B1202&lt;&gt;0)),IF(D1202=0,C1202,C1202*(1-ABS(D1202)/(ABS(D1202)+ABS(D1201)))+C1201*(1-ABS(D1201)/(ABS(D1202)+ABS(D1201)))),"")))</f>
        <v>#NAME?</v>
      </c>
    </row>
    <row r="1203" spans="2:5" x14ac:dyDescent="0.25">
      <c r="B1203" t="e">
        <f t="shared" ca="1" si="39"/>
        <v>#NAME?</v>
      </c>
      <c r="C1203">
        <v>1160</v>
      </c>
      <c r="D1203" t="e">
        <f t="shared" ca="1" si="38"/>
        <v>#NAME?</v>
      </c>
      <c r="E1203" s="115" t="e">
        <f t="array" aca="1" ref="E1203" ca="1">IF(OR(C1202=0,AND(B1204=0,C1204=0)),"",IFERROR(INDEX($F$27:$F$36,MATCH(C1203,($F$27:$F$36)*($D$27:$D$36&lt;&gt;0),0)),IF(OR(AND(D1203=0,B1203=0,B1204&lt;&gt;0),AND(D1203*D1202&lt;0,B1203&lt;&gt;0)),IF(D1203=0,C1203,C1203*(1-ABS(D1203)/(ABS(D1203)+ABS(D1202)))+C1202*(1-ABS(D1202)/(ABS(D1203)+ABS(D1202)))),"")))</f>
        <v>#NAME?</v>
      </c>
    </row>
    <row r="1204" spans="2:5" x14ac:dyDescent="0.25">
      <c r="B1204" t="e">
        <f t="shared" ca="1" si="39"/>
        <v>#NAME?</v>
      </c>
      <c r="C1204">
        <v>1161</v>
      </c>
      <c r="D1204" t="e">
        <f t="shared" ca="1" si="38"/>
        <v>#NAME?</v>
      </c>
      <c r="E1204" s="115" t="e">
        <f t="array" aca="1" ref="E1204" ca="1">IF(OR(C1203=0,AND(B1205=0,C1205=0)),"",IFERROR(INDEX($F$27:$F$36,MATCH(C1204,($F$27:$F$36)*($D$27:$D$36&lt;&gt;0),0)),IF(OR(AND(D1204=0,B1204=0,B1205&lt;&gt;0),AND(D1204*D1203&lt;0,B1204&lt;&gt;0)),IF(D1204=0,C1204,C1204*(1-ABS(D1204)/(ABS(D1204)+ABS(D1203)))+C1203*(1-ABS(D1203)/(ABS(D1204)+ABS(D1203)))),"")))</f>
        <v>#NAME?</v>
      </c>
    </row>
    <row r="1205" spans="2:5" x14ac:dyDescent="0.25">
      <c r="B1205" t="e">
        <f t="shared" ca="1" si="39"/>
        <v>#NAME?</v>
      </c>
      <c r="C1205">
        <v>1162</v>
      </c>
      <c r="D1205" t="e">
        <f t="shared" ca="1" si="38"/>
        <v>#NAME?</v>
      </c>
      <c r="E1205" s="115" t="e">
        <f t="array" aca="1" ref="E1205" ca="1">IF(OR(C1204=0,AND(B1206=0,C1206=0)),"",IFERROR(INDEX($F$27:$F$36,MATCH(C1205,($F$27:$F$36)*($D$27:$D$36&lt;&gt;0),0)),IF(OR(AND(D1205=0,B1205=0,B1206&lt;&gt;0),AND(D1205*D1204&lt;0,B1205&lt;&gt;0)),IF(D1205=0,C1205,C1205*(1-ABS(D1205)/(ABS(D1205)+ABS(D1204)))+C1204*(1-ABS(D1204)/(ABS(D1205)+ABS(D1204)))),"")))</f>
        <v>#NAME?</v>
      </c>
    </row>
    <row r="1206" spans="2:5" x14ac:dyDescent="0.25">
      <c r="B1206" t="e">
        <f t="shared" ca="1" si="39"/>
        <v>#NAME?</v>
      </c>
      <c r="C1206">
        <v>1163</v>
      </c>
      <c r="D1206" t="e">
        <f t="shared" ca="1" si="38"/>
        <v>#NAME?</v>
      </c>
      <c r="E1206" s="115" t="e">
        <f t="array" aca="1" ref="E1206" ca="1">IF(OR(C1205=0,AND(B1207=0,C1207=0)),"",IFERROR(INDEX($F$27:$F$36,MATCH(C1206,($F$27:$F$36)*($D$27:$D$36&lt;&gt;0),0)),IF(OR(AND(D1206=0,B1206=0,B1207&lt;&gt;0),AND(D1206*D1205&lt;0,B1206&lt;&gt;0)),IF(D1206=0,C1206,C1206*(1-ABS(D1206)/(ABS(D1206)+ABS(D1205)))+C1205*(1-ABS(D1205)/(ABS(D1206)+ABS(D1205)))),"")))</f>
        <v>#NAME?</v>
      </c>
    </row>
    <row r="1207" spans="2:5" x14ac:dyDescent="0.25">
      <c r="B1207" t="e">
        <f t="shared" ca="1" si="39"/>
        <v>#NAME?</v>
      </c>
      <c r="C1207">
        <v>1164</v>
      </c>
      <c r="D1207" t="e">
        <f t="shared" ca="1" si="38"/>
        <v>#NAME?</v>
      </c>
      <c r="E1207" s="115" t="e">
        <f t="array" aca="1" ref="E1207" ca="1">IF(OR(C1206=0,AND(B1208=0,C1208=0)),"",IFERROR(INDEX($F$27:$F$36,MATCH(C1207,($F$27:$F$36)*($D$27:$D$36&lt;&gt;0),0)),IF(OR(AND(D1207=0,B1207=0,B1208&lt;&gt;0),AND(D1207*D1206&lt;0,B1207&lt;&gt;0)),IF(D1207=0,C1207,C1207*(1-ABS(D1207)/(ABS(D1207)+ABS(D1206)))+C1206*(1-ABS(D1206)/(ABS(D1207)+ABS(D1206)))),"")))</f>
        <v>#NAME?</v>
      </c>
    </row>
    <row r="1208" spans="2:5" x14ac:dyDescent="0.25">
      <c r="B1208" t="e">
        <f t="shared" ca="1" si="39"/>
        <v>#NAME?</v>
      </c>
      <c r="C1208">
        <v>1165</v>
      </c>
      <c r="D1208" t="e">
        <f t="shared" ca="1" si="38"/>
        <v>#NAME?</v>
      </c>
      <c r="E1208" s="115" t="e">
        <f t="array" aca="1" ref="E1208" ca="1">IF(OR(C1207=0,AND(B1209=0,C1209=0)),"",IFERROR(INDEX($F$27:$F$36,MATCH(C1208,($F$27:$F$36)*($D$27:$D$36&lt;&gt;0),0)),IF(OR(AND(D1208=0,B1208=0,B1209&lt;&gt;0),AND(D1208*D1207&lt;0,B1208&lt;&gt;0)),IF(D1208=0,C1208,C1208*(1-ABS(D1208)/(ABS(D1208)+ABS(D1207)))+C1207*(1-ABS(D1207)/(ABS(D1208)+ABS(D1207)))),"")))</f>
        <v>#NAME?</v>
      </c>
    </row>
    <row r="1209" spans="2:5" x14ac:dyDescent="0.25">
      <c r="B1209" t="e">
        <f t="shared" ca="1" si="39"/>
        <v>#NAME?</v>
      </c>
      <c r="C1209">
        <v>1166</v>
      </c>
      <c r="D1209" t="e">
        <f t="shared" ca="1" si="38"/>
        <v>#NAME?</v>
      </c>
      <c r="E1209" s="115" t="e">
        <f t="array" aca="1" ref="E1209" ca="1">IF(OR(C1208=0,AND(B1210=0,C1210=0)),"",IFERROR(INDEX($F$27:$F$36,MATCH(C1209,($F$27:$F$36)*($D$27:$D$36&lt;&gt;0),0)),IF(OR(AND(D1209=0,B1209=0,B1210&lt;&gt;0),AND(D1209*D1208&lt;0,B1209&lt;&gt;0)),IF(D1209=0,C1209,C1209*(1-ABS(D1209)/(ABS(D1209)+ABS(D1208)))+C1208*(1-ABS(D1208)/(ABS(D1209)+ABS(D1208)))),"")))</f>
        <v>#NAME?</v>
      </c>
    </row>
    <row r="1210" spans="2:5" x14ac:dyDescent="0.25">
      <c r="B1210" t="e">
        <f t="shared" ca="1" si="39"/>
        <v>#NAME?</v>
      </c>
      <c r="C1210">
        <v>1167</v>
      </c>
      <c r="D1210" t="e">
        <f t="shared" ca="1" si="38"/>
        <v>#NAME?</v>
      </c>
      <c r="E1210" s="115" t="e">
        <f t="array" aca="1" ref="E1210" ca="1">IF(OR(C1209=0,AND(B1211=0,C1211=0)),"",IFERROR(INDEX($F$27:$F$36,MATCH(C1210,($F$27:$F$36)*($D$27:$D$36&lt;&gt;0),0)),IF(OR(AND(D1210=0,B1210=0,B1211&lt;&gt;0),AND(D1210*D1209&lt;0,B1210&lt;&gt;0)),IF(D1210=0,C1210,C1210*(1-ABS(D1210)/(ABS(D1210)+ABS(D1209)))+C1209*(1-ABS(D1209)/(ABS(D1210)+ABS(D1209)))),"")))</f>
        <v>#NAME?</v>
      </c>
    </row>
    <row r="1211" spans="2:5" x14ac:dyDescent="0.25">
      <c r="B1211" t="e">
        <f t="shared" ca="1" si="39"/>
        <v>#NAME?</v>
      </c>
      <c r="C1211">
        <v>1168</v>
      </c>
      <c r="D1211" t="e">
        <f t="shared" ca="1" si="38"/>
        <v>#NAME?</v>
      </c>
      <c r="E1211" s="115" t="e">
        <f t="array" aca="1" ref="E1211" ca="1">IF(OR(C1210=0,AND(B1212=0,C1212=0)),"",IFERROR(INDEX($F$27:$F$36,MATCH(C1211,($F$27:$F$36)*($D$27:$D$36&lt;&gt;0),0)),IF(OR(AND(D1211=0,B1211=0,B1212&lt;&gt;0),AND(D1211*D1210&lt;0,B1211&lt;&gt;0)),IF(D1211=0,C1211,C1211*(1-ABS(D1211)/(ABS(D1211)+ABS(D1210)))+C1210*(1-ABS(D1210)/(ABS(D1211)+ABS(D1210)))),"")))</f>
        <v>#NAME?</v>
      </c>
    </row>
    <row r="1212" spans="2:5" x14ac:dyDescent="0.25">
      <c r="B1212" t="e">
        <f t="shared" ca="1" si="39"/>
        <v>#NAME?</v>
      </c>
      <c r="C1212">
        <v>1169</v>
      </c>
      <c r="D1212" t="e">
        <f t="shared" ca="1" si="38"/>
        <v>#NAME?</v>
      </c>
      <c r="E1212" s="115" t="e">
        <f t="array" aca="1" ref="E1212" ca="1">IF(OR(C1211=0,AND(B1213=0,C1213=0)),"",IFERROR(INDEX($F$27:$F$36,MATCH(C1212,($F$27:$F$36)*($D$27:$D$36&lt;&gt;0),0)),IF(OR(AND(D1212=0,B1212=0,B1213&lt;&gt;0),AND(D1212*D1211&lt;0,B1212&lt;&gt;0)),IF(D1212=0,C1212,C1212*(1-ABS(D1212)/(ABS(D1212)+ABS(D1211)))+C1211*(1-ABS(D1211)/(ABS(D1212)+ABS(D1211)))),"")))</f>
        <v>#NAME?</v>
      </c>
    </row>
    <row r="1213" spans="2:5" x14ac:dyDescent="0.25">
      <c r="B1213" t="e">
        <f t="shared" ca="1" si="39"/>
        <v>#NAME?</v>
      </c>
      <c r="C1213">
        <v>1170</v>
      </c>
      <c r="D1213" t="e">
        <f t="shared" ca="1" si="38"/>
        <v>#NAME?</v>
      </c>
      <c r="E1213" s="115" t="e">
        <f t="array" aca="1" ref="E1213" ca="1">IF(OR(C1212=0,AND(B1214=0,C1214=0)),"",IFERROR(INDEX($F$27:$F$36,MATCH(C1213,($F$27:$F$36)*($D$27:$D$36&lt;&gt;0),0)),IF(OR(AND(D1213=0,B1213=0,B1214&lt;&gt;0),AND(D1213*D1212&lt;0,B1213&lt;&gt;0)),IF(D1213=0,C1213,C1213*(1-ABS(D1213)/(ABS(D1213)+ABS(D1212)))+C1212*(1-ABS(D1212)/(ABS(D1213)+ABS(D1212)))),"")))</f>
        <v>#NAME?</v>
      </c>
    </row>
    <row r="1214" spans="2:5" x14ac:dyDescent="0.25">
      <c r="B1214" t="e">
        <f t="shared" ca="1" si="39"/>
        <v>#NAME?</v>
      </c>
      <c r="C1214">
        <v>1171</v>
      </c>
      <c r="D1214" t="e">
        <f t="shared" ca="1" si="38"/>
        <v>#NAME?</v>
      </c>
      <c r="E1214" s="115" t="e">
        <f t="array" aca="1" ref="E1214" ca="1">IF(OR(C1213=0,AND(B1215=0,C1215=0)),"",IFERROR(INDEX($F$27:$F$36,MATCH(C1214,($F$27:$F$36)*($D$27:$D$36&lt;&gt;0),0)),IF(OR(AND(D1214=0,B1214=0,B1215&lt;&gt;0),AND(D1214*D1213&lt;0,B1214&lt;&gt;0)),IF(D1214=0,C1214,C1214*(1-ABS(D1214)/(ABS(D1214)+ABS(D1213)))+C1213*(1-ABS(D1213)/(ABS(D1214)+ABS(D1213)))),"")))</f>
        <v>#NAME?</v>
      </c>
    </row>
    <row r="1215" spans="2:5" x14ac:dyDescent="0.25">
      <c r="B1215" t="e">
        <f t="shared" ca="1" si="39"/>
        <v>#NAME?</v>
      </c>
      <c r="C1215">
        <v>1172</v>
      </c>
      <c r="D1215" t="e">
        <f t="shared" ca="1" si="38"/>
        <v>#NAME?</v>
      </c>
      <c r="E1215" s="115" t="e">
        <f t="array" aca="1" ref="E1215" ca="1">IF(OR(C1214=0,AND(B1216=0,C1216=0)),"",IFERROR(INDEX($F$27:$F$36,MATCH(C1215,($F$27:$F$36)*($D$27:$D$36&lt;&gt;0),0)),IF(OR(AND(D1215=0,B1215=0,B1216&lt;&gt;0),AND(D1215*D1214&lt;0,B1215&lt;&gt;0)),IF(D1215=0,C1215,C1215*(1-ABS(D1215)/(ABS(D1215)+ABS(D1214)))+C1214*(1-ABS(D1214)/(ABS(D1215)+ABS(D1214)))),"")))</f>
        <v>#NAME?</v>
      </c>
    </row>
    <row r="1216" spans="2:5" x14ac:dyDescent="0.25">
      <c r="B1216" t="e">
        <f t="shared" ca="1" si="39"/>
        <v>#NAME?</v>
      </c>
      <c r="C1216">
        <v>1173</v>
      </c>
      <c r="D1216" t="e">
        <f t="shared" ca="1" si="38"/>
        <v>#NAME?</v>
      </c>
      <c r="E1216" s="115" t="e">
        <f t="array" aca="1" ref="E1216" ca="1">IF(OR(C1215=0,AND(B1217=0,C1217=0)),"",IFERROR(INDEX($F$27:$F$36,MATCH(C1216,($F$27:$F$36)*($D$27:$D$36&lt;&gt;0),0)),IF(OR(AND(D1216=0,B1216=0,B1217&lt;&gt;0),AND(D1216*D1215&lt;0,B1216&lt;&gt;0)),IF(D1216=0,C1216,C1216*(1-ABS(D1216)/(ABS(D1216)+ABS(D1215)))+C1215*(1-ABS(D1215)/(ABS(D1216)+ABS(D1215)))),"")))</f>
        <v>#NAME?</v>
      </c>
    </row>
    <row r="1217" spans="2:5" x14ac:dyDescent="0.25">
      <c r="B1217" t="e">
        <f t="shared" ca="1" si="39"/>
        <v>#NAME?</v>
      </c>
      <c r="C1217">
        <v>1174</v>
      </c>
      <c r="D1217" t="e">
        <f t="shared" ca="1" si="38"/>
        <v>#NAME?</v>
      </c>
      <c r="E1217" s="115" t="e">
        <f t="array" aca="1" ref="E1217" ca="1">IF(OR(C1216=0,AND(B1218=0,C1218=0)),"",IFERROR(INDEX($F$27:$F$36,MATCH(C1217,($F$27:$F$36)*($D$27:$D$36&lt;&gt;0),0)),IF(OR(AND(D1217=0,B1217=0,B1218&lt;&gt;0),AND(D1217*D1216&lt;0,B1217&lt;&gt;0)),IF(D1217=0,C1217,C1217*(1-ABS(D1217)/(ABS(D1217)+ABS(D1216)))+C1216*(1-ABS(D1216)/(ABS(D1217)+ABS(D1216)))),"")))</f>
        <v>#NAME?</v>
      </c>
    </row>
    <row r="1218" spans="2:5" x14ac:dyDescent="0.25">
      <c r="B1218" t="e">
        <f t="shared" ca="1" si="39"/>
        <v>#NAME?</v>
      </c>
      <c r="C1218">
        <v>1175</v>
      </c>
      <c r="D1218" t="e">
        <f t="shared" ca="1" si="38"/>
        <v>#NAME?</v>
      </c>
      <c r="E1218" s="115" t="e">
        <f t="array" aca="1" ref="E1218" ca="1">IF(OR(C1217=0,AND(B1219=0,C1219=0)),"",IFERROR(INDEX($F$27:$F$36,MATCH(C1218,($F$27:$F$36)*($D$27:$D$36&lt;&gt;0),0)),IF(OR(AND(D1218=0,B1218=0,B1219&lt;&gt;0),AND(D1218*D1217&lt;0,B1218&lt;&gt;0)),IF(D1218=0,C1218,C1218*(1-ABS(D1218)/(ABS(D1218)+ABS(D1217)))+C1217*(1-ABS(D1217)/(ABS(D1218)+ABS(D1217)))),"")))</f>
        <v>#NAME?</v>
      </c>
    </row>
    <row r="1219" spans="2:5" x14ac:dyDescent="0.25">
      <c r="B1219" t="e">
        <f t="shared" ca="1" si="39"/>
        <v>#NAME?</v>
      </c>
      <c r="C1219">
        <v>1176</v>
      </c>
      <c r="D1219" t="e">
        <f t="shared" ca="1" si="38"/>
        <v>#NAME?</v>
      </c>
      <c r="E1219" s="115" t="e">
        <f t="array" aca="1" ref="E1219" ca="1">IF(OR(C1218=0,AND(B1220=0,C1220=0)),"",IFERROR(INDEX($F$27:$F$36,MATCH(C1219,($F$27:$F$36)*($D$27:$D$36&lt;&gt;0),0)),IF(OR(AND(D1219=0,B1219=0,B1220&lt;&gt;0),AND(D1219*D1218&lt;0,B1219&lt;&gt;0)),IF(D1219=0,C1219,C1219*(1-ABS(D1219)/(ABS(D1219)+ABS(D1218)))+C1218*(1-ABS(D1218)/(ABS(D1219)+ABS(D1218)))),"")))</f>
        <v>#NAME?</v>
      </c>
    </row>
    <row r="1220" spans="2:5" x14ac:dyDescent="0.25">
      <c r="B1220" t="e">
        <f t="shared" ca="1" si="39"/>
        <v>#NAME?</v>
      </c>
      <c r="C1220">
        <v>1177</v>
      </c>
      <c r="D1220" t="e">
        <f t="shared" ca="1" si="38"/>
        <v>#NAME?</v>
      </c>
      <c r="E1220" s="115" t="e">
        <f t="array" aca="1" ref="E1220" ca="1">IF(OR(C1219=0,AND(B1221=0,C1221=0)),"",IFERROR(INDEX($F$27:$F$36,MATCH(C1220,($F$27:$F$36)*($D$27:$D$36&lt;&gt;0),0)),IF(OR(AND(D1220=0,B1220=0,B1221&lt;&gt;0),AND(D1220*D1219&lt;0,B1220&lt;&gt;0)),IF(D1220=0,C1220,C1220*(1-ABS(D1220)/(ABS(D1220)+ABS(D1219)))+C1219*(1-ABS(D1219)/(ABS(D1220)+ABS(D1219)))),"")))</f>
        <v>#NAME?</v>
      </c>
    </row>
    <row r="1221" spans="2:5" x14ac:dyDescent="0.25">
      <c r="B1221" t="e">
        <f t="shared" ca="1" si="39"/>
        <v>#NAME?</v>
      </c>
      <c r="C1221">
        <v>1178</v>
      </c>
      <c r="D1221" t="e">
        <f t="shared" ca="1" si="38"/>
        <v>#NAME?</v>
      </c>
      <c r="E1221" s="115" t="e">
        <f t="array" aca="1" ref="E1221" ca="1">IF(OR(C1220=0,AND(B1222=0,C1222=0)),"",IFERROR(INDEX($F$27:$F$36,MATCH(C1221,($F$27:$F$36)*($D$27:$D$36&lt;&gt;0),0)),IF(OR(AND(D1221=0,B1221=0,B1222&lt;&gt;0),AND(D1221*D1220&lt;0,B1221&lt;&gt;0)),IF(D1221=0,C1221,C1221*(1-ABS(D1221)/(ABS(D1221)+ABS(D1220)))+C1220*(1-ABS(D1220)/(ABS(D1221)+ABS(D1220)))),"")))</f>
        <v>#NAME?</v>
      </c>
    </row>
    <row r="1222" spans="2:5" x14ac:dyDescent="0.25">
      <c r="B1222" t="e">
        <f t="shared" ca="1" si="39"/>
        <v>#NAME?</v>
      </c>
      <c r="C1222">
        <v>1179</v>
      </c>
      <c r="D1222" t="e">
        <f t="shared" ca="1" si="38"/>
        <v>#NAME?</v>
      </c>
      <c r="E1222" s="115" t="e">
        <f t="array" aca="1" ref="E1222" ca="1">IF(OR(C1221=0,AND(B1223=0,C1223=0)),"",IFERROR(INDEX($F$27:$F$36,MATCH(C1222,($F$27:$F$36)*($D$27:$D$36&lt;&gt;0),0)),IF(OR(AND(D1222=0,B1222=0,B1223&lt;&gt;0),AND(D1222*D1221&lt;0,B1222&lt;&gt;0)),IF(D1222=0,C1222,C1222*(1-ABS(D1222)/(ABS(D1222)+ABS(D1221)))+C1221*(1-ABS(D1221)/(ABS(D1222)+ABS(D1221)))),"")))</f>
        <v>#NAME?</v>
      </c>
    </row>
    <row r="1223" spans="2:5" x14ac:dyDescent="0.25">
      <c r="B1223" t="e">
        <f t="shared" ca="1" si="39"/>
        <v>#NAME?</v>
      </c>
      <c r="C1223">
        <v>1180</v>
      </c>
      <c r="D1223" t="e">
        <f t="shared" ca="1" si="38"/>
        <v>#NAME?</v>
      </c>
      <c r="E1223" s="115" t="e">
        <f t="array" aca="1" ref="E1223" ca="1">IF(OR(C1222=0,AND(B1224=0,C1224=0)),"",IFERROR(INDEX($F$27:$F$36,MATCH(C1223,($F$27:$F$36)*($D$27:$D$36&lt;&gt;0),0)),IF(OR(AND(D1223=0,B1223=0,B1224&lt;&gt;0),AND(D1223*D1222&lt;0,B1223&lt;&gt;0)),IF(D1223=0,C1223,C1223*(1-ABS(D1223)/(ABS(D1223)+ABS(D1222)))+C1222*(1-ABS(D1222)/(ABS(D1223)+ABS(D1222)))),"")))</f>
        <v>#NAME?</v>
      </c>
    </row>
    <row r="1224" spans="2:5" x14ac:dyDescent="0.25">
      <c r="B1224" t="e">
        <f t="shared" ca="1" si="39"/>
        <v>#NAME?</v>
      </c>
      <c r="C1224">
        <v>1181</v>
      </c>
      <c r="D1224" t="e">
        <f t="shared" ca="1" si="38"/>
        <v>#NAME?</v>
      </c>
      <c r="E1224" s="115" t="e">
        <f t="array" aca="1" ref="E1224" ca="1">IF(OR(C1223=0,AND(B1225=0,C1225=0)),"",IFERROR(INDEX($F$27:$F$36,MATCH(C1224,($F$27:$F$36)*($D$27:$D$36&lt;&gt;0),0)),IF(OR(AND(D1224=0,B1224=0,B1225&lt;&gt;0),AND(D1224*D1223&lt;0,B1224&lt;&gt;0)),IF(D1224=0,C1224,C1224*(1-ABS(D1224)/(ABS(D1224)+ABS(D1223)))+C1223*(1-ABS(D1223)/(ABS(D1224)+ABS(D1223)))),"")))</f>
        <v>#NAME?</v>
      </c>
    </row>
    <row r="1225" spans="2:5" x14ac:dyDescent="0.25">
      <c r="B1225" t="e">
        <f t="shared" ca="1" si="39"/>
        <v>#NAME?</v>
      </c>
      <c r="C1225">
        <v>1182</v>
      </c>
      <c r="D1225" t="e">
        <f t="shared" ca="1" si="38"/>
        <v>#NAME?</v>
      </c>
      <c r="E1225" s="115" t="e">
        <f t="array" aca="1" ref="E1225" ca="1">IF(OR(C1224=0,AND(B1226=0,C1226=0)),"",IFERROR(INDEX($F$27:$F$36,MATCH(C1225,($F$27:$F$36)*($D$27:$D$36&lt;&gt;0),0)),IF(OR(AND(D1225=0,B1225=0,B1226&lt;&gt;0),AND(D1225*D1224&lt;0,B1225&lt;&gt;0)),IF(D1225=0,C1225,C1225*(1-ABS(D1225)/(ABS(D1225)+ABS(D1224)))+C1224*(1-ABS(D1224)/(ABS(D1225)+ABS(D1224)))),"")))</f>
        <v>#NAME?</v>
      </c>
    </row>
    <row r="1226" spans="2:5" x14ac:dyDescent="0.25">
      <c r="B1226" t="e">
        <f t="shared" ca="1" si="39"/>
        <v>#NAME?</v>
      </c>
      <c r="C1226">
        <v>1183</v>
      </c>
      <c r="D1226" t="e">
        <f t="shared" ca="1" si="38"/>
        <v>#NAME?</v>
      </c>
      <c r="E1226" s="115" t="e">
        <f t="array" aca="1" ref="E1226" ca="1">IF(OR(C1225=0,AND(B1227=0,C1227=0)),"",IFERROR(INDEX($F$27:$F$36,MATCH(C1226,($F$27:$F$36)*($D$27:$D$36&lt;&gt;0),0)),IF(OR(AND(D1226=0,B1226=0,B1227&lt;&gt;0),AND(D1226*D1225&lt;0,B1226&lt;&gt;0)),IF(D1226=0,C1226,C1226*(1-ABS(D1226)/(ABS(D1226)+ABS(D1225)))+C1225*(1-ABS(D1225)/(ABS(D1226)+ABS(D1225)))),"")))</f>
        <v>#NAME?</v>
      </c>
    </row>
    <row r="1227" spans="2:5" x14ac:dyDescent="0.25">
      <c r="B1227" t="e">
        <f t="shared" ca="1" si="39"/>
        <v>#NAME?</v>
      </c>
      <c r="C1227">
        <v>1184</v>
      </c>
      <c r="D1227" t="e">
        <f t="shared" ca="1" si="38"/>
        <v>#NAME?</v>
      </c>
      <c r="E1227" s="115" t="e">
        <f t="array" aca="1" ref="E1227" ca="1">IF(OR(C1226=0,AND(B1228=0,C1228=0)),"",IFERROR(INDEX($F$27:$F$36,MATCH(C1227,($F$27:$F$36)*($D$27:$D$36&lt;&gt;0),0)),IF(OR(AND(D1227=0,B1227=0,B1228&lt;&gt;0),AND(D1227*D1226&lt;0,B1227&lt;&gt;0)),IF(D1227=0,C1227,C1227*(1-ABS(D1227)/(ABS(D1227)+ABS(D1226)))+C1226*(1-ABS(D1226)/(ABS(D1227)+ABS(D1226)))),"")))</f>
        <v>#NAME?</v>
      </c>
    </row>
    <row r="1228" spans="2:5" x14ac:dyDescent="0.25">
      <c r="B1228" t="e">
        <f t="shared" ca="1" si="39"/>
        <v>#NAME?</v>
      </c>
      <c r="C1228">
        <v>1185</v>
      </c>
      <c r="D1228" t="e">
        <f t="shared" ca="1" si="38"/>
        <v>#NAME?</v>
      </c>
      <c r="E1228" s="115" t="e">
        <f t="array" aca="1" ref="E1228" ca="1">IF(OR(C1227=0,AND(B1229=0,C1229=0)),"",IFERROR(INDEX($F$27:$F$36,MATCH(C1228,($F$27:$F$36)*($D$27:$D$36&lt;&gt;0),0)),IF(OR(AND(D1228=0,B1228=0,B1229&lt;&gt;0),AND(D1228*D1227&lt;0,B1228&lt;&gt;0)),IF(D1228=0,C1228,C1228*(1-ABS(D1228)/(ABS(D1228)+ABS(D1227)))+C1227*(1-ABS(D1227)/(ABS(D1228)+ABS(D1227)))),"")))</f>
        <v>#NAME?</v>
      </c>
    </row>
    <row r="1229" spans="2:5" x14ac:dyDescent="0.25">
      <c r="B1229" t="e">
        <f t="shared" ca="1" si="39"/>
        <v>#NAME?</v>
      </c>
      <c r="C1229">
        <v>1186</v>
      </c>
      <c r="D1229" t="e">
        <f t="shared" ca="1" si="38"/>
        <v>#NAME?</v>
      </c>
      <c r="E1229" s="115" t="e">
        <f t="array" aca="1" ref="E1229" ca="1">IF(OR(C1228=0,AND(B1230=0,C1230=0)),"",IFERROR(INDEX($F$27:$F$36,MATCH(C1229,($F$27:$F$36)*($D$27:$D$36&lt;&gt;0),0)),IF(OR(AND(D1229=0,B1229=0,B1230&lt;&gt;0),AND(D1229*D1228&lt;0,B1229&lt;&gt;0)),IF(D1229=0,C1229,C1229*(1-ABS(D1229)/(ABS(D1229)+ABS(D1228)))+C1228*(1-ABS(D1228)/(ABS(D1229)+ABS(D1228)))),"")))</f>
        <v>#NAME?</v>
      </c>
    </row>
    <row r="1230" spans="2:5" x14ac:dyDescent="0.25">
      <c r="B1230" t="e">
        <f t="shared" ca="1" si="39"/>
        <v>#NAME?</v>
      </c>
      <c r="C1230">
        <v>1187</v>
      </c>
      <c r="D1230" t="e">
        <f t="shared" ca="1" si="38"/>
        <v>#NAME?</v>
      </c>
      <c r="E1230" s="115" t="e">
        <f t="array" aca="1" ref="E1230" ca="1">IF(OR(C1229=0,AND(B1231=0,C1231=0)),"",IFERROR(INDEX($F$27:$F$36,MATCH(C1230,($F$27:$F$36)*($D$27:$D$36&lt;&gt;0),0)),IF(OR(AND(D1230=0,B1230=0,B1231&lt;&gt;0),AND(D1230*D1229&lt;0,B1230&lt;&gt;0)),IF(D1230=0,C1230,C1230*(1-ABS(D1230)/(ABS(D1230)+ABS(D1229)))+C1229*(1-ABS(D1229)/(ABS(D1230)+ABS(D1229)))),"")))</f>
        <v>#NAME?</v>
      </c>
    </row>
    <row r="1231" spans="2:5" x14ac:dyDescent="0.25">
      <c r="B1231" t="e">
        <f t="shared" ca="1" si="39"/>
        <v>#NAME?</v>
      </c>
      <c r="C1231">
        <v>1188</v>
      </c>
      <c r="D1231" t="e">
        <f t="shared" ca="1" si="38"/>
        <v>#NAME?</v>
      </c>
      <c r="E1231" s="115" t="e">
        <f t="array" aca="1" ref="E1231" ca="1">IF(OR(C1230=0,AND(B1232=0,C1232=0)),"",IFERROR(INDEX($F$27:$F$36,MATCH(C1231,($F$27:$F$36)*($D$27:$D$36&lt;&gt;0),0)),IF(OR(AND(D1231=0,B1231=0,B1232&lt;&gt;0),AND(D1231*D1230&lt;0,B1231&lt;&gt;0)),IF(D1231=0,C1231,C1231*(1-ABS(D1231)/(ABS(D1231)+ABS(D1230)))+C1230*(1-ABS(D1230)/(ABS(D1231)+ABS(D1230)))),"")))</f>
        <v>#NAME?</v>
      </c>
    </row>
    <row r="1232" spans="2:5" x14ac:dyDescent="0.25">
      <c r="B1232" t="e">
        <f t="shared" ca="1" si="39"/>
        <v>#NAME?</v>
      </c>
      <c r="C1232">
        <v>1189</v>
      </c>
      <c r="D1232" t="e">
        <f t="shared" ca="1" si="38"/>
        <v>#NAME?</v>
      </c>
      <c r="E1232" s="115" t="e">
        <f t="array" aca="1" ref="E1232" ca="1">IF(OR(C1231=0,AND(B1233=0,C1233=0)),"",IFERROR(INDEX($F$27:$F$36,MATCH(C1232,($F$27:$F$36)*($D$27:$D$36&lt;&gt;0),0)),IF(OR(AND(D1232=0,B1232=0,B1233&lt;&gt;0),AND(D1232*D1231&lt;0,B1232&lt;&gt;0)),IF(D1232=0,C1232,C1232*(1-ABS(D1232)/(ABS(D1232)+ABS(D1231)))+C1231*(1-ABS(D1231)/(ABS(D1232)+ABS(D1231)))),"")))</f>
        <v>#NAME?</v>
      </c>
    </row>
    <row r="1233" spans="2:5" x14ac:dyDescent="0.25">
      <c r="B1233" t="e">
        <f t="shared" ca="1" si="39"/>
        <v>#NAME?</v>
      </c>
      <c r="C1233">
        <v>1190</v>
      </c>
      <c r="D1233" t="e">
        <f t="shared" ca="1" si="38"/>
        <v>#NAME?</v>
      </c>
      <c r="E1233" s="115" t="e">
        <f t="array" aca="1" ref="E1233" ca="1">IF(OR(C1232=0,AND(B1234=0,C1234=0)),"",IFERROR(INDEX($F$27:$F$36,MATCH(C1233,($F$27:$F$36)*($D$27:$D$36&lt;&gt;0),0)),IF(OR(AND(D1233=0,B1233=0,B1234&lt;&gt;0),AND(D1233*D1232&lt;0,B1233&lt;&gt;0)),IF(D1233=0,C1233,C1233*(1-ABS(D1233)/(ABS(D1233)+ABS(D1232)))+C1232*(1-ABS(D1232)/(ABS(D1233)+ABS(D1232)))),"")))</f>
        <v>#NAME?</v>
      </c>
    </row>
    <row r="1234" spans="2:5" x14ac:dyDescent="0.25">
      <c r="B1234" t="e">
        <f t="shared" ca="1" si="39"/>
        <v>#NAME?</v>
      </c>
      <c r="C1234">
        <v>1191</v>
      </c>
      <c r="D1234" t="e">
        <f t="shared" ca="1" si="38"/>
        <v>#NAME?</v>
      </c>
      <c r="E1234" s="115" t="e">
        <f t="array" aca="1" ref="E1234" ca="1">IF(OR(C1233=0,AND(B1235=0,C1235=0)),"",IFERROR(INDEX($F$27:$F$36,MATCH(C1234,($F$27:$F$36)*($D$27:$D$36&lt;&gt;0),0)),IF(OR(AND(D1234=0,B1234=0,B1235&lt;&gt;0),AND(D1234*D1233&lt;0,B1234&lt;&gt;0)),IF(D1234=0,C1234,C1234*(1-ABS(D1234)/(ABS(D1234)+ABS(D1233)))+C1233*(1-ABS(D1233)/(ABS(D1234)+ABS(D1233)))),"")))</f>
        <v>#NAME?</v>
      </c>
    </row>
    <row r="1235" spans="2:5" x14ac:dyDescent="0.25">
      <c r="B1235" t="e">
        <f t="shared" ca="1" si="39"/>
        <v>#NAME?</v>
      </c>
      <c r="C1235">
        <v>1192</v>
      </c>
      <c r="D1235" t="e">
        <f t="shared" ca="1" si="38"/>
        <v>#NAME?</v>
      </c>
      <c r="E1235" s="115" t="e">
        <f t="array" aca="1" ref="E1235" ca="1">IF(OR(C1234=0,AND(B1236=0,C1236=0)),"",IFERROR(INDEX($F$27:$F$36,MATCH(C1235,($F$27:$F$36)*($D$27:$D$36&lt;&gt;0),0)),IF(OR(AND(D1235=0,B1235=0,B1236&lt;&gt;0),AND(D1235*D1234&lt;0,B1235&lt;&gt;0)),IF(D1235=0,C1235,C1235*(1-ABS(D1235)/(ABS(D1235)+ABS(D1234)))+C1234*(1-ABS(D1234)/(ABS(D1235)+ABS(D1234)))),"")))</f>
        <v>#NAME?</v>
      </c>
    </row>
    <row r="1236" spans="2:5" x14ac:dyDescent="0.25">
      <c r="B1236" t="e">
        <f t="shared" ca="1" si="39"/>
        <v>#NAME?</v>
      </c>
      <c r="C1236">
        <v>1193</v>
      </c>
      <c r="D1236" t="e">
        <f t="shared" ca="1" si="38"/>
        <v>#NAME?</v>
      </c>
      <c r="E1236" s="115" t="e">
        <f t="array" aca="1" ref="E1236" ca="1">IF(OR(C1235=0,AND(B1237=0,C1237=0)),"",IFERROR(INDEX($F$27:$F$36,MATCH(C1236,($F$27:$F$36)*($D$27:$D$36&lt;&gt;0),0)),IF(OR(AND(D1236=0,B1236=0,B1237&lt;&gt;0),AND(D1236*D1235&lt;0,B1236&lt;&gt;0)),IF(D1236=0,C1236,C1236*(1-ABS(D1236)/(ABS(D1236)+ABS(D1235)))+C1235*(1-ABS(D1235)/(ABS(D1236)+ABS(D1235)))),"")))</f>
        <v>#NAME?</v>
      </c>
    </row>
    <row r="1237" spans="2:5" x14ac:dyDescent="0.25">
      <c r="B1237" t="e">
        <f t="shared" ca="1" si="39"/>
        <v>#NAME?</v>
      </c>
      <c r="C1237">
        <v>1194</v>
      </c>
      <c r="D1237" t="e">
        <f t="shared" ca="1" si="38"/>
        <v>#NAME?</v>
      </c>
      <c r="E1237" s="115" t="e">
        <f t="array" aca="1" ref="E1237" ca="1">IF(OR(C1236=0,AND(B1238=0,C1238=0)),"",IFERROR(INDEX($F$27:$F$36,MATCH(C1237,($F$27:$F$36)*($D$27:$D$36&lt;&gt;0),0)),IF(OR(AND(D1237=0,B1237=0,B1238&lt;&gt;0),AND(D1237*D1236&lt;0,B1237&lt;&gt;0)),IF(D1237=0,C1237,C1237*(1-ABS(D1237)/(ABS(D1237)+ABS(D1236)))+C1236*(1-ABS(D1236)/(ABS(D1237)+ABS(D1236)))),"")))</f>
        <v>#NAME?</v>
      </c>
    </row>
    <row r="1238" spans="2:5" x14ac:dyDescent="0.25">
      <c r="B1238" t="e">
        <f t="shared" ca="1" si="39"/>
        <v>#NAME?</v>
      </c>
      <c r="C1238">
        <v>1195</v>
      </c>
      <c r="D1238" t="e">
        <f t="shared" ca="1" si="38"/>
        <v>#NAME?</v>
      </c>
      <c r="E1238" s="115" t="e">
        <f t="array" aca="1" ref="E1238" ca="1">IF(OR(C1237=0,AND(B1239=0,C1239=0)),"",IFERROR(INDEX($F$27:$F$36,MATCH(C1238,($F$27:$F$36)*($D$27:$D$36&lt;&gt;0),0)),IF(OR(AND(D1238=0,B1238=0,B1239&lt;&gt;0),AND(D1238*D1237&lt;0,B1238&lt;&gt;0)),IF(D1238=0,C1238,C1238*(1-ABS(D1238)/(ABS(D1238)+ABS(D1237)))+C1237*(1-ABS(D1237)/(ABS(D1238)+ABS(D1237)))),"")))</f>
        <v>#NAME?</v>
      </c>
    </row>
    <row r="1239" spans="2:5" x14ac:dyDescent="0.25">
      <c r="B1239" t="e">
        <f t="shared" ca="1" si="39"/>
        <v>#NAME?</v>
      </c>
      <c r="C1239">
        <v>1196</v>
      </c>
      <c r="D1239" t="e">
        <f t="shared" ca="1" si="38"/>
        <v>#NAME?</v>
      </c>
      <c r="E1239" s="115" t="e">
        <f t="array" aca="1" ref="E1239" ca="1">IF(OR(C1238=0,AND(B1240=0,C1240=0)),"",IFERROR(INDEX($F$27:$F$36,MATCH(C1239,($F$27:$F$36)*($D$27:$D$36&lt;&gt;0),0)),IF(OR(AND(D1239=0,B1239=0,B1240&lt;&gt;0),AND(D1239*D1238&lt;0,B1239&lt;&gt;0)),IF(D1239=0,C1239,C1239*(1-ABS(D1239)/(ABS(D1239)+ABS(D1238)))+C1238*(1-ABS(D1238)/(ABS(D1239)+ABS(D1238)))),"")))</f>
        <v>#NAME?</v>
      </c>
    </row>
    <row r="1240" spans="2:5" x14ac:dyDescent="0.25">
      <c r="B1240" t="e">
        <f t="shared" ca="1" si="39"/>
        <v>#NAME?</v>
      </c>
      <c r="C1240">
        <v>1197</v>
      </c>
      <c r="D1240" t="e">
        <f t="shared" ca="1" si="38"/>
        <v>#NAME?</v>
      </c>
      <c r="E1240" s="115" t="e">
        <f t="array" aca="1" ref="E1240" ca="1">IF(OR(C1239=0,AND(B1241=0,C1241=0)),"",IFERROR(INDEX($F$27:$F$36,MATCH(C1240,($F$27:$F$36)*($D$27:$D$36&lt;&gt;0),0)),IF(OR(AND(D1240=0,B1240=0,B1241&lt;&gt;0),AND(D1240*D1239&lt;0,B1240&lt;&gt;0)),IF(D1240=0,C1240,C1240*(1-ABS(D1240)/(ABS(D1240)+ABS(D1239)))+C1239*(1-ABS(D1239)/(ABS(D1240)+ABS(D1239)))),"")))</f>
        <v>#NAME?</v>
      </c>
    </row>
    <row r="1241" spans="2:5" x14ac:dyDescent="0.25">
      <c r="B1241" t="e">
        <f t="shared" ca="1" si="39"/>
        <v>#NAME?</v>
      </c>
      <c r="C1241">
        <v>1198</v>
      </c>
      <c r="D1241" t="e">
        <f t="shared" ca="1" si="38"/>
        <v>#NAME?</v>
      </c>
      <c r="E1241" s="115" t="e">
        <f t="array" aca="1" ref="E1241" ca="1">IF(OR(C1240=0,AND(B1242=0,C1242=0)),"",IFERROR(INDEX($F$27:$F$36,MATCH(C1241,($F$27:$F$36)*($D$27:$D$36&lt;&gt;0),0)),IF(OR(AND(D1241=0,B1241=0,B1242&lt;&gt;0),AND(D1241*D1240&lt;0,B1241&lt;&gt;0)),IF(D1241=0,C1241,C1241*(1-ABS(D1241)/(ABS(D1241)+ABS(D1240)))+C1240*(1-ABS(D1240)/(ABS(D1241)+ABS(D1240)))),"")))</f>
        <v>#NAME?</v>
      </c>
    </row>
    <row r="1242" spans="2:5" x14ac:dyDescent="0.25">
      <c r="B1242" t="e">
        <f t="shared" ca="1" si="39"/>
        <v>#NAME?</v>
      </c>
      <c r="C1242">
        <v>1199</v>
      </c>
      <c r="D1242" t="e">
        <f t="shared" ca="1" si="38"/>
        <v>#NAME?</v>
      </c>
      <c r="E1242" s="115" t="e">
        <f t="array" aca="1" ref="E1242" ca="1">IF(OR(C1241=0,AND(B1243=0,C1243=0)),"",IFERROR(INDEX($F$27:$F$36,MATCH(C1242,($F$27:$F$36)*($D$27:$D$36&lt;&gt;0),0)),IF(OR(AND(D1242=0,B1242=0,B1243&lt;&gt;0),AND(D1242*D1241&lt;0,B1242&lt;&gt;0)),IF(D1242=0,C1242,C1242*(1-ABS(D1242)/(ABS(D1242)+ABS(D1241)))+C1241*(1-ABS(D1241)/(ABS(D1242)+ABS(D1241)))),"")))</f>
        <v>#NAME?</v>
      </c>
    </row>
    <row r="1243" spans="2:5" x14ac:dyDescent="0.25">
      <c r="B1243" t="e">
        <f t="shared" ca="1" si="39"/>
        <v>#NAME?</v>
      </c>
      <c r="C1243">
        <v>1200</v>
      </c>
      <c r="D1243" t="e">
        <f t="shared" ca="1" si="38"/>
        <v>#NAME?</v>
      </c>
      <c r="E1243" s="115" t="e">
        <f t="array" aca="1" ref="E1243" ca="1">IF(OR(C1242=0,AND(B1244=0,C1244=0)),"",IFERROR(INDEX($F$27:$F$36,MATCH(C1243,($F$27:$F$36)*($D$27:$D$36&lt;&gt;0),0)),IF(OR(AND(D1243=0,B1243=0,B1244&lt;&gt;0),AND(D1243*D1242&lt;0,B1243&lt;&gt;0)),IF(D1243=0,C1243,C1243*(1-ABS(D1243)/(ABS(D1243)+ABS(D1242)))+C1242*(1-ABS(D1242)/(ABS(D1243)+ABS(D1242)))),"")))</f>
        <v>#NAME?</v>
      </c>
    </row>
    <row r="1244" spans="2:5" x14ac:dyDescent="0.25">
      <c r="B1244" t="e">
        <f t="shared" ca="1" si="39"/>
        <v>#NAME?</v>
      </c>
      <c r="C1244">
        <v>1201</v>
      </c>
      <c r="D1244" t="e">
        <f t="shared" ca="1" si="38"/>
        <v>#NAME?</v>
      </c>
      <c r="E1244" s="115" t="e">
        <f t="array" aca="1" ref="E1244" ca="1">IF(OR(C1243=0,AND(B1245=0,C1245=0)),"",IFERROR(INDEX($F$27:$F$36,MATCH(C1244,($F$27:$F$36)*($D$27:$D$36&lt;&gt;0),0)),IF(OR(AND(D1244=0,B1244=0,B1245&lt;&gt;0),AND(D1244*D1243&lt;0,B1244&lt;&gt;0)),IF(D1244=0,C1244,C1244*(1-ABS(D1244)/(ABS(D1244)+ABS(D1243)))+C1243*(1-ABS(D1243)/(ABS(D1244)+ABS(D1243)))),"")))</f>
        <v>#NAME?</v>
      </c>
    </row>
    <row r="1245" spans="2:5" x14ac:dyDescent="0.25">
      <c r="B1245" t="e">
        <f t="shared" ca="1" si="39"/>
        <v>#NAME?</v>
      </c>
      <c r="C1245">
        <v>1202</v>
      </c>
      <c r="D1245" t="e">
        <f t="shared" ca="1" si="38"/>
        <v>#NAME?</v>
      </c>
      <c r="E1245" s="115" t="e">
        <f t="array" aca="1" ref="E1245" ca="1">IF(OR(C1244=0,AND(B1246=0,C1246=0)),"",IFERROR(INDEX($F$27:$F$36,MATCH(C1245,($F$27:$F$36)*($D$27:$D$36&lt;&gt;0),0)),IF(OR(AND(D1245=0,B1245=0,B1246&lt;&gt;0),AND(D1245*D1244&lt;0,B1245&lt;&gt;0)),IF(D1245=0,C1245,C1245*(1-ABS(D1245)/(ABS(D1245)+ABS(D1244)))+C1244*(1-ABS(D1244)/(ABS(D1245)+ABS(D1244)))),"")))</f>
        <v>#NAME?</v>
      </c>
    </row>
    <row r="1246" spans="2:5" x14ac:dyDescent="0.25">
      <c r="B1246" t="e">
        <f t="shared" ca="1" si="39"/>
        <v>#NAME?</v>
      </c>
      <c r="C1246">
        <v>1203</v>
      </c>
      <c r="D1246" t="e">
        <f t="shared" ca="1" si="38"/>
        <v>#NAME?</v>
      </c>
      <c r="E1246" s="115" t="e">
        <f t="array" aca="1" ref="E1246" ca="1">IF(OR(C1245=0,AND(B1247=0,C1247=0)),"",IFERROR(INDEX($F$27:$F$36,MATCH(C1246,($F$27:$F$36)*($D$27:$D$36&lt;&gt;0),0)),IF(OR(AND(D1246=0,B1246=0,B1247&lt;&gt;0),AND(D1246*D1245&lt;0,B1246&lt;&gt;0)),IF(D1246=0,C1246,C1246*(1-ABS(D1246)/(ABS(D1246)+ABS(D1245)))+C1245*(1-ABS(D1245)/(ABS(D1246)+ABS(D1245)))),"")))</f>
        <v>#NAME?</v>
      </c>
    </row>
    <row r="1247" spans="2:5" x14ac:dyDescent="0.25">
      <c r="B1247" t="e">
        <f t="shared" ca="1" si="39"/>
        <v>#NAME?</v>
      </c>
      <c r="C1247">
        <v>1204</v>
      </c>
      <c r="D1247" t="e">
        <f t="shared" ca="1" si="38"/>
        <v>#NAME?</v>
      </c>
      <c r="E1247" s="115" t="e">
        <f t="array" aca="1" ref="E1247" ca="1">IF(OR(C1246=0,AND(B1248=0,C1248=0)),"",IFERROR(INDEX($F$27:$F$36,MATCH(C1247,($F$27:$F$36)*($D$27:$D$36&lt;&gt;0),0)),IF(OR(AND(D1247=0,B1247=0,B1248&lt;&gt;0),AND(D1247*D1246&lt;0,B1247&lt;&gt;0)),IF(D1247=0,C1247,C1247*(1-ABS(D1247)/(ABS(D1247)+ABS(D1246)))+C1246*(1-ABS(D1246)/(ABS(D1247)+ABS(D1246)))),"")))</f>
        <v>#NAME?</v>
      </c>
    </row>
    <row r="1248" spans="2:5" x14ac:dyDescent="0.25">
      <c r="B1248" t="e">
        <f t="shared" ca="1" si="39"/>
        <v>#NAME?</v>
      </c>
      <c r="C1248">
        <v>1205</v>
      </c>
      <c r="D1248" t="e">
        <f t="shared" ca="1" si="38"/>
        <v>#NAME?</v>
      </c>
      <c r="E1248" s="115" t="e">
        <f t="array" aca="1" ref="E1248" ca="1">IF(OR(C1247=0,AND(B1249=0,C1249=0)),"",IFERROR(INDEX($F$27:$F$36,MATCH(C1248,($F$27:$F$36)*($D$27:$D$36&lt;&gt;0),0)),IF(OR(AND(D1248=0,B1248=0,B1249&lt;&gt;0),AND(D1248*D1247&lt;0,B1248&lt;&gt;0)),IF(D1248=0,C1248,C1248*(1-ABS(D1248)/(ABS(D1248)+ABS(D1247)))+C1247*(1-ABS(D1247)/(ABS(D1248)+ABS(D1247)))),"")))</f>
        <v>#NAME?</v>
      </c>
    </row>
    <row r="1249" spans="2:5" x14ac:dyDescent="0.25">
      <c r="B1249" t="e">
        <f t="shared" ca="1" si="39"/>
        <v>#NAME?</v>
      </c>
      <c r="C1249">
        <v>1206</v>
      </c>
      <c r="D1249" t="e">
        <f t="shared" ca="1" si="38"/>
        <v>#NAME?</v>
      </c>
      <c r="E1249" s="115" t="e">
        <f t="array" aca="1" ref="E1249" ca="1">IF(OR(C1248=0,AND(B1250=0,C1250=0)),"",IFERROR(INDEX($F$27:$F$36,MATCH(C1249,($F$27:$F$36)*($D$27:$D$36&lt;&gt;0),0)),IF(OR(AND(D1249=0,B1249=0,B1250&lt;&gt;0),AND(D1249*D1248&lt;0,B1249&lt;&gt;0)),IF(D1249=0,C1249,C1249*(1-ABS(D1249)/(ABS(D1249)+ABS(D1248)))+C1248*(1-ABS(D1248)/(ABS(D1249)+ABS(D1248)))),"")))</f>
        <v>#NAME?</v>
      </c>
    </row>
    <row r="1250" spans="2:5" x14ac:dyDescent="0.25">
      <c r="B1250" t="e">
        <f t="shared" ca="1" si="39"/>
        <v>#NAME?</v>
      </c>
      <c r="C1250">
        <v>1207</v>
      </c>
      <c r="D1250" t="e">
        <f t="shared" ca="1" si="38"/>
        <v>#NAME?</v>
      </c>
      <c r="E1250" s="115" t="e">
        <f t="array" aca="1" ref="E1250" ca="1">IF(OR(C1249=0,AND(B1251=0,C1251=0)),"",IFERROR(INDEX($F$27:$F$36,MATCH(C1250,($F$27:$F$36)*($D$27:$D$36&lt;&gt;0),0)),IF(OR(AND(D1250=0,B1250=0,B1251&lt;&gt;0),AND(D1250*D1249&lt;0,B1250&lt;&gt;0)),IF(D1250=0,C1250,C1250*(1-ABS(D1250)/(ABS(D1250)+ABS(D1249)))+C1249*(1-ABS(D1249)/(ABS(D1250)+ABS(D1249)))),"")))</f>
        <v>#NAME?</v>
      </c>
    </row>
    <row r="1251" spans="2:5" x14ac:dyDescent="0.25">
      <c r="B1251" t="e">
        <f t="shared" ca="1" si="39"/>
        <v>#NAME?</v>
      </c>
      <c r="C1251">
        <v>1208</v>
      </c>
      <c r="D1251" t="e">
        <f t="shared" ca="1" si="38"/>
        <v>#NAME?</v>
      </c>
      <c r="E1251" s="115" t="e">
        <f t="array" aca="1" ref="E1251" ca="1">IF(OR(C1250=0,AND(B1252=0,C1252=0)),"",IFERROR(INDEX($F$27:$F$36,MATCH(C1251,($F$27:$F$36)*($D$27:$D$36&lt;&gt;0),0)),IF(OR(AND(D1251=0,B1251=0,B1252&lt;&gt;0),AND(D1251*D1250&lt;0,B1251&lt;&gt;0)),IF(D1251=0,C1251,C1251*(1-ABS(D1251)/(ABS(D1251)+ABS(D1250)))+C1250*(1-ABS(D1250)/(ABS(D1251)+ABS(D1250)))),"")))</f>
        <v>#NAME?</v>
      </c>
    </row>
    <row r="1252" spans="2:5" x14ac:dyDescent="0.25">
      <c r="B1252" t="e">
        <f t="shared" ca="1" si="39"/>
        <v>#NAME?</v>
      </c>
      <c r="C1252">
        <v>1209</v>
      </c>
      <c r="D1252" t="e">
        <f t="shared" ca="1" si="38"/>
        <v>#NAME?</v>
      </c>
      <c r="E1252" s="115" t="e">
        <f t="array" aca="1" ref="E1252" ca="1">IF(OR(C1251=0,AND(B1253=0,C1253=0)),"",IFERROR(INDEX($F$27:$F$36,MATCH(C1252,($F$27:$F$36)*($D$27:$D$36&lt;&gt;0),0)),IF(OR(AND(D1252=0,B1252=0,B1253&lt;&gt;0),AND(D1252*D1251&lt;0,B1252&lt;&gt;0)),IF(D1252=0,C1252,C1252*(1-ABS(D1252)/(ABS(D1252)+ABS(D1251)))+C1251*(1-ABS(D1251)/(ABS(D1252)+ABS(D1251)))),"")))</f>
        <v>#NAME?</v>
      </c>
    </row>
    <row r="1253" spans="2:5" x14ac:dyDescent="0.25">
      <c r="B1253" t="e">
        <f t="shared" ca="1" si="39"/>
        <v>#NAME?</v>
      </c>
      <c r="C1253">
        <v>1210</v>
      </c>
      <c r="D1253" t="e">
        <f t="shared" ca="1" si="38"/>
        <v>#NAME?</v>
      </c>
      <c r="E1253" s="115" t="e">
        <f t="array" aca="1" ref="E1253" ca="1">IF(OR(C1252=0,AND(B1254=0,C1254=0)),"",IFERROR(INDEX($F$27:$F$36,MATCH(C1253,($F$27:$F$36)*($D$27:$D$36&lt;&gt;0),0)),IF(OR(AND(D1253=0,B1253=0,B1254&lt;&gt;0),AND(D1253*D1252&lt;0,B1253&lt;&gt;0)),IF(D1253=0,C1253,C1253*(1-ABS(D1253)/(ABS(D1253)+ABS(D1252)))+C1252*(1-ABS(D1252)/(ABS(D1253)+ABS(D1252)))),"")))</f>
        <v>#NAME?</v>
      </c>
    </row>
    <row r="1254" spans="2:5" x14ac:dyDescent="0.25">
      <c r="B1254" t="e">
        <f t="shared" ca="1" si="39"/>
        <v>#NAME?</v>
      </c>
      <c r="C1254">
        <v>1211</v>
      </c>
      <c r="D1254" t="e">
        <f t="shared" ca="1" si="38"/>
        <v>#NAME?</v>
      </c>
      <c r="E1254" s="115" t="e">
        <f t="array" aca="1" ref="E1254" ca="1">IF(OR(C1253=0,AND(B1255=0,C1255=0)),"",IFERROR(INDEX($F$27:$F$36,MATCH(C1254,($F$27:$F$36)*($D$27:$D$36&lt;&gt;0),0)),IF(OR(AND(D1254=0,B1254=0,B1255&lt;&gt;0),AND(D1254*D1253&lt;0,B1254&lt;&gt;0)),IF(D1254=0,C1254,C1254*(1-ABS(D1254)/(ABS(D1254)+ABS(D1253)))+C1253*(1-ABS(D1253)/(ABS(D1254)+ABS(D1253)))),"")))</f>
        <v>#NAME?</v>
      </c>
    </row>
    <row r="1255" spans="2:5" x14ac:dyDescent="0.25">
      <c r="B1255" t="e">
        <f t="shared" ca="1" si="39"/>
        <v>#NAME?</v>
      </c>
      <c r="C1255">
        <v>1212</v>
      </c>
      <c r="D1255" t="e">
        <f t="shared" ca="1" si="38"/>
        <v>#NAME?</v>
      </c>
      <c r="E1255" s="115" t="e">
        <f t="array" aca="1" ref="E1255" ca="1">IF(OR(C1254=0,AND(B1256=0,C1256=0)),"",IFERROR(INDEX($F$27:$F$36,MATCH(C1255,($F$27:$F$36)*($D$27:$D$36&lt;&gt;0),0)),IF(OR(AND(D1255=0,B1255=0,B1256&lt;&gt;0),AND(D1255*D1254&lt;0,B1255&lt;&gt;0)),IF(D1255=0,C1255,C1255*(1-ABS(D1255)/(ABS(D1255)+ABS(D1254)))+C1254*(1-ABS(D1254)/(ABS(D1255)+ABS(D1254)))),"")))</f>
        <v>#NAME?</v>
      </c>
    </row>
    <row r="1256" spans="2:5" x14ac:dyDescent="0.25">
      <c r="B1256" t="e">
        <f t="shared" ca="1" si="39"/>
        <v>#NAME?</v>
      </c>
      <c r="C1256">
        <v>1213</v>
      </c>
      <c r="D1256" t="e">
        <f t="shared" ca="1" si="38"/>
        <v>#NAME?</v>
      </c>
      <c r="E1256" s="115" t="e">
        <f t="array" aca="1" ref="E1256" ca="1">IF(OR(C1255=0,AND(B1257=0,C1257=0)),"",IFERROR(INDEX($F$27:$F$36,MATCH(C1256,($F$27:$F$36)*($D$27:$D$36&lt;&gt;0),0)),IF(OR(AND(D1256=0,B1256=0,B1257&lt;&gt;0),AND(D1256*D1255&lt;0,B1256&lt;&gt;0)),IF(D1256=0,C1256,C1256*(1-ABS(D1256)/(ABS(D1256)+ABS(D1255)))+C1255*(1-ABS(D1255)/(ABS(D1256)+ABS(D1255)))),"")))</f>
        <v>#NAME?</v>
      </c>
    </row>
    <row r="1257" spans="2:5" x14ac:dyDescent="0.25">
      <c r="B1257" t="e">
        <f t="shared" ca="1" si="39"/>
        <v>#NAME?</v>
      </c>
      <c r="C1257">
        <v>1214</v>
      </c>
      <c r="D1257" t="e">
        <f t="shared" ca="1" si="38"/>
        <v>#NAME?</v>
      </c>
      <c r="E1257" s="115" t="e">
        <f t="array" aca="1" ref="E1257" ca="1">IF(OR(C1256=0,AND(B1258=0,C1258=0)),"",IFERROR(INDEX($F$27:$F$36,MATCH(C1257,($F$27:$F$36)*($D$27:$D$36&lt;&gt;0),0)),IF(OR(AND(D1257=0,B1257=0,B1258&lt;&gt;0),AND(D1257*D1256&lt;0,B1257&lt;&gt;0)),IF(D1257=0,C1257,C1257*(1-ABS(D1257)/(ABS(D1257)+ABS(D1256)))+C1256*(1-ABS(D1256)/(ABS(D1257)+ABS(D1256)))),"")))</f>
        <v>#NAME?</v>
      </c>
    </row>
    <row r="1258" spans="2:5" x14ac:dyDescent="0.25">
      <c r="B1258" t="e">
        <f t="shared" ca="1" si="39"/>
        <v>#NAME?</v>
      </c>
      <c r="C1258">
        <v>1215</v>
      </c>
      <c r="D1258" t="e">
        <f t="shared" ca="1" si="38"/>
        <v>#NAME?</v>
      </c>
      <c r="E1258" s="115" t="e">
        <f t="array" aca="1" ref="E1258" ca="1">IF(OR(C1257=0,AND(B1259=0,C1259=0)),"",IFERROR(INDEX($F$27:$F$36,MATCH(C1258,($F$27:$F$36)*($D$27:$D$36&lt;&gt;0),0)),IF(OR(AND(D1258=0,B1258=0,B1259&lt;&gt;0),AND(D1258*D1257&lt;0,B1258&lt;&gt;0)),IF(D1258=0,C1258,C1258*(1-ABS(D1258)/(ABS(D1258)+ABS(D1257)))+C1257*(1-ABS(D1257)/(ABS(D1258)+ABS(D1257)))),"")))</f>
        <v>#NAME?</v>
      </c>
    </row>
    <row r="1259" spans="2:5" x14ac:dyDescent="0.25">
      <c r="B1259" t="e">
        <f t="shared" ca="1" si="39"/>
        <v>#NAME?</v>
      </c>
      <c r="C1259">
        <v>1216</v>
      </c>
      <c r="D1259" t="e">
        <f t="shared" ref="D1259:D1322" ca="1" si="40">SUMPRODUCT(--($J$27:$J$37&gt;0),--($C1259-$F$27:$F$37&gt;0),($D$27:$D$37),($C1259-$F$27:$F$37))+SUMPRODUCT(--($J$27:$J$37&lt;0),--($F$27:$F$37-$C1259&gt;0),($D$27:$D$37),($F$27:$F$37-$C1259))-SUMPRODUCT($D$27:$D$37,$E$27:$E$37)</f>
        <v>#NAME?</v>
      </c>
      <c r="E1259" s="115" t="e">
        <f t="array" aca="1" ref="E1259" ca="1">IF(OR(C1258=0,AND(B1260=0,C1260=0)),"",IFERROR(INDEX($F$27:$F$36,MATCH(C1259,($F$27:$F$36)*($D$27:$D$36&lt;&gt;0),0)),IF(OR(AND(D1259=0,B1259=0,B1260&lt;&gt;0),AND(D1259*D1258&lt;0,B1259&lt;&gt;0)),IF(D1259=0,C1259,C1259*(1-ABS(D1259)/(ABS(D1259)+ABS(D1258)))+C1258*(1-ABS(D1258)/(ABS(D1259)+ABS(D1258)))),"")))</f>
        <v>#NAME?</v>
      </c>
    </row>
    <row r="1260" spans="2:5" x14ac:dyDescent="0.25">
      <c r="B1260" t="e">
        <f t="shared" ref="B1260:B1323" ca="1" si="41">ROUND((D1260-D1259)/(C1260-C1259),12)</f>
        <v>#NAME?</v>
      </c>
      <c r="C1260">
        <v>1217</v>
      </c>
      <c r="D1260" t="e">
        <f t="shared" ca="1" si="40"/>
        <v>#NAME?</v>
      </c>
      <c r="E1260" s="115" t="e">
        <f t="array" aca="1" ref="E1260" ca="1">IF(OR(C1259=0,AND(B1261=0,C1261=0)),"",IFERROR(INDEX($F$27:$F$36,MATCH(C1260,($F$27:$F$36)*($D$27:$D$36&lt;&gt;0),0)),IF(OR(AND(D1260=0,B1260=0,B1261&lt;&gt;0),AND(D1260*D1259&lt;0,B1260&lt;&gt;0)),IF(D1260=0,C1260,C1260*(1-ABS(D1260)/(ABS(D1260)+ABS(D1259)))+C1259*(1-ABS(D1259)/(ABS(D1260)+ABS(D1259)))),"")))</f>
        <v>#NAME?</v>
      </c>
    </row>
    <row r="1261" spans="2:5" x14ac:dyDescent="0.25">
      <c r="B1261" t="e">
        <f t="shared" ca="1" si="41"/>
        <v>#NAME?</v>
      </c>
      <c r="C1261">
        <v>1218</v>
      </c>
      <c r="D1261" t="e">
        <f t="shared" ca="1" si="40"/>
        <v>#NAME?</v>
      </c>
      <c r="E1261" s="115" t="e">
        <f t="array" aca="1" ref="E1261" ca="1">IF(OR(C1260=0,AND(B1262=0,C1262=0)),"",IFERROR(INDEX($F$27:$F$36,MATCH(C1261,($F$27:$F$36)*($D$27:$D$36&lt;&gt;0),0)),IF(OR(AND(D1261=0,B1261=0,B1262&lt;&gt;0),AND(D1261*D1260&lt;0,B1261&lt;&gt;0)),IF(D1261=0,C1261,C1261*(1-ABS(D1261)/(ABS(D1261)+ABS(D1260)))+C1260*(1-ABS(D1260)/(ABS(D1261)+ABS(D1260)))),"")))</f>
        <v>#NAME?</v>
      </c>
    </row>
    <row r="1262" spans="2:5" x14ac:dyDescent="0.25">
      <c r="B1262" t="e">
        <f t="shared" ca="1" si="41"/>
        <v>#NAME?</v>
      </c>
      <c r="C1262">
        <v>1219</v>
      </c>
      <c r="D1262" t="e">
        <f t="shared" ca="1" si="40"/>
        <v>#NAME?</v>
      </c>
      <c r="E1262" s="115" t="e">
        <f t="array" aca="1" ref="E1262" ca="1">IF(OR(C1261=0,AND(B1263=0,C1263=0)),"",IFERROR(INDEX($F$27:$F$36,MATCH(C1262,($F$27:$F$36)*($D$27:$D$36&lt;&gt;0),0)),IF(OR(AND(D1262=0,B1262=0,B1263&lt;&gt;0),AND(D1262*D1261&lt;0,B1262&lt;&gt;0)),IF(D1262=0,C1262,C1262*(1-ABS(D1262)/(ABS(D1262)+ABS(D1261)))+C1261*(1-ABS(D1261)/(ABS(D1262)+ABS(D1261)))),"")))</f>
        <v>#NAME?</v>
      </c>
    </row>
    <row r="1263" spans="2:5" x14ac:dyDescent="0.25">
      <c r="B1263" t="e">
        <f t="shared" ca="1" si="41"/>
        <v>#NAME?</v>
      </c>
      <c r="C1263">
        <v>1220</v>
      </c>
      <c r="D1263" t="e">
        <f t="shared" ca="1" si="40"/>
        <v>#NAME?</v>
      </c>
      <c r="E1263" s="115" t="e">
        <f t="array" aca="1" ref="E1263" ca="1">IF(OR(C1262=0,AND(B1264=0,C1264=0)),"",IFERROR(INDEX($F$27:$F$36,MATCH(C1263,($F$27:$F$36)*($D$27:$D$36&lt;&gt;0),0)),IF(OR(AND(D1263=0,B1263=0,B1264&lt;&gt;0),AND(D1263*D1262&lt;0,B1263&lt;&gt;0)),IF(D1263=0,C1263,C1263*(1-ABS(D1263)/(ABS(D1263)+ABS(D1262)))+C1262*(1-ABS(D1262)/(ABS(D1263)+ABS(D1262)))),"")))</f>
        <v>#NAME?</v>
      </c>
    </row>
    <row r="1264" spans="2:5" x14ac:dyDescent="0.25">
      <c r="B1264" t="e">
        <f t="shared" ca="1" si="41"/>
        <v>#NAME?</v>
      </c>
      <c r="C1264">
        <v>1221</v>
      </c>
      <c r="D1264" t="e">
        <f t="shared" ca="1" si="40"/>
        <v>#NAME?</v>
      </c>
      <c r="E1264" s="115" t="e">
        <f t="array" aca="1" ref="E1264" ca="1">IF(OR(C1263=0,AND(B1265=0,C1265=0)),"",IFERROR(INDEX($F$27:$F$36,MATCH(C1264,($F$27:$F$36)*($D$27:$D$36&lt;&gt;0),0)),IF(OR(AND(D1264=0,B1264=0,B1265&lt;&gt;0),AND(D1264*D1263&lt;0,B1264&lt;&gt;0)),IF(D1264=0,C1264,C1264*(1-ABS(D1264)/(ABS(D1264)+ABS(D1263)))+C1263*(1-ABS(D1263)/(ABS(D1264)+ABS(D1263)))),"")))</f>
        <v>#NAME?</v>
      </c>
    </row>
    <row r="1265" spans="2:5" x14ac:dyDescent="0.25">
      <c r="B1265" t="e">
        <f t="shared" ca="1" si="41"/>
        <v>#NAME?</v>
      </c>
      <c r="C1265">
        <v>1222</v>
      </c>
      <c r="D1265" t="e">
        <f t="shared" ca="1" si="40"/>
        <v>#NAME?</v>
      </c>
      <c r="E1265" s="115" t="e">
        <f t="array" aca="1" ref="E1265" ca="1">IF(OR(C1264=0,AND(B1266=0,C1266=0)),"",IFERROR(INDEX($F$27:$F$36,MATCH(C1265,($F$27:$F$36)*($D$27:$D$36&lt;&gt;0),0)),IF(OR(AND(D1265=0,B1265=0,B1266&lt;&gt;0),AND(D1265*D1264&lt;0,B1265&lt;&gt;0)),IF(D1265=0,C1265,C1265*(1-ABS(D1265)/(ABS(D1265)+ABS(D1264)))+C1264*(1-ABS(D1264)/(ABS(D1265)+ABS(D1264)))),"")))</f>
        <v>#NAME?</v>
      </c>
    </row>
    <row r="1266" spans="2:5" x14ac:dyDescent="0.25">
      <c r="B1266" t="e">
        <f t="shared" ca="1" si="41"/>
        <v>#NAME?</v>
      </c>
      <c r="C1266">
        <v>1223</v>
      </c>
      <c r="D1266" t="e">
        <f t="shared" ca="1" si="40"/>
        <v>#NAME?</v>
      </c>
      <c r="E1266" s="115" t="e">
        <f t="array" aca="1" ref="E1266" ca="1">IF(OR(C1265=0,AND(B1267=0,C1267=0)),"",IFERROR(INDEX($F$27:$F$36,MATCH(C1266,($F$27:$F$36)*($D$27:$D$36&lt;&gt;0),0)),IF(OR(AND(D1266=0,B1266=0,B1267&lt;&gt;0),AND(D1266*D1265&lt;0,B1266&lt;&gt;0)),IF(D1266=0,C1266,C1266*(1-ABS(D1266)/(ABS(D1266)+ABS(D1265)))+C1265*(1-ABS(D1265)/(ABS(D1266)+ABS(D1265)))),"")))</f>
        <v>#NAME?</v>
      </c>
    </row>
    <row r="1267" spans="2:5" x14ac:dyDescent="0.25">
      <c r="B1267" t="e">
        <f t="shared" ca="1" si="41"/>
        <v>#NAME?</v>
      </c>
      <c r="C1267">
        <v>1224</v>
      </c>
      <c r="D1267" t="e">
        <f t="shared" ca="1" si="40"/>
        <v>#NAME?</v>
      </c>
      <c r="E1267" s="115" t="e">
        <f t="array" aca="1" ref="E1267" ca="1">IF(OR(C1266=0,AND(B1268=0,C1268=0)),"",IFERROR(INDEX($F$27:$F$36,MATCH(C1267,($F$27:$F$36)*($D$27:$D$36&lt;&gt;0),0)),IF(OR(AND(D1267=0,B1267=0,B1268&lt;&gt;0),AND(D1267*D1266&lt;0,B1267&lt;&gt;0)),IF(D1267=0,C1267,C1267*(1-ABS(D1267)/(ABS(D1267)+ABS(D1266)))+C1266*(1-ABS(D1266)/(ABS(D1267)+ABS(D1266)))),"")))</f>
        <v>#NAME?</v>
      </c>
    </row>
    <row r="1268" spans="2:5" x14ac:dyDescent="0.25">
      <c r="B1268" t="e">
        <f t="shared" ca="1" si="41"/>
        <v>#NAME?</v>
      </c>
      <c r="C1268">
        <v>1225</v>
      </c>
      <c r="D1268" t="e">
        <f t="shared" ca="1" si="40"/>
        <v>#NAME?</v>
      </c>
      <c r="E1268" s="115" t="e">
        <f t="array" aca="1" ref="E1268" ca="1">IF(OR(C1267=0,AND(B1269=0,C1269=0)),"",IFERROR(INDEX($F$27:$F$36,MATCH(C1268,($F$27:$F$36)*($D$27:$D$36&lt;&gt;0),0)),IF(OR(AND(D1268=0,B1268=0,B1269&lt;&gt;0),AND(D1268*D1267&lt;0,B1268&lt;&gt;0)),IF(D1268=0,C1268,C1268*(1-ABS(D1268)/(ABS(D1268)+ABS(D1267)))+C1267*(1-ABS(D1267)/(ABS(D1268)+ABS(D1267)))),"")))</f>
        <v>#NAME?</v>
      </c>
    </row>
    <row r="1269" spans="2:5" x14ac:dyDescent="0.25">
      <c r="B1269" t="e">
        <f t="shared" ca="1" si="41"/>
        <v>#NAME?</v>
      </c>
      <c r="C1269">
        <v>1226</v>
      </c>
      <c r="D1269" t="e">
        <f t="shared" ca="1" si="40"/>
        <v>#NAME?</v>
      </c>
      <c r="E1269" s="115" t="e">
        <f t="array" aca="1" ref="E1269" ca="1">IF(OR(C1268=0,AND(B1270=0,C1270=0)),"",IFERROR(INDEX($F$27:$F$36,MATCH(C1269,($F$27:$F$36)*($D$27:$D$36&lt;&gt;0),0)),IF(OR(AND(D1269=0,B1269=0,B1270&lt;&gt;0),AND(D1269*D1268&lt;0,B1269&lt;&gt;0)),IF(D1269=0,C1269,C1269*(1-ABS(D1269)/(ABS(D1269)+ABS(D1268)))+C1268*(1-ABS(D1268)/(ABS(D1269)+ABS(D1268)))),"")))</f>
        <v>#NAME?</v>
      </c>
    </row>
    <row r="1270" spans="2:5" x14ac:dyDescent="0.25">
      <c r="B1270" t="e">
        <f t="shared" ca="1" si="41"/>
        <v>#NAME?</v>
      </c>
      <c r="C1270">
        <v>1227</v>
      </c>
      <c r="D1270" t="e">
        <f t="shared" ca="1" si="40"/>
        <v>#NAME?</v>
      </c>
      <c r="E1270" s="115" t="e">
        <f t="array" aca="1" ref="E1270" ca="1">IF(OR(C1269=0,AND(B1271=0,C1271=0)),"",IFERROR(INDEX($F$27:$F$36,MATCH(C1270,($F$27:$F$36)*($D$27:$D$36&lt;&gt;0),0)),IF(OR(AND(D1270=0,B1270=0,B1271&lt;&gt;0),AND(D1270*D1269&lt;0,B1270&lt;&gt;0)),IF(D1270=0,C1270,C1270*(1-ABS(D1270)/(ABS(D1270)+ABS(D1269)))+C1269*(1-ABS(D1269)/(ABS(D1270)+ABS(D1269)))),"")))</f>
        <v>#NAME?</v>
      </c>
    </row>
    <row r="1271" spans="2:5" x14ac:dyDescent="0.25">
      <c r="B1271" t="e">
        <f t="shared" ca="1" si="41"/>
        <v>#NAME?</v>
      </c>
      <c r="C1271">
        <v>1228</v>
      </c>
      <c r="D1271" t="e">
        <f t="shared" ca="1" si="40"/>
        <v>#NAME?</v>
      </c>
      <c r="E1271" s="115" t="e">
        <f t="array" aca="1" ref="E1271" ca="1">IF(OR(C1270=0,AND(B1272=0,C1272=0)),"",IFERROR(INDEX($F$27:$F$36,MATCH(C1271,($F$27:$F$36)*($D$27:$D$36&lt;&gt;0),0)),IF(OR(AND(D1271=0,B1271=0,B1272&lt;&gt;0),AND(D1271*D1270&lt;0,B1271&lt;&gt;0)),IF(D1271=0,C1271,C1271*(1-ABS(D1271)/(ABS(D1271)+ABS(D1270)))+C1270*(1-ABS(D1270)/(ABS(D1271)+ABS(D1270)))),"")))</f>
        <v>#NAME?</v>
      </c>
    </row>
    <row r="1272" spans="2:5" x14ac:dyDescent="0.25">
      <c r="B1272" t="e">
        <f t="shared" ca="1" si="41"/>
        <v>#NAME?</v>
      </c>
      <c r="C1272">
        <v>1229</v>
      </c>
      <c r="D1272" t="e">
        <f t="shared" ca="1" si="40"/>
        <v>#NAME?</v>
      </c>
      <c r="E1272" s="115" t="e">
        <f t="array" aca="1" ref="E1272" ca="1">IF(OR(C1271=0,AND(B1273=0,C1273=0)),"",IFERROR(INDEX($F$27:$F$36,MATCH(C1272,($F$27:$F$36)*($D$27:$D$36&lt;&gt;0),0)),IF(OR(AND(D1272=0,B1272=0,B1273&lt;&gt;0),AND(D1272*D1271&lt;0,B1272&lt;&gt;0)),IF(D1272=0,C1272,C1272*(1-ABS(D1272)/(ABS(D1272)+ABS(D1271)))+C1271*(1-ABS(D1271)/(ABS(D1272)+ABS(D1271)))),"")))</f>
        <v>#NAME?</v>
      </c>
    </row>
    <row r="1273" spans="2:5" x14ac:dyDescent="0.25">
      <c r="B1273" t="e">
        <f t="shared" ca="1" si="41"/>
        <v>#NAME?</v>
      </c>
      <c r="C1273">
        <v>1230</v>
      </c>
      <c r="D1273" t="e">
        <f t="shared" ca="1" si="40"/>
        <v>#NAME?</v>
      </c>
      <c r="E1273" s="115" t="e">
        <f t="array" aca="1" ref="E1273" ca="1">IF(OR(C1272=0,AND(B1274=0,C1274=0)),"",IFERROR(INDEX($F$27:$F$36,MATCH(C1273,($F$27:$F$36)*($D$27:$D$36&lt;&gt;0),0)),IF(OR(AND(D1273=0,B1273=0,B1274&lt;&gt;0),AND(D1273*D1272&lt;0,B1273&lt;&gt;0)),IF(D1273=0,C1273,C1273*(1-ABS(D1273)/(ABS(D1273)+ABS(D1272)))+C1272*(1-ABS(D1272)/(ABS(D1273)+ABS(D1272)))),"")))</f>
        <v>#NAME?</v>
      </c>
    </row>
    <row r="1274" spans="2:5" x14ac:dyDescent="0.25">
      <c r="B1274" t="e">
        <f t="shared" ca="1" si="41"/>
        <v>#NAME?</v>
      </c>
      <c r="C1274">
        <v>1231</v>
      </c>
      <c r="D1274" t="e">
        <f t="shared" ca="1" si="40"/>
        <v>#NAME?</v>
      </c>
      <c r="E1274" s="115" t="e">
        <f t="array" aca="1" ref="E1274" ca="1">IF(OR(C1273=0,AND(B1275=0,C1275=0)),"",IFERROR(INDEX($F$27:$F$36,MATCH(C1274,($F$27:$F$36)*($D$27:$D$36&lt;&gt;0),0)),IF(OR(AND(D1274=0,B1274=0,B1275&lt;&gt;0),AND(D1274*D1273&lt;0,B1274&lt;&gt;0)),IF(D1274=0,C1274,C1274*(1-ABS(D1274)/(ABS(D1274)+ABS(D1273)))+C1273*(1-ABS(D1273)/(ABS(D1274)+ABS(D1273)))),"")))</f>
        <v>#NAME?</v>
      </c>
    </row>
    <row r="1275" spans="2:5" x14ac:dyDescent="0.25">
      <c r="B1275" t="e">
        <f t="shared" ca="1" si="41"/>
        <v>#NAME?</v>
      </c>
      <c r="C1275">
        <v>1232</v>
      </c>
      <c r="D1275" t="e">
        <f t="shared" ca="1" si="40"/>
        <v>#NAME?</v>
      </c>
      <c r="E1275" s="115" t="e">
        <f t="array" aca="1" ref="E1275" ca="1">IF(OR(C1274=0,AND(B1276=0,C1276=0)),"",IFERROR(INDEX($F$27:$F$36,MATCH(C1275,($F$27:$F$36)*($D$27:$D$36&lt;&gt;0),0)),IF(OR(AND(D1275=0,B1275=0,B1276&lt;&gt;0),AND(D1275*D1274&lt;0,B1275&lt;&gt;0)),IF(D1275=0,C1275,C1275*(1-ABS(D1275)/(ABS(D1275)+ABS(D1274)))+C1274*(1-ABS(D1274)/(ABS(D1275)+ABS(D1274)))),"")))</f>
        <v>#NAME?</v>
      </c>
    </row>
    <row r="1276" spans="2:5" x14ac:dyDescent="0.25">
      <c r="B1276" t="e">
        <f t="shared" ca="1" si="41"/>
        <v>#NAME?</v>
      </c>
      <c r="C1276">
        <v>1233</v>
      </c>
      <c r="D1276" t="e">
        <f t="shared" ca="1" si="40"/>
        <v>#NAME?</v>
      </c>
      <c r="E1276" s="115" t="e">
        <f t="array" aca="1" ref="E1276" ca="1">IF(OR(C1275=0,AND(B1277=0,C1277=0)),"",IFERROR(INDEX($F$27:$F$36,MATCH(C1276,($F$27:$F$36)*($D$27:$D$36&lt;&gt;0),0)),IF(OR(AND(D1276=0,B1276=0,B1277&lt;&gt;0),AND(D1276*D1275&lt;0,B1276&lt;&gt;0)),IF(D1276=0,C1276,C1276*(1-ABS(D1276)/(ABS(D1276)+ABS(D1275)))+C1275*(1-ABS(D1275)/(ABS(D1276)+ABS(D1275)))),"")))</f>
        <v>#NAME?</v>
      </c>
    </row>
    <row r="1277" spans="2:5" x14ac:dyDescent="0.25">
      <c r="B1277" t="e">
        <f t="shared" ca="1" si="41"/>
        <v>#NAME?</v>
      </c>
      <c r="C1277">
        <v>1234</v>
      </c>
      <c r="D1277" t="e">
        <f t="shared" ca="1" si="40"/>
        <v>#NAME?</v>
      </c>
      <c r="E1277" s="115" t="e">
        <f t="array" aca="1" ref="E1277" ca="1">IF(OR(C1276=0,AND(B1278=0,C1278=0)),"",IFERROR(INDEX($F$27:$F$36,MATCH(C1277,($F$27:$F$36)*($D$27:$D$36&lt;&gt;0),0)),IF(OR(AND(D1277=0,B1277=0,B1278&lt;&gt;0),AND(D1277*D1276&lt;0,B1277&lt;&gt;0)),IF(D1277=0,C1277,C1277*(1-ABS(D1277)/(ABS(D1277)+ABS(D1276)))+C1276*(1-ABS(D1276)/(ABS(D1277)+ABS(D1276)))),"")))</f>
        <v>#NAME?</v>
      </c>
    </row>
    <row r="1278" spans="2:5" x14ac:dyDescent="0.25">
      <c r="B1278" t="e">
        <f t="shared" ca="1" si="41"/>
        <v>#NAME?</v>
      </c>
      <c r="C1278">
        <v>1235</v>
      </c>
      <c r="D1278" t="e">
        <f t="shared" ca="1" si="40"/>
        <v>#NAME?</v>
      </c>
      <c r="E1278" s="115" t="e">
        <f t="array" aca="1" ref="E1278" ca="1">IF(OR(C1277=0,AND(B1279=0,C1279=0)),"",IFERROR(INDEX($F$27:$F$36,MATCH(C1278,($F$27:$F$36)*($D$27:$D$36&lt;&gt;0),0)),IF(OR(AND(D1278=0,B1278=0,B1279&lt;&gt;0),AND(D1278*D1277&lt;0,B1278&lt;&gt;0)),IF(D1278=0,C1278,C1278*(1-ABS(D1278)/(ABS(D1278)+ABS(D1277)))+C1277*(1-ABS(D1277)/(ABS(D1278)+ABS(D1277)))),"")))</f>
        <v>#NAME?</v>
      </c>
    </row>
    <row r="1279" spans="2:5" x14ac:dyDescent="0.25">
      <c r="B1279" t="e">
        <f t="shared" ca="1" si="41"/>
        <v>#NAME?</v>
      </c>
      <c r="C1279">
        <v>1236</v>
      </c>
      <c r="D1279" t="e">
        <f t="shared" ca="1" si="40"/>
        <v>#NAME?</v>
      </c>
      <c r="E1279" s="115" t="e">
        <f t="array" aca="1" ref="E1279" ca="1">IF(OR(C1278=0,AND(B1280=0,C1280=0)),"",IFERROR(INDEX($F$27:$F$36,MATCH(C1279,($F$27:$F$36)*($D$27:$D$36&lt;&gt;0),0)),IF(OR(AND(D1279=0,B1279=0,B1280&lt;&gt;0),AND(D1279*D1278&lt;0,B1279&lt;&gt;0)),IF(D1279=0,C1279,C1279*(1-ABS(D1279)/(ABS(D1279)+ABS(D1278)))+C1278*(1-ABS(D1278)/(ABS(D1279)+ABS(D1278)))),"")))</f>
        <v>#NAME?</v>
      </c>
    </row>
    <row r="1280" spans="2:5" x14ac:dyDescent="0.25">
      <c r="B1280" t="e">
        <f t="shared" ca="1" si="41"/>
        <v>#NAME?</v>
      </c>
      <c r="C1280">
        <v>1237</v>
      </c>
      <c r="D1280" t="e">
        <f t="shared" ca="1" si="40"/>
        <v>#NAME?</v>
      </c>
      <c r="E1280" s="115" t="e">
        <f t="array" aca="1" ref="E1280" ca="1">IF(OR(C1279=0,AND(B1281=0,C1281=0)),"",IFERROR(INDEX($F$27:$F$36,MATCH(C1280,($F$27:$F$36)*($D$27:$D$36&lt;&gt;0),0)),IF(OR(AND(D1280=0,B1280=0,B1281&lt;&gt;0),AND(D1280*D1279&lt;0,B1280&lt;&gt;0)),IF(D1280=0,C1280,C1280*(1-ABS(D1280)/(ABS(D1280)+ABS(D1279)))+C1279*(1-ABS(D1279)/(ABS(D1280)+ABS(D1279)))),"")))</f>
        <v>#NAME?</v>
      </c>
    </row>
    <row r="1281" spans="2:5" x14ac:dyDescent="0.25">
      <c r="B1281" t="e">
        <f t="shared" ca="1" si="41"/>
        <v>#NAME?</v>
      </c>
      <c r="C1281">
        <v>1238</v>
      </c>
      <c r="D1281" t="e">
        <f t="shared" ca="1" si="40"/>
        <v>#NAME?</v>
      </c>
      <c r="E1281" s="115" t="e">
        <f t="array" aca="1" ref="E1281" ca="1">IF(OR(C1280=0,AND(B1282=0,C1282=0)),"",IFERROR(INDEX($F$27:$F$36,MATCH(C1281,($F$27:$F$36)*($D$27:$D$36&lt;&gt;0),0)),IF(OR(AND(D1281=0,B1281=0,B1282&lt;&gt;0),AND(D1281*D1280&lt;0,B1281&lt;&gt;0)),IF(D1281=0,C1281,C1281*(1-ABS(D1281)/(ABS(D1281)+ABS(D1280)))+C1280*(1-ABS(D1280)/(ABS(D1281)+ABS(D1280)))),"")))</f>
        <v>#NAME?</v>
      </c>
    </row>
    <row r="1282" spans="2:5" x14ac:dyDescent="0.25">
      <c r="B1282" t="e">
        <f t="shared" ca="1" si="41"/>
        <v>#NAME?</v>
      </c>
      <c r="C1282">
        <v>1239</v>
      </c>
      <c r="D1282" t="e">
        <f t="shared" ca="1" si="40"/>
        <v>#NAME?</v>
      </c>
      <c r="E1282" s="115" t="e">
        <f t="array" aca="1" ref="E1282" ca="1">IF(OR(C1281=0,AND(B1283=0,C1283=0)),"",IFERROR(INDEX($F$27:$F$36,MATCH(C1282,($F$27:$F$36)*($D$27:$D$36&lt;&gt;0),0)),IF(OR(AND(D1282=0,B1282=0,B1283&lt;&gt;0),AND(D1282*D1281&lt;0,B1282&lt;&gt;0)),IF(D1282=0,C1282,C1282*(1-ABS(D1282)/(ABS(D1282)+ABS(D1281)))+C1281*(1-ABS(D1281)/(ABS(D1282)+ABS(D1281)))),"")))</f>
        <v>#NAME?</v>
      </c>
    </row>
    <row r="1283" spans="2:5" x14ac:dyDescent="0.25">
      <c r="B1283" t="e">
        <f t="shared" ca="1" si="41"/>
        <v>#NAME?</v>
      </c>
      <c r="C1283">
        <v>1240</v>
      </c>
      <c r="D1283" t="e">
        <f t="shared" ca="1" si="40"/>
        <v>#NAME?</v>
      </c>
      <c r="E1283" s="115" t="e">
        <f t="array" aca="1" ref="E1283" ca="1">IF(OR(C1282=0,AND(B1284=0,C1284=0)),"",IFERROR(INDEX($F$27:$F$36,MATCH(C1283,($F$27:$F$36)*($D$27:$D$36&lt;&gt;0),0)),IF(OR(AND(D1283=0,B1283=0,B1284&lt;&gt;0),AND(D1283*D1282&lt;0,B1283&lt;&gt;0)),IF(D1283=0,C1283,C1283*(1-ABS(D1283)/(ABS(D1283)+ABS(D1282)))+C1282*(1-ABS(D1282)/(ABS(D1283)+ABS(D1282)))),"")))</f>
        <v>#NAME?</v>
      </c>
    </row>
    <row r="1284" spans="2:5" x14ac:dyDescent="0.25">
      <c r="B1284" t="e">
        <f t="shared" ca="1" si="41"/>
        <v>#NAME?</v>
      </c>
      <c r="C1284">
        <v>1241</v>
      </c>
      <c r="D1284" t="e">
        <f t="shared" ca="1" si="40"/>
        <v>#NAME?</v>
      </c>
      <c r="E1284" s="115" t="e">
        <f t="array" aca="1" ref="E1284" ca="1">IF(OR(C1283=0,AND(B1285=0,C1285=0)),"",IFERROR(INDEX($F$27:$F$36,MATCH(C1284,($F$27:$F$36)*($D$27:$D$36&lt;&gt;0),0)),IF(OR(AND(D1284=0,B1284=0,B1285&lt;&gt;0),AND(D1284*D1283&lt;0,B1284&lt;&gt;0)),IF(D1284=0,C1284,C1284*(1-ABS(D1284)/(ABS(D1284)+ABS(D1283)))+C1283*(1-ABS(D1283)/(ABS(D1284)+ABS(D1283)))),"")))</f>
        <v>#NAME?</v>
      </c>
    </row>
    <row r="1285" spans="2:5" x14ac:dyDescent="0.25">
      <c r="B1285" t="e">
        <f t="shared" ca="1" si="41"/>
        <v>#NAME?</v>
      </c>
      <c r="C1285">
        <v>1242</v>
      </c>
      <c r="D1285" t="e">
        <f t="shared" ca="1" si="40"/>
        <v>#NAME?</v>
      </c>
      <c r="E1285" s="115" t="e">
        <f t="array" aca="1" ref="E1285" ca="1">IF(OR(C1284=0,AND(B1286=0,C1286=0)),"",IFERROR(INDEX($F$27:$F$36,MATCH(C1285,($F$27:$F$36)*($D$27:$D$36&lt;&gt;0),0)),IF(OR(AND(D1285=0,B1285=0,B1286&lt;&gt;0),AND(D1285*D1284&lt;0,B1285&lt;&gt;0)),IF(D1285=0,C1285,C1285*(1-ABS(D1285)/(ABS(D1285)+ABS(D1284)))+C1284*(1-ABS(D1284)/(ABS(D1285)+ABS(D1284)))),"")))</f>
        <v>#NAME?</v>
      </c>
    </row>
    <row r="1286" spans="2:5" x14ac:dyDescent="0.25">
      <c r="B1286" t="e">
        <f t="shared" ca="1" si="41"/>
        <v>#NAME?</v>
      </c>
      <c r="C1286">
        <v>1243</v>
      </c>
      <c r="D1286" t="e">
        <f t="shared" ca="1" si="40"/>
        <v>#NAME?</v>
      </c>
      <c r="E1286" s="115" t="e">
        <f t="array" aca="1" ref="E1286" ca="1">IF(OR(C1285=0,AND(B1287=0,C1287=0)),"",IFERROR(INDEX($F$27:$F$36,MATCH(C1286,($F$27:$F$36)*($D$27:$D$36&lt;&gt;0),0)),IF(OR(AND(D1286=0,B1286=0,B1287&lt;&gt;0),AND(D1286*D1285&lt;0,B1286&lt;&gt;0)),IF(D1286=0,C1286,C1286*(1-ABS(D1286)/(ABS(D1286)+ABS(D1285)))+C1285*(1-ABS(D1285)/(ABS(D1286)+ABS(D1285)))),"")))</f>
        <v>#NAME?</v>
      </c>
    </row>
    <row r="1287" spans="2:5" x14ac:dyDescent="0.25">
      <c r="B1287" t="e">
        <f t="shared" ca="1" si="41"/>
        <v>#NAME?</v>
      </c>
      <c r="C1287">
        <v>1244</v>
      </c>
      <c r="D1287" t="e">
        <f t="shared" ca="1" si="40"/>
        <v>#NAME?</v>
      </c>
      <c r="E1287" s="115" t="e">
        <f t="array" aca="1" ref="E1287" ca="1">IF(OR(C1286=0,AND(B1288=0,C1288=0)),"",IFERROR(INDEX($F$27:$F$36,MATCH(C1287,($F$27:$F$36)*($D$27:$D$36&lt;&gt;0),0)),IF(OR(AND(D1287=0,B1287=0,B1288&lt;&gt;0),AND(D1287*D1286&lt;0,B1287&lt;&gt;0)),IF(D1287=0,C1287,C1287*(1-ABS(D1287)/(ABS(D1287)+ABS(D1286)))+C1286*(1-ABS(D1286)/(ABS(D1287)+ABS(D1286)))),"")))</f>
        <v>#NAME?</v>
      </c>
    </row>
    <row r="1288" spans="2:5" x14ac:dyDescent="0.25">
      <c r="B1288" t="e">
        <f t="shared" ca="1" si="41"/>
        <v>#NAME?</v>
      </c>
      <c r="C1288">
        <v>1245</v>
      </c>
      <c r="D1288" t="e">
        <f t="shared" ca="1" si="40"/>
        <v>#NAME?</v>
      </c>
      <c r="E1288" s="115" t="e">
        <f t="array" aca="1" ref="E1288" ca="1">IF(OR(C1287=0,AND(B1289=0,C1289=0)),"",IFERROR(INDEX($F$27:$F$36,MATCH(C1288,($F$27:$F$36)*($D$27:$D$36&lt;&gt;0),0)),IF(OR(AND(D1288=0,B1288=0,B1289&lt;&gt;0),AND(D1288*D1287&lt;0,B1288&lt;&gt;0)),IF(D1288=0,C1288,C1288*(1-ABS(D1288)/(ABS(D1288)+ABS(D1287)))+C1287*(1-ABS(D1287)/(ABS(D1288)+ABS(D1287)))),"")))</f>
        <v>#NAME?</v>
      </c>
    </row>
    <row r="1289" spans="2:5" x14ac:dyDescent="0.25">
      <c r="B1289" t="e">
        <f t="shared" ca="1" si="41"/>
        <v>#NAME?</v>
      </c>
      <c r="C1289">
        <v>1246</v>
      </c>
      <c r="D1289" t="e">
        <f t="shared" ca="1" si="40"/>
        <v>#NAME?</v>
      </c>
      <c r="E1289" s="115" t="e">
        <f t="array" aca="1" ref="E1289" ca="1">IF(OR(C1288=0,AND(B1290=0,C1290=0)),"",IFERROR(INDEX($F$27:$F$36,MATCH(C1289,($F$27:$F$36)*($D$27:$D$36&lt;&gt;0),0)),IF(OR(AND(D1289=0,B1289=0,B1290&lt;&gt;0),AND(D1289*D1288&lt;0,B1289&lt;&gt;0)),IF(D1289=0,C1289,C1289*(1-ABS(D1289)/(ABS(D1289)+ABS(D1288)))+C1288*(1-ABS(D1288)/(ABS(D1289)+ABS(D1288)))),"")))</f>
        <v>#NAME?</v>
      </c>
    </row>
    <row r="1290" spans="2:5" x14ac:dyDescent="0.25">
      <c r="B1290" t="e">
        <f t="shared" ca="1" si="41"/>
        <v>#NAME?</v>
      </c>
      <c r="C1290">
        <v>1247</v>
      </c>
      <c r="D1290" t="e">
        <f t="shared" ca="1" si="40"/>
        <v>#NAME?</v>
      </c>
      <c r="E1290" s="115" t="e">
        <f t="array" aca="1" ref="E1290" ca="1">IF(OR(C1289=0,AND(B1291=0,C1291=0)),"",IFERROR(INDEX($F$27:$F$36,MATCH(C1290,($F$27:$F$36)*($D$27:$D$36&lt;&gt;0),0)),IF(OR(AND(D1290=0,B1290=0,B1291&lt;&gt;0),AND(D1290*D1289&lt;0,B1290&lt;&gt;0)),IF(D1290=0,C1290,C1290*(1-ABS(D1290)/(ABS(D1290)+ABS(D1289)))+C1289*(1-ABS(D1289)/(ABS(D1290)+ABS(D1289)))),"")))</f>
        <v>#NAME?</v>
      </c>
    </row>
    <row r="1291" spans="2:5" x14ac:dyDescent="0.25">
      <c r="B1291" t="e">
        <f t="shared" ca="1" si="41"/>
        <v>#NAME?</v>
      </c>
      <c r="C1291">
        <v>1248</v>
      </c>
      <c r="D1291" t="e">
        <f t="shared" ca="1" si="40"/>
        <v>#NAME?</v>
      </c>
      <c r="E1291" s="115" t="e">
        <f t="array" aca="1" ref="E1291" ca="1">IF(OR(C1290=0,AND(B1292=0,C1292=0)),"",IFERROR(INDEX($F$27:$F$36,MATCH(C1291,($F$27:$F$36)*($D$27:$D$36&lt;&gt;0),0)),IF(OR(AND(D1291=0,B1291=0,B1292&lt;&gt;0),AND(D1291*D1290&lt;0,B1291&lt;&gt;0)),IF(D1291=0,C1291,C1291*(1-ABS(D1291)/(ABS(D1291)+ABS(D1290)))+C1290*(1-ABS(D1290)/(ABS(D1291)+ABS(D1290)))),"")))</f>
        <v>#NAME?</v>
      </c>
    </row>
    <row r="1292" spans="2:5" x14ac:dyDescent="0.25">
      <c r="B1292" t="e">
        <f t="shared" ca="1" si="41"/>
        <v>#NAME?</v>
      </c>
      <c r="C1292">
        <v>1249</v>
      </c>
      <c r="D1292" t="e">
        <f t="shared" ca="1" si="40"/>
        <v>#NAME?</v>
      </c>
      <c r="E1292" s="115" t="e">
        <f t="array" aca="1" ref="E1292" ca="1">IF(OR(C1291=0,AND(B1293=0,C1293=0)),"",IFERROR(INDEX($F$27:$F$36,MATCH(C1292,($F$27:$F$36)*($D$27:$D$36&lt;&gt;0),0)),IF(OR(AND(D1292=0,B1292=0,B1293&lt;&gt;0),AND(D1292*D1291&lt;0,B1292&lt;&gt;0)),IF(D1292=0,C1292,C1292*(1-ABS(D1292)/(ABS(D1292)+ABS(D1291)))+C1291*(1-ABS(D1291)/(ABS(D1292)+ABS(D1291)))),"")))</f>
        <v>#NAME?</v>
      </c>
    </row>
    <row r="1293" spans="2:5" x14ac:dyDescent="0.25">
      <c r="B1293" t="e">
        <f t="shared" ca="1" si="41"/>
        <v>#NAME?</v>
      </c>
      <c r="C1293">
        <v>1250</v>
      </c>
      <c r="D1293" t="e">
        <f t="shared" ca="1" si="40"/>
        <v>#NAME?</v>
      </c>
      <c r="E1293" s="115" t="e">
        <f t="array" aca="1" ref="E1293" ca="1">IF(OR(C1292=0,AND(B1294=0,C1294=0)),"",IFERROR(INDEX($F$27:$F$36,MATCH(C1293,($F$27:$F$36)*($D$27:$D$36&lt;&gt;0),0)),IF(OR(AND(D1293=0,B1293=0,B1294&lt;&gt;0),AND(D1293*D1292&lt;0,B1293&lt;&gt;0)),IF(D1293=0,C1293,C1293*(1-ABS(D1293)/(ABS(D1293)+ABS(D1292)))+C1292*(1-ABS(D1292)/(ABS(D1293)+ABS(D1292)))),"")))</f>
        <v>#NAME?</v>
      </c>
    </row>
    <row r="1294" spans="2:5" x14ac:dyDescent="0.25">
      <c r="B1294" t="e">
        <f t="shared" ca="1" si="41"/>
        <v>#NAME?</v>
      </c>
      <c r="C1294">
        <v>1251</v>
      </c>
      <c r="D1294" t="e">
        <f t="shared" ca="1" si="40"/>
        <v>#NAME?</v>
      </c>
      <c r="E1294" s="115" t="e">
        <f t="array" aca="1" ref="E1294" ca="1">IF(OR(C1293=0,AND(B1295=0,C1295=0)),"",IFERROR(INDEX($F$27:$F$36,MATCH(C1294,($F$27:$F$36)*($D$27:$D$36&lt;&gt;0),0)),IF(OR(AND(D1294=0,B1294=0,B1295&lt;&gt;0),AND(D1294*D1293&lt;0,B1294&lt;&gt;0)),IF(D1294=0,C1294,C1294*(1-ABS(D1294)/(ABS(D1294)+ABS(D1293)))+C1293*(1-ABS(D1293)/(ABS(D1294)+ABS(D1293)))),"")))</f>
        <v>#NAME?</v>
      </c>
    </row>
    <row r="1295" spans="2:5" x14ac:dyDescent="0.25">
      <c r="B1295" t="e">
        <f t="shared" ca="1" si="41"/>
        <v>#NAME?</v>
      </c>
      <c r="C1295">
        <v>1252</v>
      </c>
      <c r="D1295" t="e">
        <f t="shared" ca="1" si="40"/>
        <v>#NAME?</v>
      </c>
      <c r="E1295" s="115" t="e">
        <f t="array" aca="1" ref="E1295" ca="1">IF(OR(C1294=0,AND(B1296=0,C1296=0)),"",IFERROR(INDEX($F$27:$F$36,MATCH(C1295,($F$27:$F$36)*($D$27:$D$36&lt;&gt;0),0)),IF(OR(AND(D1295=0,B1295=0,B1296&lt;&gt;0),AND(D1295*D1294&lt;0,B1295&lt;&gt;0)),IF(D1295=0,C1295,C1295*(1-ABS(D1295)/(ABS(D1295)+ABS(D1294)))+C1294*(1-ABS(D1294)/(ABS(D1295)+ABS(D1294)))),"")))</f>
        <v>#NAME?</v>
      </c>
    </row>
    <row r="1296" spans="2:5" x14ac:dyDescent="0.25">
      <c r="B1296" t="e">
        <f t="shared" ca="1" si="41"/>
        <v>#NAME?</v>
      </c>
      <c r="C1296">
        <v>1253</v>
      </c>
      <c r="D1296" t="e">
        <f t="shared" ca="1" si="40"/>
        <v>#NAME?</v>
      </c>
      <c r="E1296" s="115" t="e">
        <f t="array" aca="1" ref="E1296" ca="1">IF(OR(C1295=0,AND(B1297=0,C1297=0)),"",IFERROR(INDEX($F$27:$F$36,MATCH(C1296,($F$27:$F$36)*($D$27:$D$36&lt;&gt;0),0)),IF(OR(AND(D1296=0,B1296=0,B1297&lt;&gt;0),AND(D1296*D1295&lt;0,B1296&lt;&gt;0)),IF(D1296=0,C1296,C1296*(1-ABS(D1296)/(ABS(D1296)+ABS(D1295)))+C1295*(1-ABS(D1295)/(ABS(D1296)+ABS(D1295)))),"")))</f>
        <v>#NAME?</v>
      </c>
    </row>
    <row r="1297" spans="2:5" x14ac:dyDescent="0.25">
      <c r="B1297" t="e">
        <f t="shared" ca="1" si="41"/>
        <v>#NAME?</v>
      </c>
      <c r="C1297">
        <v>1254</v>
      </c>
      <c r="D1297" t="e">
        <f t="shared" ca="1" si="40"/>
        <v>#NAME?</v>
      </c>
      <c r="E1297" s="115" t="e">
        <f t="array" aca="1" ref="E1297" ca="1">IF(OR(C1296=0,AND(B1298=0,C1298=0)),"",IFERROR(INDEX($F$27:$F$36,MATCH(C1297,($F$27:$F$36)*($D$27:$D$36&lt;&gt;0),0)),IF(OR(AND(D1297=0,B1297=0,B1298&lt;&gt;0),AND(D1297*D1296&lt;0,B1297&lt;&gt;0)),IF(D1297=0,C1297,C1297*(1-ABS(D1297)/(ABS(D1297)+ABS(D1296)))+C1296*(1-ABS(D1296)/(ABS(D1297)+ABS(D1296)))),"")))</f>
        <v>#NAME?</v>
      </c>
    </row>
    <row r="1298" spans="2:5" x14ac:dyDescent="0.25">
      <c r="B1298" t="e">
        <f t="shared" ca="1" si="41"/>
        <v>#NAME?</v>
      </c>
      <c r="C1298">
        <v>1255</v>
      </c>
      <c r="D1298" t="e">
        <f t="shared" ca="1" si="40"/>
        <v>#NAME?</v>
      </c>
      <c r="E1298" s="115" t="e">
        <f t="array" aca="1" ref="E1298" ca="1">IF(OR(C1297=0,AND(B1299=0,C1299=0)),"",IFERROR(INDEX($F$27:$F$36,MATCH(C1298,($F$27:$F$36)*($D$27:$D$36&lt;&gt;0),0)),IF(OR(AND(D1298=0,B1298=0,B1299&lt;&gt;0),AND(D1298*D1297&lt;0,B1298&lt;&gt;0)),IF(D1298=0,C1298,C1298*(1-ABS(D1298)/(ABS(D1298)+ABS(D1297)))+C1297*(1-ABS(D1297)/(ABS(D1298)+ABS(D1297)))),"")))</f>
        <v>#NAME?</v>
      </c>
    </row>
    <row r="1299" spans="2:5" x14ac:dyDescent="0.25">
      <c r="B1299" t="e">
        <f t="shared" ca="1" si="41"/>
        <v>#NAME?</v>
      </c>
      <c r="C1299">
        <v>1256</v>
      </c>
      <c r="D1299" t="e">
        <f t="shared" ca="1" si="40"/>
        <v>#NAME?</v>
      </c>
      <c r="E1299" s="115" t="e">
        <f t="array" aca="1" ref="E1299" ca="1">IF(OR(C1298=0,AND(B1300=0,C1300=0)),"",IFERROR(INDEX($F$27:$F$36,MATCH(C1299,($F$27:$F$36)*($D$27:$D$36&lt;&gt;0),0)),IF(OR(AND(D1299=0,B1299=0,B1300&lt;&gt;0),AND(D1299*D1298&lt;0,B1299&lt;&gt;0)),IF(D1299=0,C1299,C1299*(1-ABS(D1299)/(ABS(D1299)+ABS(D1298)))+C1298*(1-ABS(D1298)/(ABS(D1299)+ABS(D1298)))),"")))</f>
        <v>#NAME?</v>
      </c>
    </row>
    <row r="1300" spans="2:5" x14ac:dyDescent="0.25">
      <c r="B1300" t="e">
        <f t="shared" ca="1" si="41"/>
        <v>#NAME?</v>
      </c>
      <c r="C1300">
        <v>1257</v>
      </c>
      <c r="D1300" t="e">
        <f t="shared" ca="1" si="40"/>
        <v>#NAME?</v>
      </c>
      <c r="E1300" s="115" t="e">
        <f t="array" aca="1" ref="E1300" ca="1">IF(OR(C1299=0,AND(B1301=0,C1301=0)),"",IFERROR(INDEX($F$27:$F$36,MATCH(C1300,($F$27:$F$36)*($D$27:$D$36&lt;&gt;0),0)),IF(OR(AND(D1300=0,B1300=0,B1301&lt;&gt;0),AND(D1300*D1299&lt;0,B1300&lt;&gt;0)),IF(D1300=0,C1300,C1300*(1-ABS(D1300)/(ABS(D1300)+ABS(D1299)))+C1299*(1-ABS(D1299)/(ABS(D1300)+ABS(D1299)))),"")))</f>
        <v>#NAME?</v>
      </c>
    </row>
    <row r="1301" spans="2:5" x14ac:dyDescent="0.25">
      <c r="B1301" t="e">
        <f t="shared" ca="1" si="41"/>
        <v>#NAME?</v>
      </c>
      <c r="C1301">
        <v>1258</v>
      </c>
      <c r="D1301" t="e">
        <f t="shared" ca="1" si="40"/>
        <v>#NAME?</v>
      </c>
      <c r="E1301" s="115" t="e">
        <f t="array" aca="1" ref="E1301" ca="1">IF(OR(C1300=0,AND(B1302=0,C1302=0)),"",IFERROR(INDEX($F$27:$F$36,MATCH(C1301,($F$27:$F$36)*($D$27:$D$36&lt;&gt;0),0)),IF(OR(AND(D1301=0,B1301=0,B1302&lt;&gt;0),AND(D1301*D1300&lt;0,B1301&lt;&gt;0)),IF(D1301=0,C1301,C1301*(1-ABS(D1301)/(ABS(D1301)+ABS(D1300)))+C1300*(1-ABS(D1300)/(ABS(D1301)+ABS(D1300)))),"")))</f>
        <v>#NAME?</v>
      </c>
    </row>
    <row r="1302" spans="2:5" x14ac:dyDescent="0.25">
      <c r="B1302" t="e">
        <f t="shared" ca="1" si="41"/>
        <v>#NAME?</v>
      </c>
      <c r="C1302">
        <v>1259</v>
      </c>
      <c r="D1302" t="e">
        <f t="shared" ca="1" si="40"/>
        <v>#NAME?</v>
      </c>
      <c r="E1302" s="115" t="e">
        <f t="array" aca="1" ref="E1302" ca="1">IF(OR(C1301=0,AND(B1303=0,C1303=0)),"",IFERROR(INDEX($F$27:$F$36,MATCH(C1302,($F$27:$F$36)*($D$27:$D$36&lt;&gt;0),0)),IF(OR(AND(D1302=0,B1302=0,B1303&lt;&gt;0),AND(D1302*D1301&lt;0,B1302&lt;&gt;0)),IF(D1302=0,C1302,C1302*(1-ABS(D1302)/(ABS(D1302)+ABS(D1301)))+C1301*(1-ABS(D1301)/(ABS(D1302)+ABS(D1301)))),"")))</f>
        <v>#NAME?</v>
      </c>
    </row>
    <row r="1303" spans="2:5" x14ac:dyDescent="0.25">
      <c r="B1303" t="e">
        <f t="shared" ca="1" si="41"/>
        <v>#NAME?</v>
      </c>
      <c r="C1303">
        <v>1260</v>
      </c>
      <c r="D1303" t="e">
        <f t="shared" ca="1" si="40"/>
        <v>#NAME?</v>
      </c>
      <c r="E1303" s="115" t="e">
        <f t="array" aca="1" ref="E1303" ca="1">IF(OR(C1302=0,AND(B1304=0,C1304=0)),"",IFERROR(INDEX($F$27:$F$36,MATCH(C1303,($F$27:$F$36)*($D$27:$D$36&lt;&gt;0),0)),IF(OR(AND(D1303=0,B1303=0,B1304&lt;&gt;0),AND(D1303*D1302&lt;0,B1303&lt;&gt;0)),IF(D1303=0,C1303,C1303*(1-ABS(D1303)/(ABS(D1303)+ABS(D1302)))+C1302*(1-ABS(D1302)/(ABS(D1303)+ABS(D1302)))),"")))</f>
        <v>#NAME?</v>
      </c>
    </row>
    <row r="1304" spans="2:5" x14ac:dyDescent="0.25">
      <c r="B1304" t="e">
        <f t="shared" ca="1" si="41"/>
        <v>#NAME?</v>
      </c>
      <c r="C1304">
        <v>1261</v>
      </c>
      <c r="D1304" t="e">
        <f t="shared" ca="1" si="40"/>
        <v>#NAME?</v>
      </c>
      <c r="E1304" s="115" t="e">
        <f t="array" aca="1" ref="E1304" ca="1">IF(OR(C1303=0,AND(B1305=0,C1305=0)),"",IFERROR(INDEX($F$27:$F$36,MATCH(C1304,($F$27:$F$36)*($D$27:$D$36&lt;&gt;0),0)),IF(OR(AND(D1304=0,B1304=0,B1305&lt;&gt;0),AND(D1304*D1303&lt;0,B1304&lt;&gt;0)),IF(D1304=0,C1304,C1304*(1-ABS(D1304)/(ABS(D1304)+ABS(D1303)))+C1303*(1-ABS(D1303)/(ABS(D1304)+ABS(D1303)))),"")))</f>
        <v>#NAME?</v>
      </c>
    </row>
    <row r="1305" spans="2:5" x14ac:dyDescent="0.25">
      <c r="B1305" t="e">
        <f t="shared" ca="1" si="41"/>
        <v>#NAME?</v>
      </c>
      <c r="C1305">
        <v>1262</v>
      </c>
      <c r="D1305" t="e">
        <f t="shared" ca="1" si="40"/>
        <v>#NAME?</v>
      </c>
      <c r="E1305" s="115" t="e">
        <f t="array" aca="1" ref="E1305" ca="1">IF(OR(C1304=0,AND(B1306=0,C1306=0)),"",IFERROR(INDEX($F$27:$F$36,MATCH(C1305,($F$27:$F$36)*($D$27:$D$36&lt;&gt;0),0)),IF(OR(AND(D1305=0,B1305=0,B1306&lt;&gt;0),AND(D1305*D1304&lt;0,B1305&lt;&gt;0)),IF(D1305=0,C1305,C1305*(1-ABS(D1305)/(ABS(D1305)+ABS(D1304)))+C1304*(1-ABS(D1304)/(ABS(D1305)+ABS(D1304)))),"")))</f>
        <v>#NAME?</v>
      </c>
    </row>
    <row r="1306" spans="2:5" x14ac:dyDescent="0.25">
      <c r="B1306" t="e">
        <f t="shared" ca="1" si="41"/>
        <v>#NAME?</v>
      </c>
      <c r="C1306">
        <v>1263</v>
      </c>
      <c r="D1306" t="e">
        <f t="shared" ca="1" si="40"/>
        <v>#NAME?</v>
      </c>
      <c r="E1306" s="115" t="e">
        <f t="array" aca="1" ref="E1306" ca="1">IF(OR(C1305=0,AND(B1307=0,C1307=0)),"",IFERROR(INDEX($F$27:$F$36,MATCH(C1306,($F$27:$F$36)*($D$27:$D$36&lt;&gt;0),0)),IF(OR(AND(D1306=0,B1306=0,B1307&lt;&gt;0),AND(D1306*D1305&lt;0,B1306&lt;&gt;0)),IF(D1306=0,C1306,C1306*(1-ABS(D1306)/(ABS(D1306)+ABS(D1305)))+C1305*(1-ABS(D1305)/(ABS(D1306)+ABS(D1305)))),"")))</f>
        <v>#NAME?</v>
      </c>
    </row>
    <row r="1307" spans="2:5" x14ac:dyDescent="0.25">
      <c r="B1307" t="e">
        <f t="shared" ca="1" si="41"/>
        <v>#NAME?</v>
      </c>
      <c r="C1307">
        <v>1264</v>
      </c>
      <c r="D1307" t="e">
        <f t="shared" ca="1" si="40"/>
        <v>#NAME?</v>
      </c>
      <c r="E1307" s="115" t="e">
        <f t="array" aca="1" ref="E1307" ca="1">IF(OR(C1306=0,AND(B1308=0,C1308=0)),"",IFERROR(INDEX($F$27:$F$36,MATCH(C1307,($F$27:$F$36)*($D$27:$D$36&lt;&gt;0),0)),IF(OR(AND(D1307=0,B1307=0,B1308&lt;&gt;0),AND(D1307*D1306&lt;0,B1307&lt;&gt;0)),IF(D1307=0,C1307,C1307*(1-ABS(D1307)/(ABS(D1307)+ABS(D1306)))+C1306*(1-ABS(D1306)/(ABS(D1307)+ABS(D1306)))),"")))</f>
        <v>#NAME?</v>
      </c>
    </row>
    <row r="1308" spans="2:5" x14ac:dyDescent="0.25">
      <c r="B1308" t="e">
        <f t="shared" ca="1" si="41"/>
        <v>#NAME?</v>
      </c>
      <c r="C1308">
        <v>1265</v>
      </c>
      <c r="D1308" t="e">
        <f t="shared" ca="1" si="40"/>
        <v>#NAME?</v>
      </c>
      <c r="E1308" s="115" t="e">
        <f t="array" aca="1" ref="E1308" ca="1">IF(OR(C1307=0,AND(B1309=0,C1309=0)),"",IFERROR(INDEX($F$27:$F$36,MATCH(C1308,($F$27:$F$36)*($D$27:$D$36&lt;&gt;0),0)),IF(OR(AND(D1308=0,B1308=0,B1309&lt;&gt;0),AND(D1308*D1307&lt;0,B1308&lt;&gt;0)),IF(D1308=0,C1308,C1308*(1-ABS(D1308)/(ABS(D1308)+ABS(D1307)))+C1307*(1-ABS(D1307)/(ABS(D1308)+ABS(D1307)))),"")))</f>
        <v>#NAME?</v>
      </c>
    </row>
    <row r="1309" spans="2:5" x14ac:dyDescent="0.25">
      <c r="B1309" t="e">
        <f t="shared" ca="1" si="41"/>
        <v>#NAME?</v>
      </c>
      <c r="C1309">
        <v>1266</v>
      </c>
      <c r="D1309" t="e">
        <f t="shared" ca="1" si="40"/>
        <v>#NAME?</v>
      </c>
      <c r="E1309" s="115" t="e">
        <f t="array" aca="1" ref="E1309" ca="1">IF(OR(C1308=0,AND(B1310=0,C1310=0)),"",IFERROR(INDEX($F$27:$F$36,MATCH(C1309,($F$27:$F$36)*($D$27:$D$36&lt;&gt;0),0)),IF(OR(AND(D1309=0,B1309=0,B1310&lt;&gt;0),AND(D1309*D1308&lt;0,B1309&lt;&gt;0)),IF(D1309=0,C1309,C1309*(1-ABS(D1309)/(ABS(D1309)+ABS(D1308)))+C1308*(1-ABS(D1308)/(ABS(D1309)+ABS(D1308)))),"")))</f>
        <v>#NAME?</v>
      </c>
    </row>
    <row r="1310" spans="2:5" x14ac:dyDescent="0.25">
      <c r="B1310" t="e">
        <f t="shared" ca="1" si="41"/>
        <v>#NAME?</v>
      </c>
      <c r="C1310">
        <v>1267</v>
      </c>
      <c r="D1310" t="e">
        <f t="shared" ca="1" si="40"/>
        <v>#NAME?</v>
      </c>
      <c r="E1310" s="115" t="e">
        <f t="array" aca="1" ref="E1310" ca="1">IF(OR(C1309=0,AND(B1311=0,C1311=0)),"",IFERROR(INDEX($F$27:$F$36,MATCH(C1310,($F$27:$F$36)*($D$27:$D$36&lt;&gt;0),0)),IF(OR(AND(D1310=0,B1310=0,B1311&lt;&gt;0),AND(D1310*D1309&lt;0,B1310&lt;&gt;0)),IF(D1310=0,C1310,C1310*(1-ABS(D1310)/(ABS(D1310)+ABS(D1309)))+C1309*(1-ABS(D1309)/(ABS(D1310)+ABS(D1309)))),"")))</f>
        <v>#NAME?</v>
      </c>
    </row>
    <row r="1311" spans="2:5" x14ac:dyDescent="0.25">
      <c r="B1311" t="e">
        <f t="shared" ca="1" si="41"/>
        <v>#NAME?</v>
      </c>
      <c r="C1311">
        <v>1268</v>
      </c>
      <c r="D1311" t="e">
        <f t="shared" ca="1" si="40"/>
        <v>#NAME?</v>
      </c>
      <c r="E1311" s="115" t="e">
        <f t="array" aca="1" ref="E1311" ca="1">IF(OR(C1310=0,AND(B1312=0,C1312=0)),"",IFERROR(INDEX($F$27:$F$36,MATCH(C1311,($F$27:$F$36)*($D$27:$D$36&lt;&gt;0),0)),IF(OR(AND(D1311=0,B1311=0,B1312&lt;&gt;0),AND(D1311*D1310&lt;0,B1311&lt;&gt;0)),IF(D1311=0,C1311,C1311*(1-ABS(D1311)/(ABS(D1311)+ABS(D1310)))+C1310*(1-ABS(D1310)/(ABS(D1311)+ABS(D1310)))),"")))</f>
        <v>#NAME?</v>
      </c>
    </row>
    <row r="1312" spans="2:5" x14ac:dyDescent="0.25">
      <c r="B1312" t="e">
        <f t="shared" ca="1" si="41"/>
        <v>#NAME?</v>
      </c>
      <c r="C1312">
        <v>1269</v>
      </c>
      <c r="D1312" t="e">
        <f t="shared" ca="1" si="40"/>
        <v>#NAME?</v>
      </c>
      <c r="E1312" s="115" t="e">
        <f t="array" aca="1" ref="E1312" ca="1">IF(OR(C1311=0,AND(B1313=0,C1313=0)),"",IFERROR(INDEX($F$27:$F$36,MATCH(C1312,($F$27:$F$36)*($D$27:$D$36&lt;&gt;0),0)),IF(OR(AND(D1312=0,B1312=0,B1313&lt;&gt;0),AND(D1312*D1311&lt;0,B1312&lt;&gt;0)),IF(D1312=0,C1312,C1312*(1-ABS(D1312)/(ABS(D1312)+ABS(D1311)))+C1311*(1-ABS(D1311)/(ABS(D1312)+ABS(D1311)))),"")))</f>
        <v>#NAME?</v>
      </c>
    </row>
    <row r="1313" spans="2:5" x14ac:dyDescent="0.25">
      <c r="B1313" t="e">
        <f t="shared" ca="1" si="41"/>
        <v>#NAME?</v>
      </c>
      <c r="C1313">
        <v>1270</v>
      </c>
      <c r="D1313" t="e">
        <f t="shared" ca="1" si="40"/>
        <v>#NAME?</v>
      </c>
      <c r="E1313" s="115" t="e">
        <f t="array" aca="1" ref="E1313" ca="1">IF(OR(C1312=0,AND(B1314=0,C1314=0)),"",IFERROR(INDEX($F$27:$F$36,MATCH(C1313,($F$27:$F$36)*($D$27:$D$36&lt;&gt;0),0)),IF(OR(AND(D1313=0,B1313=0,B1314&lt;&gt;0),AND(D1313*D1312&lt;0,B1313&lt;&gt;0)),IF(D1313=0,C1313,C1313*(1-ABS(D1313)/(ABS(D1313)+ABS(D1312)))+C1312*(1-ABS(D1312)/(ABS(D1313)+ABS(D1312)))),"")))</f>
        <v>#NAME?</v>
      </c>
    </row>
    <row r="1314" spans="2:5" x14ac:dyDescent="0.25">
      <c r="B1314" t="e">
        <f t="shared" ca="1" si="41"/>
        <v>#NAME?</v>
      </c>
      <c r="C1314">
        <v>1271</v>
      </c>
      <c r="D1314" t="e">
        <f t="shared" ca="1" si="40"/>
        <v>#NAME?</v>
      </c>
      <c r="E1314" s="115" t="e">
        <f t="array" aca="1" ref="E1314" ca="1">IF(OR(C1313=0,AND(B1315=0,C1315=0)),"",IFERROR(INDEX($F$27:$F$36,MATCH(C1314,($F$27:$F$36)*($D$27:$D$36&lt;&gt;0),0)),IF(OR(AND(D1314=0,B1314=0,B1315&lt;&gt;0),AND(D1314*D1313&lt;0,B1314&lt;&gt;0)),IF(D1314=0,C1314,C1314*(1-ABS(D1314)/(ABS(D1314)+ABS(D1313)))+C1313*(1-ABS(D1313)/(ABS(D1314)+ABS(D1313)))),"")))</f>
        <v>#NAME?</v>
      </c>
    </row>
    <row r="1315" spans="2:5" x14ac:dyDescent="0.25">
      <c r="B1315" t="e">
        <f t="shared" ca="1" si="41"/>
        <v>#NAME?</v>
      </c>
      <c r="C1315">
        <v>1272</v>
      </c>
      <c r="D1315" t="e">
        <f t="shared" ca="1" si="40"/>
        <v>#NAME?</v>
      </c>
      <c r="E1315" s="115" t="e">
        <f t="array" aca="1" ref="E1315" ca="1">IF(OR(C1314=0,AND(B1316=0,C1316=0)),"",IFERROR(INDEX($F$27:$F$36,MATCH(C1315,($F$27:$F$36)*($D$27:$D$36&lt;&gt;0),0)),IF(OR(AND(D1315=0,B1315=0,B1316&lt;&gt;0),AND(D1315*D1314&lt;0,B1315&lt;&gt;0)),IF(D1315=0,C1315,C1315*(1-ABS(D1315)/(ABS(D1315)+ABS(D1314)))+C1314*(1-ABS(D1314)/(ABS(D1315)+ABS(D1314)))),"")))</f>
        <v>#NAME?</v>
      </c>
    </row>
    <row r="1316" spans="2:5" x14ac:dyDescent="0.25">
      <c r="B1316" t="e">
        <f t="shared" ca="1" si="41"/>
        <v>#NAME?</v>
      </c>
      <c r="C1316">
        <v>1273</v>
      </c>
      <c r="D1316" t="e">
        <f t="shared" ca="1" si="40"/>
        <v>#NAME?</v>
      </c>
      <c r="E1316" s="115" t="e">
        <f t="array" aca="1" ref="E1316" ca="1">IF(OR(C1315=0,AND(B1317=0,C1317=0)),"",IFERROR(INDEX($F$27:$F$36,MATCH(C1316,($F$27:$F$36)*($D$27:$D$36&lt;&gt;0),0)),IF(OR(AND(D1316=0,B1316=0,B1317&lt;&gt;0),AND(D1316*D1315&lt;0,B1316&lt;&gt;0)),IF(D1316=0,C1316,C1316*(1-ABS(D1316)/(ABS(D1316)+ABS(D1315)))+C1315*(1-ABS(D1315)/(ABS(D1316)+ABS(D1315)))),"")))</f>
        <v>#NAME?</v>
      </c>
    </row>
    <row r="1317" spans="2:5" x14ac:dyDescent="0.25">
      <c r="B1317" t="e">
        <f t="shared" ca="1" si="41"/>
        <v>#NAME?</v>
      </c>
      <c r="C1317">
        <v>1274</v>
      </c>
      <c r="D1317" t="e">
        <f t="shared" ca="1" si="40"/>
        <v>#NAME?</v>
      </c>
      <c r="E1317" s="115" t="e">
        <f t="array" aca="1" ref="E1317" ca="1">IF(OR(C1316=0,AND(B1318=0,C1318=0)),"",IFERROR(INDEX($F$27:$F$36,MATCH(C1317,($F$27:$F$36)*($D$27:$D$36&lt;&gt;0),0)),IF(OR(AND(D1317=0,B1317=0,B1318&lt;&gt;0),AND(D1317*D1316&lt;0,B1317&lt;&gt;0)),IF(D1317=0,C1317,C1317*(1-ABS(D1317)/(ABS(D1317)+ABS(D1316)))+C1316*(1-ABS(D1316)/(ABS(D1317)+ABS(D1316)))),"")))</f>
        <v>#NAME?</v>
      </c>
    </row>
    <row r="1318" spans="2:5" x14ac:dyDescent="0.25">
      <c r="B1318" t="e">
        <f t="shared" ca="1" si="41"/>
        <v>#NAME?</v>
      </c>
      <c r="C1318">
        <v>1275</v>
      </c>
      <c r="D1318" t="e">
        <f t="shared" ca="1" si="40"/>
        <v>#NAME?</v>
      </c>
      <c r="E1318" s="115" t="e">
        <f t="array" aca="1" ref="E1318" ca="1">IF(OR(C1317=0,AND(B1319=0,C1319=0)),"",IFERROR(INDEX($F$27:$F$36,MATCH(C1318,($F$27:$F$36)*($D$27:$D$36&lt;&gt;0),0)),IF(OR(AND(D1318=0,B1318=0,B1319&lt;&gt;0),AND(D1318*D1317&lt;0,B1318&lt;&gt;0)),IF(D1318=0,C1318,C1318*(1-ABS(D1318)/(ABS(D1318)+ABS(D1317)))+C1317*(1-ABS(D1317)/(ABS(D1318)+ABS(D1317)))),"")))</f>
        <v>#NAME?</v>
      </c>
    </row>
    <row r="1319" spans="2:5" x14ac:dyDescent="0.25">
      <c r="B1319" t="e">
        <f t="shared" ca="1" si="41"/>
        <v>#NAME?</v>
      </c>
      <c r="C1319">
        <v>1276</v>
      </c>
      <c r="D1319" t="e">
        <f t="shared" ca="1" si="40"/>
        <v>#NAME?</v>
      </c>
      <c r="E1319" s="115" t="e">
        <f t="array" aca="1" ref="E1319" ca="1">IF(OR(C1318=0,AND(B1320=0,C1320=0)),"",IFERROR(INDEX($F$27:$F$36,MATCH(C1319,($F$27:$F$36)*($D$27:$D$36&lt;&gt;0),0)),IF(OR(AND(D1319=0,B1319=0,B1320&lt;&gt;0),AND(D1319*D1318&lt;0,B1319&lt;&gt;0)),IF(D1319=0,C1319,C1319*(1-ABS(D1319)/(ABS(D1319)+ABS(D1318)))+C1318*(1-ABS(D1318)/(ABS(D1319)+ABS(D1318)))),"")))</f>
        <v>#NAME?</v>
      </c>
    </row>
    <row r="1320" spans="2:5" x14ac:dyDescent="0.25">
      <c r="B1320" t="e">
        <f t="shared" ca="1" si="41"/>
        <v>#NAME?</v>
      </c>
      <c r="C1320">
        <v>1277</v>
      </c>
      <c r="D1320" t="e">
        <f t="shared" ca="1" si="40"/>
        <v>#NAME?</v>
      </c>
      <c r="E1320" s="115" t="e">
        <f t="array" aca="1" ref="E1320" ca="1">IF(OR(C1319=0,AND(B1321=0,C1321=0)),"",IFERROR(INDEX($F$27:$F$36,MATCH(C1320,($F$27:$F$36)*($D$27:$D$36&lt;&gt;0),0)),IF(OR(AND(D1320=0,B1320=0,B1321&lt;&gt;0),AND(D1320*D1319&lt;0,B1320&lt;&gt;0)),IF(D1320=0,C1320,C1320*(1-ABS(D1320)/(ABS(D1320)+ABS(D1319)))+C1319*(1-ABS(D1319)/(ABS(D1320)+ABS(D1319)))),"")))</f>
        <v>#NAME?</v>
      </c>
    </row>
    <row r="1321" spans="2:5" x14ac:dyDescent="0.25">
      <c r="B1321" t="e">
        <f t="shared" ca="1" si="41"/>
        <v>#NAME?</v>
      </c>
      <c r="C1321">
        <v>1278</v>
      </c>
      <c r="D1321" t="e">
        <f t="shared" ca="1" si="40"/>
        <v>#NAME?</v>
      </c>
      <c r="E1321" s="115" t="e">
        <f t="array" aca="1" ref="E1321" ca="1">IF(OR(C1320=0,AND(B1322=0,C1322=0)),"",IFERROR(INDEX($F$27:$F$36,MATCH(C1321,($F$27:$F$36)*($D$27:$D$36&lt;&gt;0),0)),IF(OR(AND(D1321=0,B1321=0,B1322&lt;&gt;0),AND(D1321*D1320&lt;0,B1321&lt;&gt;0)),IF(D1321=0,C1321,C1321*(1-ABS(D1321)/(ABS(D1321)+ABS(D1320)))+C1320*(1-ABS(D1320)/(ABS(D1321)+ABS(D1320)))),"")))</f>
        <v>#NAME?</v>
      </c>
    </row>
    <row r="1322" spans="2:5" x14ac:dyDescent="0.25">
      <c r="B1322" t="e">
        <f t="shared" ca="1" si="41"/>
        <v>#NAME?</v>
      </c>
      <c r="C1322">
        <v>1279</v>
      </c>
      <c r="D1322" t="e">
        <f t="shared" ca="1" si="40"/>
        <v>#NAME?</v>
      </c>
      <c r="E1322" s="115" t="e">
        <f t="array" aca="1" ref="E1322" ca="1">IF(OR(C1321=0,AND(B1323=0,C1323=0)),"",IFERROR(INDEX($F$27:$F$36,MATCH(C1322,($F$27:$F$36)*($D$27:$D$36&lt;&gt;0),0)),IF(OR(AND(D1322=0,B1322=0,B1323&lt;&gt;0),AND(D1322*D1321&lt;0,B1322&lt;&gt;0)),IF(D1322=0,C1322,C1322*(1-ABS(D1322)/(ABS(D1322)+ABS(D1321)))+C1321*(1-ABS(D1321)/(ABS(D1322)+ABS(D1321)))),"")))</f>
        <v>#NAME?</v>
      </c>
    </row>
    <row r="1323" spans="2:5" x14ac:dyDescent="0.25">
      <c r="B1323" t="e">
        <f t="shared" ca="1" si="41"/>
        <v>#NAME?</v>
      </c>
      <c r="C1323">
        <v>1280</v>
      </c>
      <c r="D1323" t="e">
        <f t="shared" ref="D1323:D1386" ca="1" si="42">SUMPRODUCT(--($J$27:$J$37&gt;0),--($C1323-$F$27:$F$37&gt;0),($D$27:$D$37),($C1323-$F$27:$F$37))+SUMPRODUCT(--($J$27:$J$37&lt;0),--($F$27:$F$37-$C1323&gt;0),($D$27:$D$37),($F$27:$F$37-$C1323))-SUMPRODUCT($D$27:$D$37,$E$27:$E$37)</f>
        <v>#NAME?</v>
      </c>
      <c r="E1323" s="115" t="e">
        <f t="array" aca="1" ref="E1323" ca="1">IF(OR(C1322=0,AND(B1324=0,C1324=0)),"",IFERROR(INDEX($F$27:$F$36,MATCH(C1323,($F$27:$F$36)*($D$27:$D$36&lt;&gt;0),0)),IF(OR(AND(D1323=0,B1323=0,B1324&lt;&gt;0),AND(D1323*D1322&lt;0,B1323&lt;&gt;0)),IF(D1323=0,C1323,C1323*(1-ABS(D1323)/(ABS(D1323)+ABS(D1322)))+C1322*(1-ABS(D1322)/(ABS(D1323)+ABS(D1322)))),"")))</f>
        <v>#NAME?</v>
      </c>
    </row>
    <row r="1324" spans="2:5" x14ac:dyDescent="0.25">
      <c r="B1324" t="e">
        <f t="shared" ref="B1324:B1387" ca="1" si="43">ROUND((D1324-D1323)/(C1324-C1323),12)</f>
        <v>#NAME?</v>
      </c>
      <c r="C1324">
        <v>1281</v>
      </c>
      <c r="D1324" t="e">
        <f t="shared" ca="1" si="42"/>
        <v>#NAME?</v>
      </c>
      <c r="E1324" s="115" t="e">
        <f t="array" aca="1" ref="E1324" ca="1">IF(OR(C1323=0,AND(B1325=0,C1325=0)),"",IFERROR(INDEX($F$27:$F$36,MATCH(C1324,($F$27:$F$36)*($D$27:$D$36&lt;&gt;0),0)),IF(OR(AND(D1324=0,B1324=0,B1325&lt;&gt;0),AND(D1324*D1323&lt;0,B1324&lt;&gt;0)),IF(D1324=0,C1324,C1324*(1-ABS(D1324)/(ABS(D1324)+ABS(D1323)))+C1323*(1-ABS(D1323)/(ABS(D1324)+ABS(D1323)))),"")))</f>
        <v>#NAME?</v>
      </c>
    </row>
    <row r="1325" spans="2:5" x14ac:dyDescent="0.25">
      <c r="B1325" t="e">
        <f t="shared" ca="1" si="43"/>
        <v>#NAME?</v>
      </c>
      <c r="C1325">
        <v>1282</v>
      </c>
      <c r="D1325" t="e">
        <f t="shared" ca="1" si="42"/>
        <v>#NAME?</v>
      </c>
      <c r="E1325" s="115" t="e">
        <f t="array" aca="1" ref="E1325" ca="1">IF(OR(C1324=0,AND(B1326=0,C1326=0)),"",IFERROR(INDEX($F$27:$F$36,MATCH(C1325,($F$27:$F$36)*($D$27:$D$36&lt;&gt;0),0)),IF(OR(AND(D1325=0,B1325=0,B1326&lt;&gt;0),AND(D1325*D1324&lt;0,B1325&lt;&gt;0)),IF(D1325=0,C1325,C1325*(1-ABS(D1325)/(ABS(D1325)+ABS(D1324)))+C1324*(1-ABS(D1324)/(ABS(D1325)+ABS(D1324)))),"")))</f>
        <v>#NAME?</v>
      </c>
    </row>
    <row r="1326" spans="2:5" x14ac:dyDescent="0.25">
      <c r="B1326" t="e">
        <f t="shared" ca="1" si="43"/>
        <v>#NAME?</v>
      </c>
      <c r="C1326">
        <v>1283</v>
      </c>
      <c r="D1326" t="e">
        <f t="shared" ca="1" si="42"/>
        <v>#NAME?</v>
      </c>
      <c r="E1326" s="115" t="e">
        <f t="array" aca="1" ref="E1326" ca="1">IF(OR(C1325=0,AND(B1327=0,C1327=0)),"",IFERROR(INDEX($F$27:$F$36,MATCH(C1326,($F$27:$F$36)*($D$27:$D$36&lt;&gt;0),0)),IF(OR(AND(D1326=0,B1326=0,B1327&lt;&gt;0),AND(D1326*D1325&lt;0,B1326&lt;&gt;0)),IF(D1326=0,C1326,C1326*(1-ABS(D1326)/(ABS(D1326)+ABS(D1325)))+C1325*(1-ABS(D1325)/(ABS(D1326)+ABS(D1325)))),"")))</f>
        <v>#NAME?</v>
      </c>
    </row>
    <row r="1327" spans="2:5" x14ac:dyDescent="0.25">
      <c r="B1327" t="e">
        <f t="shared" ca="1" si="43"/>
        <v>#NAME?</v>
      </c>
      <c r="C1327">
        <v>1284</v>
      </c>
      <c r="D1327" t="e">
        <f t="shared" ca="1" si="42"/>
        <v>#NAME?</v>
      </c>
      <c r="E1327" s="115" t="e">
        <f t="array" aca="1" ref="E1327" ca="1">IF(OR(C1326=0,AND(B1328=0,C1328=0)),"",IFERROR(INDEX($F$27:$F$36,MATCH(C1327,($F$27:$F$36)*($D$27:$D$36&lt;&gt;0),0)),IF(OR(AND(D1327=0,B1327=0,B1328&lt;&gt;0),AND(D1327*D1326&lt;0,B1327&lt;&gt;0)),IF(D1327=0,C1327,C1327*(1-ABS(D1327)/(ABS(D1327)+ABS(D1326)))+C1326*(1-ABS(D1326)/(ABS(D1327)+ABS(D1326)))),"")))</f>
        <v>#NAME?</v>
      </c>
    </row>
    <row r="1328" spans="2:5" x14ac:dyDescent="0.25">
      <c r="B1328" t="e">
        <f t="shared" ca="1" si="43"/>
        <v>#NAME?</v>
      </c>
      <c r="C1328">
        <v>1285</v>
      </c>
      <c r="D1328" t="e">
        <f t="shared" ca="1" si="42"/>
        <v>#NAME?</v>
      </c>
      <c r="E1328" s="115" t="e">
        <f t="array" aca="1" ref="E1328" ca="1">IF(OR(C1327=0,AND(B1329=0,C1329=0)),"",IFERROR(INDEX($F$27:$F$36,MATCH(C1328,($F$27:$F$36)*($D$27:$D$36&lt;&gt;0),0)),IF(OR(AND(D1328=0,B1328=0,B1329&lt;&gt;0),AND(D1328*D1327&lt;0,B1328&lt;&gt;0)),IF(D1328=0,C1328,C1328*(1-ABS(D1328)/(ABS(D1328)+ABS(D1327)))+C1327*(1-ABS(D1327)/(ABS(D1328)+ABS(D1327)))),"")))</f>
        <v>#NAME?</v>
      </c>
    </row>
    <row r="1329" spans="2:5" x14ac:dyDescent="0.25">
      <c r="B1329" t="e">
        <f t="shared" ca="1" si="43"/>
        <v>#NAME?</v>
      </c>
      <c r="C1329">
        <v>1286</v>
      </c>
      <c r="D1329" t="e">
        <f t="shared" ca="1" si="42"/>
        <v>#NAME?</v>
      </c>
      <c r="E1329" s="115" t="e">
        <f t="array" aca="1" ref="E1329" ca="1">IF(OR(C1328=0,AND(B1330=0,C1330=0)),"",IFERROR(INDEX($F$27:$F$36,MATCH(C1329,($F$27:$F$36)*($D$27:$D$36&lt;&gt;0),0)),IF(OR(AND(D1329=0,B1329=0,B1330&lt;&gt;0),AND(D1329*D1328&lt;0,B1329&lt;&gt;0)),IF(D1329=0,C1329,C1329*(1-ABS(D1329)/(ABS(D1329)+ABS(D1328)))+C1328*(1-ABS(D1328)/(ABS(D1329)+ABS(D1328)))),"")))</f>
        <v>#NAME?</v>
      </c>
    </row>
    <row r="1330" spans="2:5" x14ac:dyDescent="0.25">
      <c r="B1330" t="e">
        <f t="shared" ca="1" si="43"/>
        <v>#NAME?</v>
      </c>
      <c r="C1330">
        <v>1287</v>
      </c>
      <c r="D1330" t="e">
        <f t="shared" ca="1" si="42"/>
        <v>#NAME?</v>
      </c>
      <c r="E1330" s="115" t="e">
        <f t="array" aca="1" ref="E1330" ca="1">IF(OR(C1329=0,AND(B1331=0,C1331=0)),"",IFERROR(INDEX($F$27:$F$36,MATCH(C1330,($F$27:$F$36)*($D$27:$D$36&lt;&gt;0),0)),IF(OR(AND(D1330=0,B1330=0,B1331&lt;&gt;0),AND(D1330*D1329&lt;0,B1330&lt;&gt;0)),IF(D1330=0,C1330,C1330*(1-ABS(D1330)/(ABS(D1330)+ABS(D1329)))+C1329*(1-ABS(D1329)/(ABS(D1330)+ABS(D1329)))),"")))</f>
        <v>#NAME?</v>
      </c>
    </row>
    <row r="1331" spans="2:5" x14ac:dyDescent="0.25">
      <c r="B1331" t="e">
        <f t="shared" ca="1" si="43"/>
        <v>#NAME?</v>
      </c>
      <c r="C1331">
        <v>1288</v>
      </c>
      <c r="D1331" t="e">
        <f t="shared" ca="1" si="42"/>
        <v>#NAME?</v>
      </c>
      <c r="E1331" s="115" t="e">
        <f t="array" aca="1" ref="E1331" ca="1">IF(OR(C1330=0,AND(B1332=0,C1332=0)),"",IFERROR(INDEX($F$27:$F$36,MATCH(C1331,($F$27:$F$36)*($D$27:$D$36&lt;&gt;0),0)),IF(OR(AND(D1331=0,B1331=0,B1332&lt;&gt;0),AND(D1331*D1330&lt;0,B1331&lt;&gt;0)),IF(D1331=0,C1331,C1331*(1-ABS(D1331)/(ABS(D1331)+ABS(D1330)))+C1330*(1-ABS(D1330)/(ABS(D1331)+ABS(D1330)))),"")))</f>
        <v>#NAME?</v>
      </c>
    </row>
    <row r="1332" spans="2:5" x14ac:dyDescent="0.25">
      <c r="B1332" t="e">
        <f t="shared" ca="1" si="43"/>
        <v>#NAME?</v>
      </c>
      <c r="C1332">
        <v>1289</v>
      </c>
      <c r="D1332" t="e">
        <f t="shared" ca="1" si="42"/>
        <v>#NAME?</v>
      </c>
      <c r="E1332" s="115" t="e">
        <f t="array" aca="1" ref="E1332" ca="1">IF(OR(C1331=0,AND(B1333=0,C1333=0)),"",IFERROR(INDEX($F$27:$F$36,MATCH(C1332,($F$27:$F$36)*($D$27:$D$36&lt;&gt;0),0)),IF(OR(AND(D1332=0,B1332=0,B1333&lt;&gt;0),AND(D1332*D1331&lt;0,B1332&lt;&gt;0)),IF(D1332=0,C1332,C1332*(1-ABS(D1332)/(ABS(D1332)+ABS(D1331)))+C1331*(1-ABS(D1331)/(ABS(D1332)+ABS(D1331)))),"")))</f>
        <v>#NAME?</v>
      </c>
    </row>
    <row r="1333" spans="2:5" x14ac:dyDescent="0.25">
      <c r="B1333" t="e">
        <f t="shared" ca="1" si="43"/>
        <v>#NAME?</v>
      </c>
      <c r="C1333">
        <v>1290</v>
      </c>
      <c r="D1333" t="e">
        <f t="shared" ca="1" si="42"/>
        <v>#NAME?</v>
      </c>
      <c r="E1333" s="115" t="e">
        <f t="array" aca="1" ref="E1333" ca="1">IF(OR(C1332=0,AND(B1334=0,C1334=0)),"",IFERROR(INDEX($F$27:$F$36,MATCH(C1333,($F$27:$F$36)*($D$27:$D$36&lt;&gt;0),0)),IF(OR(AND(D1333=0,B1333=0,B1334&lt;&gt;0),AND(D1333*D1332&lt;0,B1333&lt;&gt;0)),IF(D1333=0,C1333,C1333*(1-ABS(D1333)/(ABS(D1333)+ABS(D1332)))+C1332*(1-ABS(D1332)/(ABS(D1333)+ABS(D1332)))),"")))</f>
        <v>#NAME?</v>
      </c>
    </row>
    <row r="1334" spans="2:5" x14ac:dyDescent="0.25">
      <c r="B1334" t="e">
        <f t="shared" ca="1" si="43"/>
        <v>#NAME?</v>
      </c>
      <c r="C1334">
        <v>1291</v>
      </c>
      <c r="D1334" t="e">
        <f t="shared" ca="1" si="42"/>
        <v>#NAME?</v>
      </c>
      <c r="E1334" s="115" t="e">
        <f t="array" aca="1" ref="E1334" ca="1">IF(OR(C1333=0,AND(B1335=0,C1335=0)),"",IFERROR(INDEX($F$27:$F$36,MATCH(C1334,($F$27:$F$36)*($D$27:$D$36&lt;&gt;0),0)),IF(OR(AND(D1334=0,B1334=0,B1335&lt;&gt;0),AND(D1334*D1333&lt;0,B1334&lt;&gt;0)),IF(D1334=0,C1334,C1334*(1-ABS(D1334)/(ABS(D1334)+ABS(D1333)))+C1333*(1-ABS(D1333)/(ABS(D1334)+ABS(D1333)))),"")))</f>
        <v>#NAME?</v>
      </c>
    </row>
    <row r="1335" spans="2:5" x14ac:dyDescent="0.25">
      <c r="B1335" t="e">
        <f t="shared" ca="1" si="43"/>
        <v>#NAME?</v>
      </c>
      <c r="C1335">
        <v>1292</v>
      </c>
      <c r="D1335" t="e">
        <f t="shared" ca="1" si="42"/>
        <v>#NAME?</v>
      </c>
      <c r="E1335" s="115" t="e">
        <f t="array" aca="1" ref="E1335" ca="1">IF(OR(C1334=0,AND(B1336=0,C1336=0)),"",IFERROR(INDEX($F$27:$F$36,MATCH(C1335,($F$27:$F$36)*($D$27:$D$36&lt;&gt;0),0)),IF(OR(AND(D1335=0,B1335=0,B1336&lt;&gt;0),AND(D1335*D1334&lt;0,B1335&lt;&gt;0)),IF(D1335=0,C1335,C1335*(1-ABS(D1335)/(ABS(D1335)+ABS(D1334)))+C1334*(1-ABS(D1334)/(ABS(D1335)+ABS(D1334)))),"")))</f>
        <v>#NAME?</v>
      </c>
    </row>
    <row r="1336" spans="2:5" x14ac:dyDescent="0.25">
      <c r="B1336" t="e">
        <f t="shared" ca="1" si="43"/>
        <v>#NAME?</v>
      </c>
      <c r="C1336">
        <v>1293</v>
      </c>
      <c r="D1336" t="e">
        <f t="shared" ca="1" si="42"/>
        <v>#NAME?</v>
      </c>
      <c r="E1336" s="115" t="e">
        <f t="array" aca="1" ref="E1336" ca="1">IF(OR(C1335=0,AND(B1337=0,C1337=0)),"",IFERROR(INDEX($F$27:$F$36,MATCH(C1336,($F$27:$F$36)*($D$27:$D$36&lt;&gt;0),0)),IF(OR(AND(D1336=0,B1336=0,B1337&lt;&gt;0),AND(D1336*D1335&lt;0,B1336&lt;&gt;0)),IF(D1336=0,C1336,C1336*(1-ABS(D1336)/(ABS(D1336)+ABS(D1335)))+C1335*(1-ABS(D1335)/(ABS(D1336)+ABS(D1335)))),"")))</f>
        <v>#NAME?</v>
      </c>
    </row>
    <row r="1337" spans="2:5" x14ac:dyDescent="0.25">
      <c r="B1337" t="e">
        <f t="shared" ca="1" si="43"/>
        <v>#NAME?</v>
      </c>
      <c r="C1337">
        <v>1294</v>
      </c>
      <c r="D1337" t="e">
        <f t="shared" ca="1" si="42"/>
        <v>#NAME?</v>
      </c>
      <c r="E1337" s="115" t="e">
        <f t="array" aca="1" ref="E1337" ca="1">IF(OR(C1336=0,AND(B1338=0,C1338=0)),"",IFERROR(INDEX($F$27:$F$36,MATCH(C1337,($F$27:$F$36)*($D$27:$D$36&lt;&gt;0),0)),IF(OR(AND(D1337=0,B1337=0,B1338&lt;&gt;0),AND(D1337*D1336&lt;0,B1337&lt;&gt;0)),IF(D1337=0,C1337,C1337*(1-ABS(D1337)/(ABS(D1337)+ABS(D1336)))+C1336*(1-ABS(D1336)/(ABS(D1337)+ABS(D1336)))),"")))</f>
        <v>#NAME?</v>
      </c>
    </row>
    <row r="1338" spans="2:5" x14ac:dyDescent="0.25">
      <c r="B1338" t="e">
        <f t="shared" ca="1" si="43"/>
        <v>#NAME?</v>
      </c>
      <c r="C1338">
        <v>1295</v>
      </c>
      <c r="D1338" t="e">
        <f t="shared" ca="1" si="42"/>
        <v>#NAME?</v>
      </c>
      <c r="E1338" s="115" t="e">
        <f t="array" aca="1" ref="E1338" ca="1">IF(OR(C1337=0,AND(B1339=0,C1339=0)),"",IFERROR(INDEX($F$27:$F$36,MATCH(C1338,($F$27:$F$36)*($D$27:$D$36&lt;&gt;0),0)),IF(OR(AND(D1338=0,B1338=0,B1339&lt;&gt;0),AND(D1338*D1337&lt;0,B1338&lt;&gt;0)),IF(D1338=0,C1338,C1338*(1-ABS(D1338)/(ABS(D1338)+ABS(D1337)))+C1337*(1-ABS(D1337)/(ABS(D1338)+ABS(D1337)))),"")))</f>
        <v>#NAME?</v>
      </c>
    </row>
    <row r="1339" spans="2:5" x14ac:dyDescent="0.25">
      <c r="B1339" t="e">
        <f t="shared" ca="1" si="43"/>
        <v>#NAME?</v>
      </c>
      <c r="C1339">
        <v>1296</v>
      </c>
      <c r="D1339" t="e">
        <f t="shared" ca="1" si="42"/>
        <v>#NAME?</v>
      </c>
      <c r="E1339" s="115" t="e">
        <f t="array" aca="1" ref="E1339" ca="1">IF(OR(C1338=0,AND(B1340=0,C1340=0)),"",IFERROR(INDEX($F$27:$F$36,MATCH(C1339,($F$27:$F$36)*($D$27:$D$36&lt;&gt;0),0)),IF(OR(AND(D1339=0,B1339=0,B1340&lt;&gt;0),AND(D1339*D1338&lt;0,B1339&lt;&gt;0)),IF(D1339=0,C1339,C1339*(1-ABS(D1339)/(ABS(D1339)+ABS(D1338)))+C1338*(1-ABS(D1338)/(ABS(D1339)+ABS(D1338)))),"")))</f>
        <v>#NAME?</v>
      </c>
    </row>
    <row r="1340" spans="2:5" x14ac:dyDescent="0.25">
      <c r="B1340" t="e">
        <f t="shared" ca="1" si="43"/>
        <v>#NAME?</v>
      </c>
      <c r="C1340">
        <v>1297</v>
      </c>
      <c r="D1340" t="e">
        <f t="shared" ca="1" si="42"/>
        <v>#NAME?</v>
      </c>
      <c r="E1340" s="115" t="e">
        <f t="array" aca="1" ref="E1340" ca="1">IF(OR(C1339=0,AND(B1341=0,C1341=0)),"",IFERROR(INDEX($F$27:$F$36,MATCH(C1340,($F$27:$F$36)*($D$27:$D$36&lt;&gt;0),0)),IF(OR(AND(D1340=0,B1340=0,B1341&lt;&gt;0),AND(D1340*D1339&lt;0,B1340&lt;&gt;0)),IF(D1340=0,C1340,C1340*(1-ABS(D1340)/(ABS(D1340)+ABS(D1339)))+C1339*(1-ABS(D1339)/(ABS(D1340)+ABS(D1339)))),"")))</f>
        <v>#NAME?</v>
      </c>
    </row>
    <row r="1341" spans="2:5" x14ac:dyDescent="0.25">
      <c r="B1341" t="e">
        <f t="shared" ca="1" si="43"/>
        <v>#NAME?</v>
      </c>
      <c r="C1341">
        <v>1298</v>
      </c>
      <c r="D1341" t="e">
        <f t="shared" ca="1" si="42"/>
        <v>#NAME?</v>
      </c>
      <c r="E1341" s="115" t="e">
        <f t="array" aca="1" ref="E1341" ca="1">IF(OR(C1340=0,AND(B1342=0,C1342=0)),"",IFERROR(INDEX($F$27:$F$36,MATCH(C1341,($F$27:$F$36)*($D$27:$D$36&lt;&gt;0),0)),IF(OR(AND(D1341=0,B1341=0,B1342&lt;&gt;0),AND(D1341*D1340&lt;0,B1341&lt;&gt;0)),IF(D1341=0,C1341,C1341*(1-ABS(D1341)/(ABS(D1341)+ABS(D1340)))+C1340*(1-ABS(D1340)/(ABS(D1341)+ABS(D1340)))),"")))</f>
        <v>#NAME?</v>
      </c>
    </row>
    <row r="1342" spans="2:5" x14ac:dyDescent="0.25">
      <c r="B1342" t="e">
        <f t="shared" ca="1" si="43"/>
        <v>#NAME?</v>
      </c>
      <c r="C1342">
        <v>1299</v>
      </c>
      <c r="D1342" t="e">
        <f t="shared" ca="1" si="42"/>
        <v>#NAME?</v>
      </c>
      <c r="E1342" s="115" t="e">
        <f t="array" aca="1" ref="E1342" ca="1">IF(OR(C1341=0,AND(B1343=0,C1343=0)),"",IFERROR(INDEX($F$27:$F$36,MATCH(C1342,($F$27:$F$36)*($D$27:$D$36&lt;&gt;0),0)),IF(OR(AND(D1342=0,B1342=0,B1343&lt;&gt;0),AND(D1342*D1341&lt;0,B1342&lt;&gt;0)),IF(D1342=0,C1342,C1342*(1-ABS(D1342)/(ABS(D1342)+ABS(D1341)))+C1341*(1-ABS(D1341)/(ABS(D1342)+ABS(D1341)))),"")))</f>
        <v>#NAME?</v>
      </c>
    </row>
    <row r="1343" spans="2:5" x14ac:dyDescent="0.25">
      <c r="B1343" t="e">
        <f t="shared" ca="1" si="43"/>
        <v>#NAME?</v>
      </c>
      <c r="C1343">
        <v>1300</v>
      </c>
      <c r="D1343" t="e">
        <f t="shared" ca="1" si="42"/>
        <v>#NAME?</v>
      </c>
      <c r="E1343" s="115" t="e">
        <f t="array" aca="1" ref="E1343" ca="1">IF(OR(C1342=0,AND(B1344=0,C1344=0)),"",IFERROR(INDEX($F$27:$F$36,MATCH(C1343,($F$27:$F$36)*($D$27:$D$36&lt;&gt;0),0)),IF(OR(AND(D1343=0,B1343=0,B1344&lt;&gt;0),AND(D1343*D1342&lt;0,B1343&lt;&gt;0)),IF(D1343=0,C1343,C1343*(1-ABS(D1343)/(ABS(D1343)+ABS(D1342)))+C1342*(1-ABS(D1342)/(ABS(D1343)+ABS(D1342)))),"")))</f>
        <v>#NAME?</v>
      </c>
    </row>
    <row r="1344" spans="2:5" x14ac:dyDescent="0.25">
      <c r="B1344" t="e">
        <f t="shared" ca="1" si="43"/>
        <v>#NAME?</v>
      </c>
      <c r="C1344">
        <v>1301</v>
      </c>
      <c r="D1344" t="e">
        <f t="shared" ca="1" si="42"/>
        <v>#NAME?</v>
      </c>
      <c r="E1344" s="115" t="e">
        <f t="array" aca="1" ref="E1344" ca="1">IF(OR(C1343=0,AND(B1345=0,C1345=0)),"",IFERROR(INDEX($F$27:$F$36,MATCH(C1344,($F$27:$F$36)*($D$27:$D$36&lt;&gt;0),0)),IF(OR(AND(D1344=0,B1344=0,B1345&lt;&gt;0),AND(D1344*D1343&lt;0,B1344&lt;&gt;0)),IF(D1344=0,C1344,C1344*(1-ABS(D1344)/(ABS(D1344)+ABS(D1343)))+C1343*(1-ABS(D1343)/(ABS(D1344)+ABS(D1343)))),"")))</f>
        <v>#NAME?</v>
      </c>
    </row>
    <row r="1345" spans="2:5" x14ac:dyDescent="0.25">
      <c r="B1345" t="e">
        <f t="shared" ca="1" si="43"/>
        <v>#NAME?</v>
      </c>
      <c r="C1345">
        <v>1302</v>
      </c>
      <c r="D1345" t="e">
        <f t="shared" ca="1" si="42"/>
        <v>#NAME?</v>
      </c>
      <c r="E1345" s="115" t="e">
        <f t="array" aca="1" ref="E1345" ca="1">IF(OR(C1344=0,AND(B1346=0,C1346=0)),"",IFERROR(INDEX($F$27:$F$36,MATCH(C1345,($F$27:$F$36)*($D$27:$D$36&lt;&gt;0),0)),IF(OR(AND(D1345=0,B1345=0,B1346&lt;&gt;0),AND(D1345*D1344&lt;0,B1345&lt;&gt;0)),IF(D1345=0,C1345,C1345*(1-ABS(D1345)/(ABS(D1345)+ABS(D1344)))+C1344*(1-ABS(D1344)/(ABS(D1345)+ABS(D1344)))),"")))</f>
        <v>#NAME?</v>
      </c>
    </row>
    <row r="1346" spans="2:5" x14ac:dyDescent="0.25">
      <c r="B1346" t="e">
        <f t="shared" ca="1" si="43"/>
        <v>#NAME?</v>
      </c>
      <c r="C1346">
        <v>1303</v>
      </c>
      <c r="D1346" t="e">
        <f t="shared" ca="1" si="42"/>
        <v>#NAME?</v>
      </c>
      <c r="E1346" s="115" t="e">
        <f t="array" aca="1" ref="E1346" ca="1">IF(OR(C1345=0,AND(B1347=0,C1347=0)),"",IFERROR(INDEX($F$27:$F$36,MATCH(C1346,($F$27:$F$36)*($D$27:$D$36&lt;&gt;0),0)),IF(OR(AND(D1346=0,B1346=0,B1347&lt;&gt;0),AND(D1346*D1345&lt;0,B1346&lt;&gt;0)),IF(D1346=0,C1346,C1346*(1-ABS(D1346)/(ABS(D1346)+ABS(D1345)))+C1345*(1-ABS(D1345)/(ABS(D1346)+ABS(D1345)))),"")))</f>
        <v>#NAME?</v>
      </c>
    </row>
    <row r="1347" spans="2:5" x14ac:dyDescent="0.25">
      <c r="B1347" t="e">
        <f t="shared" ca="1" si="43"/>
        <v>#NAME?</v>
      </c>
      <c r="C1347">
        <v>1304</v>
      </c>
      <c r="D1347" t="e">
        <f t="shared" ca="1" si="42"/>
        <v>#NAME?</v>
      </c>
      <c r="E1347" s="115" t="e">
        <f t="array" aca="1" ref="E1347" ca="1">IF(OR(C1346=0,AND(B1348=0,C1348=0)),"",IFERROR(INDEX($F$27:$F$36,MATCH(C1347,($F$27:$F$36)*($D$27:$D$36&lt;&gt;0),0)),IF(OR(AND(D1347=0,B1347=0,B1348&lt;&gt;0),AND(D1347*D1346&lt;0,B1347&lt;&gt;0)),IF(D1347=0,C1347,C1347*(1-ABS(D1347)/(ABS(D1347)+ABS(D1346)))+C1346*(1-ABS(D1346)/(ABS(D1347)+ABS(D1346)))),"")))</f>
        <v>#NAME?</v>
      </c>
    </row>
    <row r="1348" spans="2:5" x14ac:dyDescent="0.25">
      <c r="B1348" t="e">
        <f t="shared" ca="1" si="43"/>
        <v>#NAME?</v>
      </c>
      <c r="C1348">
        <v>1305</v>
      </c>
      <c r="D1348" t="e">
        <f t="shared" ca="1" si="42"/>
        <v>#NAME?</v>
      </c>
      <c r="E1348" s="115" t="e">
        <f t="array" aca="1" ref="E1348" ca="1">IF(OR(C1347=0,AND(B1349=0,C1349=0)),"",IFERROR(INDEX($F$27:$F$36,MATCH(C1348,($F$27:$F$36)*($D$27:$D$36&lt;&gt;0),0)),IF(OR(AND(D1348=0,B1348=0,B1349&lt;&gt;0),AND(D1348*D1347&lt;0,B1348&lt;&gt;0)),IF(D1348=0,C1348,C1348*(1-ABS(D1348)/(ABS(D1348)+ABS(D1347)))+C1347*(1-ABS(D1347)/(ABS(D1348)+ABS(D1347)))),"")))</f>
        <v>#NAME?</v>
      </c>
    </row>
    <row r="1349" spans="2:5" x14ac:dyDescent="0.25">
      <c r="B1349" t="e">
        <f t="shared" ca="1" si="43"/>
        <v>#NAME?</v>
      </c>
      <c r="C1349">
        <v>1306</v>
      </c>
      <c r="D1349" t="e">
        <f t="shared" ca="1" si="42"/>
        <v>#NAME?</v>
      </c>
      <c r="E1349" s="115" t="e">
        <f t="array" aca="1" ref="E1349" ca="1">IF(OR(C1348=0,AND(B1350=0,C1350=0)),"",IFERROR(INDEX($F$27:$F$36,MATCH(C1349,($F$27:$F$36)*($D$27:$D$36&lt;&gt;0),0)),IF(OR(AND(D1349=0,B1349=0,B1350&lt;&gt;0),AND(D1349*D1348&lt;0,B1349&lt;&gt;0)),IF(D1349=0,C1349,C1349*(1-ABS(D1349)/(ABS(D1349)+ABS(D1348)))+C1348*(1-ABS(D1348)/(ABS(D1349)+ABS(D1348)))),"")))</f>
        <v>#NAME?</v>
      </c>
    </row>
    <row r="1350" spans="2:5" x14ac:dyDescent="0.25">
      <c r="B1350" t="e">
        <f t="shared" ca="1" si="43"/>
        <v>#NAME?</v>
      </c>
      <c r="C1350">
        <v>1307</v>
      </c>
      <c r="D1350" t="e">
        <f t="shared" ca="1" si="42"/>
        <v>#NAME?</v>
      </c>
      <c r="E1350" s="115" t="e">
        <f t="array" aca="1" ref="E1350" ca="1">IF(OR(C1349=0,AND(B1351=0,C1351=0)),"",IFERROR(INDEX($F$27:$F$36,MATCH(C1350,($F$27:$F$36)*($D$27:$D$36&lt;&gt;0),0)),IF(OR(AND(D1350=0,B1350=0,B1351&lt;&gt;0),AND(D1350*D1349&lt;0,B1350&lt;&gt;0)),IF(D1350=0,C1350,C1350*(1-ABS(D1350)/(ABS(D1350)+ABS(D1349)))+C1349*(1-ABS(D1349)/(ABS(D1350)+ABS(D1349)))),"")))</f>
        <v>#NAME?</v>
      </c>
    </row>
    <row r="1351" spans="2:5" x14ac:dyDescent="0.25">
      <c r="B1351" t="e">
        <f t="shared" ca="1" si="43"/>
        <v>#NAME?</v>
      </c>
      <c r="C1351">
        <v>1308</v>
      </c>
      <c r="D1351" t="e">
        <f t="shared" ca="1" si="42"/>
        <v>#NAME?</v>
      </c>
      <c r="E1351" s="115" t="e">
        <f t="array" aca="1" ref="E1351" ca="1">IF(OR(C1350=0,AND(B1352=0,C1352=0)),"",IFERROR(INDEX($F$27:$F$36,MATCH(C1351,($F$27:$F$36)*($D$27:$D$36&lt;&gt;0),0)),IF(OR(AND(D1351=0,B1351=0,B1352&lt;&gt;0),AND(D1351*D1350&lt;0,B1351&lt;&gt;0)),IF(D1351=0,C1351,C1351*(1-ABS(D1351)/(ABS(D1351)+ABS(D1350)))+C1350*(1-ABS(D1350)/(ABS(D1351)+ABS(D1350)))),"")))</f>
        <v>#NAME?</v>
      </c>
    </row>
    <row r="1352" spans="2:5" x14ac:dyDescent="0.25">
      <c r="B1352" t="e">
        <f t="shared" ca="1" si="43"/>
        <v>#NAME?</v>
      </c>
      <c r="C1352">
        <v>1309</v>
      </c>
      <c r="D1352" t="e">
        <f t="shared" ca="1" si="42"/>
        <v>#NAME?</v>
      </c>
      <c r="E1352" s="115" t="e">
        <f t="array" aca="1" ref="E1352" ca="1">IF(OR(C1351=0,AND(B1353=0,C1353=0)),"",IFERROR(INDEX($F$27:$F$36,MATCH(C1352,($F$27:$F$36)*($D$27:$D$36&lt;&gt;0),0)),IF(OR(AND(D1352=0,B1352=0,B1353&lt;&gt;0),AND(D1352*D1351&lt;0,B1352&lt;&gt;0)),IF(D1352=0,C1352,C1352*(1-ABS(D1352)/(ABS(D1352)+ABS(D1351)))+C1351*(1-ABS(D1351)/(ABS(D1352)+ABS(D1351)))),"")))</f>
        <v>#NAME?</v>
      </c>
    </row>
    <row r="1353" spans="2:5" x14ac:dyDescent="0.25">
      <c r="B1353" t="e">
        <f t="shared" ca="1" si="43"/>
        <v>#NAME?</v>
      </c>
      <c r="C1353">
        <v>1310</v>
      </c>
      <c r="D1353" t="e">
        <f t="shared" ca="1" si="42"/>
        <v>#NAME?</v>
      </c>
      <c r="E1353" s="115" t="e">
        <f t="array" aca="1" ref="E1353" ca="1">IF(OR(C1352=0,AND(B1354=0,C1354=0)),"",IFERROR(INDEX($F$27:$F$36,MATCH(C1353,($F$27:$F$36)*($D$27:$D$36&lt;&gt;0),0)),IF(OR(AND(D1353=0,B1353=0,B1354&lt;&gt;0),AND(D1353*D1352&lt;0,B1353&lt;&gt;0)),IF(D1353=0,C1353,C1353*(1-ABS(D1353)/(ABS(D1353)+ABS(D1352)))+C1352*(1-ABS(D1352)/(ABS(D1353)+ABS(D1352)))),"")))</f>
        <v>#NAME?</v>
      </c>
    </row>
    <row r="1354" spans="2:5" x14ac:dyDescent="0.25">
      <c r="B1354" t="e">
        <f t="shared" ca="1" si="43"/>
        <v>#NAME?</v>
      </c>
      <c r="C1354">
        <v>1311</v>
      </c>
      <c r="D1354" t="e">
        <f t="shared" ca="1" si="42"/>
        <v>#NAME?</v>
      </c>
      <c r="E1354" s="115" t="e">
        <f t="array" aca="1" ref="E1354" ca="1">IF(OR(C1353=0,AND(B1355=0,C1355=0)),"",IFERROR(INDEX($F$27:$F$36,MATCH(C1354,($F$27:$F$36)*($D$27:$D$36&lt;&gt;0),0)),IF(OR(AND(D1354=0,B1354=0,B1355&lt;&gt;0),AND(D1354*D1353&lt;0,B1354&lt;&gt;0)),IF(D1354=0,C1354,C1354*(1-ABS(D1354)/(ABS(D1354)+ABS(D1353)))+C1353*(1-ABS(D1353)/(ABS(D1354)+ABS(D1353)))),"")))</f>
        <v>#NAME?</v>
      </c>
    </row>
    <row r="1355" spans="2:5" x14ac:dyDescent="0.25">
      <c r="B1355" t="e">
        <f t="shared" ca="1" si="43"/>
        <v>#NAME?</v>
      </c>
      <c r="C1355">
        <v>1312</v>
      </c>
      <c r="D1355" t="e">
        <f t="shared" ca="1" si="42"/>
        <v>#NAME?</v>
      </c>
      <c r="E1355" s="115" t="e">
        <f t="array" aca="1" ref="E1355" ca="1">IF(OR(C1354=0,AND(B1356=0,C1356=0)),"",IFERROR(INDEX($F$27:$F$36,MATCH(C1355,($F$27:$F$36)*($D$27:$D$36&lt;&gt;0),0)),IF(OR(AND(D1355=0,B1355=0,B1356&lt;&gt;0),AND(D1355*D1354&lt;0,B1355&lt;&gt;0)),IF(D1355=0,C1355,C1355*(1-ABS(D1355)/(ABS(D1355)+ABS(D1354)))+C1354*(1-ABS(D1354)/(ABS(D1355)+ABS(D1354)))),"")))</f>
        <v>#NAME?</v>
      </c>
    </row>
    <row r="1356" spans="2:5" x14ac:dyDescent="0.25">
      <c r="B1356" t="e">
        <f t="shared" ca="1" si="43"/>
        <v>#NAME?</v>
      </c>
      <c r="C1356">
        <v>1313</v>
      </c>
      <c r="D1356" t="e">
        <f t="shared" ca="1" si="42"/>
        <v>#NAME?</v>
      </c>
      <c r="E1356" s="115" t="e">
        <f t="array" aca="1" ref="E1356" ca="1">IF(OR(C1355=0,AND(B1357=0,C1357=0)),"",IFERROR(INDEX($F$27:$F$36,MATCH(C1356,($F$27:$F$36)*($D$27:$D$36&lt;&gt;0),0)),IF(OR(AND(D1356=0,B1356=0,B1357&lt;&gt;0),AND(D1356*D1355&lt;0,B1356&lt;&gt;0)),IF(D1356=0,C1356,C1356*(1-ABS(D1356)/(ABS(D1356)+ABS(D1355)))+C1355*(1-ABS(D1355)/(ABS(D1356)+ABS(D1355)))),"")))</f>
        <v>#NAME?</v>
      </c>
    </row>
    <row r="1357" spans="2:5" x14ac:dyDescent="0.25">
      <c r="B1357" t="e">
        <f t="shared" ca="1" si="43"/>
        <v>#NAME?</v>
      </c>
      <c r="C1357">
        <v>1314</v>
      </c>
      <c r="D1357" t="e">
        <f t="shared" ca="1" si="42"/>
        <v>#NAME?</v>
      </c>
      <c r="E1357" s="115" t="e">
        <f t="array" aca="1" ref="E1357" ca="1">IF(OR(C1356=0,AND(B1358=0,C1358=0)),"",IFERROR(INDEX($F$27:$F$36,MATCH(C1357,($F$27:$F$36)*($D$27:$D$36&lt;&gt;0),0)),IF(OR(AND(D1357=0,B1357=0,B1358&lt;&gt;0),AND(D1357*D1356&lt;0,B1357&lt;&gt;0)),IF(D1357=0,C1357,C1357*(1-ABS(D1357)/(ABS(D1357)+ABS(D1356)))+C1356*(1-ABS(D1356)/(ABS(D1357)+ABS(D1356)))),"")))</f>
        <v>#NAME?</v>
      </c>
    </row>
    <row r="1358" spans="2:5" x14ac:dyDescent="0.25">
      <c r="B1358" t="e">
        <f t="shared" ca="1" si="43"/>
        <v>#NAME?</v>
      </c>
      <c r="C1358">
        <v>1315</v>
      </c>
      <c r="D1358" t="e">
        <f t="shared" ca="1" si="42"/>
        <v>#NAME?</v>
      </c>
      <c r="E1358" s="115" t="e">
        <f t="array" aca="1" ref="E1358" ca="1">IF(OR(C1357=0,AND(B1359=0,C1359=0)),"",IFERROR(INDEX($F$27:$F$36,MATCH(C1358,($F$27:$F$36)*($D$27:$D$36&lt;&gt;0),0)),IF(OR(AND(D1358=0,B1358=0,B1359&lt;&gt;0),AND(D1358*D1357&lt;0,B1358&lt;&gt;0)),IF(D1358=0,C1358,C1358*(1-ABS(D1358)/(ABS(D1358)+ABS(D1357)))+C1357*(1-ABS(D1357)/(ABS(D1358)+ABS(D1357)))),"")))</f>
        <v>#NAME?</v>
      </c>
    </row>
    <row r="1359" spans="2:5" x14ac:dyDescent="0.25">
      <c r="B1359" t="e">
        <f t="shared" ca="1" si="43"/>
        <v>#NAME?</v>
      </c>
      <c r="C1359">
        <v>1316</v>
      </c>
      <c r="D1359" t="e">
        <f t="shared" ca="1" si="42"/>
        <v>#NAME?</v>
      </c>
      <c r="E1359" s="115" t="e">
        <f t="array" aca="1" ref="E1359" ca="1">IF(OR(C1358=0,AND(B1360=0,C1360=0)),"",IFERROR(INDEX($F$27:$F$36,MATCH(C1359,($F$27:$F$36)*($D$27:$D$36&lt;&gt;0),0)),IF(OR(AND(D1359=0,B1359=0,B1360&lt;&gt;0),AND(D1359*D1358&lt;0,B1359&lt;&gt;0)),IF(D1359=0,C1359,C1359*(1-ABS(D1359)/(ABS(D1359)+ABS(D1358)))+C1358*(1-ABS(D1358)/(ABS(D1359)+ABS(D1358)))),"")))</f>
        <v>#NAME?</v>
      </c>
    </row>
    <row r="1360" spans="2:5" x14ac:dyDescent="0.25">
      <c r="B1360" t="e">
        <f t="shared" ca="1" si="43"/>
        <v>#NAME?</v>
      </c>
      <c r="C1360">
        <v>1317</v>
      </c>
      <c r="D1360" t="e">
        <f t="shared" ca="1" si="42"/>
        <v>#NAME?</v>
      </c>
      <c r="E1360" s="115" t="e">
        <f t="array" aca="1" ref="E1360" ca="1">IF(OR(C1359=0,AND(B1361=0,C1361=0)),"",IFERROR(INDEX($F$27:$F$36,MATCH(C1360,($F$27:$F$36)*($D$27:$D$36&lt;&gt;0),0)),IF(OR(AND(D1360=0,B1360=0,B1361&lt;&gt;0),AND(D1360*D1359&lt;0,B1360&lt;&gt;0)),IF(D1360=0,C1360,C1360*(1-ABS(D1360)/(ABS(D1360)+ABS(D1359)))+C1359*(1-ABS(D1359)/(ABS(D1360)+ABS(D1359)))),"")))</f>
        <v>#NAME?</v>
      </c>
    </row>
    <row r="1361" spans="2:5" x14ac:dyDescent="0.25">
      <c r="B1361" t="e">
        <f t="shared" ca="1" si="43"/>
        <v>#NAME?</v>
      </c>
      <c r="C1361">
        <v>1318</v>
      </c>
      <c r="D1361" t="e">
        <f t="shared" ca="1" si="42"/>
        <v>#NAME?</v>
      </c>
      <c r="E1361" s="115" t="e">
        <f t="array" aca="1" ref="E1361" ca="1">IF(OR(C1360=0,AND(B1362=0,C1362=0)),"",IFERROR(INDEX($F$27:$F$36,MATCH(C1361,($F$27:$F$36)*($D$27:$D$36&lt;&gt;0),0)),IF(OR(AND(D1361=0,B1361=0,B1362&lt;&gt;0),AND(D1361*D1360&lt;0,B1361&lt;&gt;0)),IF(D1361=0,C1361,C1361*(1-ABS(D1361)/(ABS(D1361)+ABS(D1360)))+C1360*(1-ABS(D1360)/(ABS(D1361)+ABS(D1360)))),"")))</f>
        <v>#NAME?</v>
      </c>
    </row>
    <row r="1362" spans="2:5" x14ac:dyDescent="0.25">
      <c r="B1362" t="e">
        <f t="shared" ca="1" si="43"/>
        <v>#NAME?</v>
      </c>
      <c r="C1362">
        <v>1319</v>
      </c>
      <c r="D1362" t="e">
        <f t="shared" ca="1" si="42"/>
        <v>#NAME?</v>
      </c>
      <c r="E1362" s="115" t="e">
        <f t="array" aca="1" ref="E1362" ca="1">IF(OR(C1361=0,AND(B1363=0,C1363=0)),"",IFERROR(INDEX($F$27:$F$36,MATCH(C1362,($F$27:$F$36)*($D$27:$D$36&lt;&gt;0),0)),IF(OR(AND(D1362=0,B1362=0,B1363&lt;&gt;0),AND(D1362*D1361&lt;0,B1362&lt;&gt;0)),IF(D1362=0,C1362,C1362*(1-ABS(D1362)/(ABS(D1362)+ABS(D1361)))+C1361*(1-ABS(D1361)/(ABS(D1362)+ABS(D1361)))),"")))</f>
        <v>#NAME?</v>
      </c>
    </row>
    <row r="1363" spans="2:5" x14ac:dyDescent="0.25">
      <c r="B1363" t="e">
        <f t="shared" ca="1" si="43"/>
        <v>#NAME?</v>
      </c>
      <c r="C1363">
        <v>1320</v>
      </c>
      <c r="D1363" t="e">
        <f t="shared" ca="1" si="42"/>
        <v>#NAME?</v>
      </c>
      <c r="E1363" s="115" t="e">
        <f t="array" aca="1" ref="E1363" ca="1">IF(OR(C1362=0,AND(B1364=0,C1364=0)),"",IFERROR(INDEX($F$27:$F$36,MATCH(C1363,($F$27:$F$36)*($D$27:$D$36&lt;&gt;0),0)),IF(OR(AND(D1363=0,B1363=0,B1364&lt;&gt;0),AND(D1363*D1362&lt;0,B1363&lt;&gt;0)),IF(D1363=0,C1363,C1363*(1-ABS(D1363)/(ABS(D1363)+ABS(D1362)))+C1362*(1-ABS(D1362)/(ABS(D1363)+ABS(D1362)))),"")))</f>
        <v>#NAME?</v>
      </c>
    </row>
    <row r="1364" spans="2:5" x14ac:dyDescent="0.25">
      <c r="B1364" t="e">
        <f t="shared" ca="1" si="43"/>
        <v>#NAME?</v>
      </c>
      <c r="C1364">
        <v>1321</v>
      </c>
      <c r="D1364" t="e">
        <f t="shared" ca="1" si="42"/>
        <v>#NAME?</v>
      </c>
      <c r="E1364" s="115" t="e">
        <f t="array" aca="1" ref="E1364" ca="1">IF(OR(C1363=0,AND(B1365=0,C1365=0)),"",IFERROR(INDEX($F$27:$F$36,MATCH(C1364,($F$27:$F$36)*($D$27:$D$36&lt;&gt;0),0)),IF(OR(AND(D1364=0,B1364=0,B1365&lt;&gt;0),AND(D1364*D1363&lt;0,B1364&lt;&gt;0)),IF(D1364=0,C1364,C1364*(1-ABS(D1364)/(ABS(D1364)+ABS(D1363)))+C1363*(1-ABS(D1363)/(ABS(D1364)+ABS(D1363)))),"")))</f>
        <v>#NAME?</v>
      </c>
    </row>
    <row r="1365" spans="2:5" x14ac:dyDescent="0.25">
      <c r="B1365" t="e">
        <f t="shared" ca="1" si="43"/>
        <v>#NAME?</v>
      </c>
      <c r="C1365">
        <v>1322</v>
      </c>
      <c r="D1365" t="e">
        <f t="shared" ca="1" si="42"/>
        <v>#NAME?</v>
      </c>
      <c r="E1365" s="115" t="e">
        <f t="array" aca="1" ref="E1365" ca="1">IF(OR(C1364=0,AND(B1366=0,C1366=0)),"",IFERROR(INDEX($F$27:$F$36,MATCH(C1365,($F$27:$F$36)*($D$27:$D$36&lt;&gt;0),0)),IF(OR(AND(D1365=0,B1365=0,B1366&lt;&gt;0),AND(D1365*D1364&lt;0,B1365&lt;&gt;0)),IF(D1365=0,C1365,C1365*(1-ABS(D1365)/(ABS(D1365)+ABS(D1364)))+C1364*(1-ABS(D1364)/(ABS(D1365)+ABS(D1364)))),"")))</f>
        <v>#NAME?</v>
      </c>
    </row>
    <row r="1366" spans="2:5" x14ac:dyDescent="0.25">
      <c r="B1366" t="e">
        <f t="shared" ca="1" si="43"/>
        <v>#NAME?</v>
      </c>
      <c r="C1366">
        <v>1323</v>
      </c>
      <c r="D1366" t="e">
        <f t="shared" ca="1" si="42"/>
        <v>#NAME?</v>
      </c>
      <c r="E1366" s="115" t="e">
        <f t="array" aca="1" ref="E1366" ca="1">IF(OR(C1365=0,AND(B1367=0,C1367=0)),"",IFERROR(INDEX($F$27:$F$36,MATCH(C1366,($F$27:$F$36)*($D$27:$D$36&lt;&gt;0),0)),IF(OR(AND(D1366=0,B1366=0,B1367&lt;&gt;0),AND(D1366*D1365&lt;0,B1366&lt;&gt;0)),IF(D1366=0,C1366,C1366*(1-ABS(D1366)/(ABS(D1366)+ABS(D1365)))+C1365*(1-ABS(D1365)/(ABS(D1366)+ABS(D1365)))),"")))</f>
        <v>#NAME?</v>
      </c>
    </row>
    <row r="1367" spans="2:5" x14ac:dyDescent="0.25">
      <c r="B1367" t="e">
        <f t="shared" ca="1" si="43"/>
        <v>#NAME?</v>
      </c>
      <c r="C1367">
        <v>1324</v>
      </c>
      <c r="D1367" t="e">
        <f t="shared" ca="1" si="42"/>
        <v>#NAME?</v>
      </c>
      <c r="E1367" s="115" t="e">
        <f t="array" aca="1" ref="E1367" ca="1">IF(OR(C1366=0,AND(B1368=0,C1368=0)),"",IFERROR(INDEX($F$27:$F$36,MATCH(C1367,($F$27:$F$36)*($D$27:$D$36&lt;&gt;0),0)),IF(OR(AND(D1367=0,B1367=0,B1368&lt;&gt;0),AND(D1367*D1366&lt;0,B1367&lt;&gt;0)),IF(D1367=0,C1367,C1367*(1-ABS(D1367)/(ABS(D1367)+ABS(D1366)))+C1366*(1-ABS(D1366)/(ABS(D1367)+ABS(D1366)))),"")))</f>
        <v>#NAME?</v>
      </c>
    </row>
    <row r="1368" spans="2:5" x14ac:dyDescent="0.25">
      <c r="B1368" t="e">
        <f t="shared" ca="1" si="43"/>
        <v>#NAME?</v>
      </c>
      <c r="C1368">
        <v>1325</v>
      </c>
      <c r="D1368" t="e">
        <f t="shared" ca="1" si="42"/>
        <v>#NAME?</v>
      </c>
      <c r="E1368" s="115" t="e">
        <f t="array" aca="1" ref="E1368" ca="1">IF(OR(C1367=0,AND(B1369=0,C1369=0)),"",IFERROR(INDEX($F$27:$F$36,MATCH(C1368,($F$27:$F$36)*($D$27:$D$36&lt;&gt;0),0)),IF(OR(AND(D1368=0,B1368=0,B1369&lt;&gt;0),AND(D1368*D1367&lt;0,B1368&lt;&gt;0)),IF(D1368=0,C1368,C1368*(1-ABS(D1368)/(ABS(D1368)+ABS(D1367)))+C1367*(1-ABS(D1367)/(ABS(D1368)+ABS(D1367)))),"")))</f>
        <v>#NAME?</v>
      </c>
    </row>
    <row r="1369" spans="2:5" x14ac:dyDescent="0.25">
      <c r="B1369" t="e">
        <f t="shared" ca="1" si="43"/>
        <v>#NAME?</v>
      </c>
      <c r="C1369">
        <v>1326</v>
      </c>
      <c r="D1369" t="e">
        <f t="shared" ca="1" si="42"/>
        <v>#NAME?</v>
      </c>
      <c r="E1369" s="115" t="e">
        <f t="array" aca="1" ref="E1369" ca="1">IF(OR(C1368=0,AND(B1370=0,C1370=0)),"",IFERROR(INDEX($F$27:$F$36,MATCH(C1369,($F$27:$F$36)*($D$27:$D$36&lt;&gt;0),0)),IF(OR(AND(D1369=0,B1369=0,B1370&lt;&gt;0),AND(D1369*D1368&lt;0,B1369&lt;&gt;0)),IF(D1369=0,C1369,C1369*(1-ABS(D1369)/(ABS(D1369)+ABS(D1368)))+C1368*(1-ABS(D1368)/(ABS(D1369)+ABS(D1368)))),"")))</f>
        <v>#NAME?</v>
      </c>
    </row>
    <row r="1370" spans="2:5" x14ac:dyDescent="0.25">
      <c r="B1370" t="e">
        <f t="shared" ca="1" si="43"/>
        <v>#NAME?</v>
      </c>
      <c r="C1370">
        <v>1327</v>
      </c>
      <c r="D1370" t="e">
        <f t="shared" ca="1" si="42"/>
        <v>#NAME?</v>
      </c>
      <c r="E1370" s="115" t="e">
        <f t="array" aca="1" ref="E1370" ca="1">IF(OR(C1369=0,AND(B1371=0,C1371=0)),"",IFERROR(INDEX($F$27:$F$36,MATCH(C1370,($F$27:$F$36)*($D$27:$D$36&lt;&gt;0),0)),IF(OR(AND(D1370=0,B1370=0,B1371&lt;&gt;0),AND(D1370*D1369&lt;0,B1370&lt;&gt;0)),IF(D1370=0,C1370,C1370*(1-ABS(D1370)/(ABS(D1370)+ABS(D1369)))+C1369*(1-ABS(D1369)/(ABS(D1370)+ABS(D1369)))),"")))</f>
        <v>#NAME?</v>
      </c>
    </row>
    <row r="1371" spans="2:5" x14ac:dyDescent="0.25">
      <c r="B1371" t="e">
        <f t="shared" ca="1" si="43"/>
        <v>#NAME?</v>
      </c>
      <c r="C1371">
        <v>1328</v>
      </c>
      <c r="D1371" t="e">
        <f t="shared" ca="1" si="42"/>
        <v>#NAME?</v>
      </c>
      <c r="E1371" s="115" t="e">
        <f t="array" aca="1" ref="E1371" ca="1">IF(OR(C1370=0,AND(B1372=0,C1372=0)),"",IFERROR(INDEX($F$27:$F$36,MATCH(C1371,($F$27:$F$36)*($D$27:$D$36&lt;&gt;0),0)),IF(OR(AND(D1371=0,B1371=0,B1372&lt;&gt;0),AND(D1371*D1370&lt;0,B1371&lt;&gt;0)),IF(D1371=0,C1371,C1371*(1-ABS(D1371)/(ABS(D1371)+ABS(D1370)))+C1370*(1-ABS(D1370)/(ABS(D1371)+ABS(D1370)))),"")))</f>
        <v>#NAME?</v>
      </c>
    </row>
    <row r="1372" spans="2:5" x14ac:dyDescent="0.25">
      <c r="B1372" t="e">
        <f t="shared" ca="1" si="43"/>
        <v>#NAME?</v>
      </c>
      <c r="C1372">
        <v>1329</v>
      </c>
      <c r="D1372" t="e">
        <f t="shared" ca="1" si="42"/>
        <v>#NAME?</v>
      </c>
      <c r="E1372" s="115" t="e">
        <f t="array" aca="1" ref="E1372" ca="1">IF(OR(C1371=0,AND(B1373=0,C1373=0)),"",IFERROR(INDEX($F$27:$F$36,MATCH(C1372,($F$27:$F$36)*($D$27:$D$36&lt;&gt;0),0)),IF(OR(AND(D1372=0,B1372=0,B1373&lt;&gt;0),AND(D1372*D1371&lt;0,B1372&lt;&gt;0)),IF(D1372=0,C1372,C1372*(1-ABS(D1372)/(ABS(D1372)+ABS(D1371)))+C1371*(1-ABS(D1371)/(ABS(D1372)+ABS(D1371)))),"")))</f>
        <v>#NAME?</v>
      </c>
    </row>
    <row r="1373" spans="2:5" x14ac:dyDescent="0.25">
      <c r="B1373" t="e">
        <f t="shared" ca="1" si="43"/>
        <v>#NAME?</v>
      </c>
      <c r="C1373">
        <v>1330</v>
      </c>
      <c r="D1373" t="e">
        <f t="shared" ca="1" si="42"/>
        <v>#NAME?</v>
      </c>
      <c r="E1373" s="115" t="e">
        <f t="array" aca="1" ref="E1373" ca="1">IF(OR(C1372=0,AND(B1374=0,C1374=0)),"",IFERROR(INDEX($F$27:$F$36,MATCH(C1373,($F$27:$F$36)*($D$27:$D$36&lt;&gt;0),0)),IF(OR(AND(D1373=0,B1373=0,B1374&lt;&gt;0),AND(D1373*D1372&lt;0,B1373&lt;&gt;0)),IF(D1373=0,C1373,C1373*(1-ABS(D1373)/(ABS(D1373)+ABS(D1372)))+C1372*(1-ABS(D1372)/(ABS(D1373)+ABS(D1372)))),"")))</f>
        <v>#NAME?</v>
      </c>
    </row>
    <row r="1374" spans="2:5" x14ac:dyDescent="0.25">
      <c r="B1374" t="e">
        <f t="shared" ca="1" si="43"/>
        <v>#NAME?</v>
      </c>
      <c r="C1374">
        <v>1331</v>
      </c>
      <c r="D1374" t="e">
        <f t="shared" ca="1" si="42"/>
        <v>#NAME?</v>
      </c>
      <c r="E1374" s="115" t="e">
        <f t="array" aca="1" ref="E1374" ca="1">IF(OR(C1373=0,AND(B1375=0,C1375=0)),"",IFERROR(INDEX($F$27:$F$36,MATCH(C1374,($F$27:$F$36)*($D$27:$D$36&lt;&gt;0),0)),IF(OR(AND(D1374=0,B1374=0,B1375&lt;&gt;0),AND(D1374*D1373&lt;0,B1374&lt;&gt;0)),IF(D1374=0,C1374,C1374*(1-ABS(D1374)/(ABS(D1374)+ABS(D1373)))+C1373*(1-ABS(D1373)/(ABS(D1374)+ABS(D1373)))),"")))</f>
        <v>#NAME?</v>
      </c>
    </row>
    <row r="1375" spans="2:5" x14ac:dyDescent="0.25">
      <c r="B1375" t="e">
        <f t="shared" ca="1" si="43"/>
        <v>#NAME?</v>
      </c>
      <c r="C1375">
        <v>1332</v>
      </c>
      <c r="D1375" t="e">
        <f t="shared" ca="1" si="42"/>
        <v>#NAME?</v>
      </c>
      <c r="E1375" s="115" t="e">
        <f t="array" aca="1" ref="E1375" ca="1">IF(OR(C1374=0,AND(B1376=0,C1376=0)),"",IFERROR(INDEX($F$27:$F$36,MATCH(C1375,($F$27:$F$36)*($D$27:$D$36&lt;&gt;0),0)),IF(OR(AND(D1375=0,B1375=0,B1376&lt;&gt;0),AND(D1375*D1374&lt;0,B1375&lt;&gt;0)),IF(D1375=0,C1375,C1375*(1-ABS(D1375)/(ABS(D1375)+ABS(D1374)))+C1374*(1-ABS(D1374)/(ABS(D1375)+ABS(D1374)))),"")))</f>
        <v>#NAME?</v>
      </c>
    </row>
    <row r="1376" spans="2:5" x14ac:dyDescent="0.25">
      <c r="B1376" t="e">
        <f t="shared" ca="1" si="43"/>
        <v>#NAME?</v>
      </c>
      <c r="C1376">
        <v>1333</v>
      </c>
      <c r="D1376" t="e">
        <f t="shared" ca="1" si="42"/>
        <v>#NAME?</v>
      </c>
      <c r="E1376" s="115" t="e">
        <f t="array" aca="1" ref="E1376" ca="1">IF(OR(C1375=0,AND(B1377=0,C1377=0)),"",IFERROR(INDEX($F$27:$F$36,MATCH(C1376,($F$27:$F$36)*($D$27:$D$36&lt;&gt;0),0)),IF(OR(AND(D1376=0,B1376=0,B1377&lt;&gt;0),AND(D1376*D1375&lt;0,B1376&lt;&gt;0)),IF(D1376=0,C1376,C1376*(1-ABS(D1376)/(ABS(D1376)+ABS(D1375)))+C1375*(1-ABS(D1375)/(ABS(D1376)+ABS(D1375)))),"")))</f>
        <v>#NAME?</v>
      </c>
    </row>
    <row r="1377" spans="2:5" x14ac:dyDescent="0.25">
      <c r="B1377" t="e">
        <f t="shared" ca="1" si="43"/>
        <v>#NAME?</v>
      </c>
      <c r="C1377">
        <v>1334</v>
      </c>
      <c r="D1377" t="e">
        <f t="shared" ca="1" si="42"/>
        <v>#NAME?</v>
      </c>
      <c r="E1377" s="115" t="e">
        <f t="array" aca="1" ref="E1377" ca="1">IF(OR(C1376=0,AND(B1378=0,C1378=0)),"",IFERROR(INDEX($F$27:$F$36,MATCH(C1377,($F$27:$F$36)*($D$27:$D$36&lt;&gt;0),0)),IF(OR(AND(D1377=0,B1377=0,B1378&lt;&gt;0),AND(D1377*D1376&lt;0,B1377&lt;&gt;0)),IF(D1377=0,C1377,C1377*(1-ABS(D1377)/(ABS(D1377)+ABS(D1376)))+C1376*(1-ABS(D1376)/(ABS(D1377)+ABS(D1376)))),"")))</f>
        <v>#NAME?</v>
      </c>
    </row>
    <row r="1378" spans="2:5" x14ac:dyDescent="0.25">
      <c r="B1378" t="e">
        <f t="shared" ca="1" si="43"/>
        <v>#NAME?</v>
      </c>
      <c r="C1378">
        <v>1335</v>
      </c>
      <c r="D1378" t="e">
        <f t="shared" ca="1" si="42"/>
        <v>#NAME?</v>
      </c>
      <c r="E1378" s="115" t="e">
        <f t="array" aca="1" ref="E1378" ca="1">IF(OR(C1377=0,AND(B1379=0,C1379=0)),"",IFERROR(INDEX($F$27:$F$36,MATCH(C1378,($F$27:$F$36)*($D$27:$D$36&lt;&gt;0),0)),IF(OR(AND(D1378=0,B1378=0,B1379&lt;&gt;0),AND(D1378*D1377&lt;0,B1378&lt;&gt;0)),IF(D1378=0,C1378,C1378*(1-ABS(D1378)/(ABS(D1378)+ABS(D1377)))+C1377*(1-ABS(D1377)/(ABS(D1378)+ABS(D1377)))),"")))</f>
        <v>#NAME?</v>
      </c>
    </row>
    <row r="1379" spans="2:5" x14ac:dyDescent="0.25">
      <c r="B1379" t="e">
        <f t="shared" ca="1" si="43"/>
        <v>#NAME?</v>
      </c>
      <c r="C1379">
        <v>1336</v>
      </c>
      <c r="D1379" t="e">
        <f t="shared" ca="1" si="42"/>
        <v>#NAME?</v>
      </c>
      <c r="E1379" s="115" t="e">
        <f t="array" aca="1" ref="E1379" ca="1">IF(OR(C1378=0,AND(B1380=0,C1380=0)),"",IFERROR(INDEX($F$27:$F$36,MATCH(C1379,($F$27:$F$36)*($D$27:$D$36&lt;&gt;0),0)),IF(OR(AND(D1379=0,B1379=0,B1380&lt;&gt;0),AND(D1379*D1378&lt;0,B1379&lt;&gt;0)),IF(D1379=0,C1379,C1379*(1-ABS(D1379)/(ABS(D1379)+ABS(D1378)))+C1378*(1-ABS(D1378)/(ABS(D1379)+ABS(D1378)))),"")))</f>
        <v>#NAME?</v>
      </c>
    </row>
    <row r="1380" spans="2:5" x14ac:dyDescent="0.25">
      <c r="B1380" t="e">
        <f t="shared" ca="1" si="43"/>
        <v>#NAME?</v>
      </c>
      <c r="C1380">
        <v>1337</v>
      </c>
      <c r="D1380" t="e">
        <f t="shared" ca="1" si="42"/>
        <v>#NAME?</v>
      </c>
      <c r="E1380" s="115" t="e">
        <f t="array" aca="1" ref="E1380" ca="1">IF(OR(C1379=0,AND(B1381=0,C1381=0)),"",IFERROR(INDEX($F$27:$F$36,MATCH(C1380,($F$27:$F$36)*($D$27:$D$36&lt;&gt;0),0)),IF(OR(AND(D1380=0,B1380=0,B1381&lt;&gt;0),AND(D1380*D1379&lt;0,B1380&lt;&gt;0)),IF(D1380=0,C1380,C1380*(1-ABS(D1380)/(ABS(D1380)+ABS(D1379)))+C1379*(1-ABS(D1379)/(ABS(D1380)+ABS(D1379)))),"")))</f>
        <v>#NAME?</v>
      </c>
    </row>
    <row r="1381" spans="2:5" x14ac:dyDescent="0.25">
      <c r="B1381" t="e">
        <f t="shared" ca="1" si="43"/>
        <v>#NAME?</v>
      </c>
      <c r="C1381">
        <v>1338</v>
      </c>
      <c r="D1381" t="e">
        <f t="shared" ca="1" si="42"/>
        <v>#NAME?</v>
      </c>
      <c r="E1381" s="115" t="e">
        <f t="array" aca="1" ref="E1381" ca="1">IF(OR(C1380=0,AND(B1382=0,C1382=0)),"",IFERROR(INDEX($F$27:$F$36,MATCH(C1381,($F$27:$F$36)*($D$27:$D$36&lt;&gt;0),0)),IF(OR(AND(D1381=0,B1381=0,B1382&lt;&gt;0),AND(D1381*D1380&lt;0,B1381&lt;&gt;0)),IF(D1381=0,C1381,C1381*(1-ABS(D1381)/(ABS(D1381)+ABS(D1380)))+C1380*(1-ABS(D1380)/(ABS(D1381)+ABS(D1380)))),"")))</f>
        <v>#NAME?</v>
      </c>
    </row>
    <row r="1382" spans="2:5" x14ac:dyDescent="0.25">
      <c r="B1382" t="e">
        <f t="shared" ca="1" si="43"/>
        <v>#NAME?</v>
      </c>
      <c r="C1382">
        <v>1339</v>
      </c>
      <c r="D1382" t="e">
        <f t="shared" ca="1" si="42"/>
        <v>#NAME?</v>
      </c>
      <c r="E1382" s="115" t="e">
        <f t="array" aca="1" ref="E1382" ca="1">IF(OR(C1381=0,AND(B1383=0,C1383=0)),"",IFERROR(INDEX($F$27:$F$36,MATCH(C1382,($F$27:$F$36)*($D$27:$D$36&lt;&gt;0),0)),IF(OR(AND(D1382=0,B1382=0,B1383&lt;&gt;0),AND(D1382*D1381&lt;0,B1382&lt;&gt;0)),IF(D1382=0,C1382,C1382*(1-ABS(D1382)/(ABS(D1382)+ABS(D1381)))+C1381*(1-ABS(D1381)/(ABS(D1382)+ABS(D1381)))),"")))</f>
        <v>#NAME?</v>
      </c>
    </row>
    <row r="1383" spans="2:5" x14ac:dyDescent="0.25">
      <c r="B1383" t="e">
        <f t="shared" ca="1" si="43"/>
        <v>#NAME?</v>
      </c>
      <c r="C1383">
        <v>1340</v>
      </c>
      <c r="D1383" t="e">
        <f t="shared" ca="1" si="42"/>
        <v>#NAME?</v>
      </c>
      <c r="E1383" s="115" t="e">
        <f t="array" aca="1" ref="E1383" ca="1">IF(OR(C1382=0,AND(B1384=0,C1384=0)),"",IFERROR(INDEX($F$27:$F$36,MATCH(C1383,($F$27:$F$36)*($D$27:$D$36&lt;&gt;0),0)),IF(OR(AND(D1383=0,B1383=0,B1384&lt;&gt;0),AND(D1383*D1382&lt;0,B1383&lt;&gt;0)),IF(D1383=0,C1383,C1383*(1-ABS(D1383)/(ABS(D1383)+ABS(D1382)))+C1382*(1-ABS(D1382)/(ABS(D1383)+ABS(D1382)))),"")))</f>
        <v>#NAME?</v>
      </c>
    </row>
    <row r="1384" spans="2:5" x14ac:dyDescent="0.25">
      <c r="B1384" t="e">
        <f t="shared" ca="1" si="43"/>
        <v>#NAME?</v>
      </c>
      <c r="C1384">
        <v>1341</v>
      </c>
      <c r="D1384" t="e">
        <f t="shared" ca="1" si="42"/>
        <v>#NAME?</v>
      </c>
      <c r="E1384" s="115" t="e">
        <f t="array" aca="1" ref="E1384" ca="1">IF(OR(C1383=0,AND(B1385=0,C1385=0)),"",IFERROR(INDEX($F$27:$F$36,MATCH(C1384,($F$27:$F$36)*($D$27:$D$36&lt;&gt;0),0)),IF(OR(AND(D1384=0,B1384=0,B1385&lt;&gt;0),AND(D1384*D1383&lt;0,B1384&lt;&gt;0)),IF(D1384=0,C1384,C1384*(1-ABS(D1384)/(ABS(D1384)+ABS(D1383)))+C1383*(1-ABS(D1383)/(ABS(D1384)+ABS(D1383)))),"")))</f>
        <v>#NAME?</v>
      </c>
    </row>
    <row r="1385" spans="2:5" x14ac:dyDescent="0.25">
      <c r="B1385" t="e">
        <f t="shared" ca="1" si="43"/>
        <v>#NAME?</v>
      </c>
      <c r="C1385">
        <v>1342</v>
      </c>
      <c r="D1385" t="e">
        <f t="shared" ca="1" si="42"/>
        <v>#NAME?</v>
      </c>
      <c r="E1385" s="115" t="e">
        <f t="array" aca="1" ref="E1385" ca="1">IF(OR(C1384=0,AND(B1386=0,C1386=0)),"",IFERROR(INDEX($F$27:$F$36,MATCH(C1385,($F$27:$F$36)*($D$27:$D$36&lt;&gt;0),0)),IF(OR(AND(D1385=0,B1385=0,B1386&lt;&gt;0),AND(D1385*D1384&lt;0,B1385&lt;&gt;0)),IF(D1385=0,C1385,C1385*(1-ABS(D1385)/(ABS(D1385)+ABS(D1384)))+C1384*(1-ABS(D1384)/(ABS(D1385)+ABS(D1384)))),"")))</f>
        <v>#NAME?</v>
      </c>
    </row>
    <row r="1386" spans="2:5" x14ac:dyDescent="0.25">
      <c r="B1386" t="e">
        <f t="shared" ca="1" si="43"/>
        <v>#NAME?</v>
      </c>
      <c r="C1386">
        <v>1343</v>
      </c>
      <c r="D1386" t="e">
        <f t="shared" ca="1" si="42"/>
        <v>#NAME?</v>
      </c>
      <c r="E1386" s="115" t="e">
        <f t="array" aca="1" ref="E1386" ca="1">IF(OR(C1385=0,AND(B1387=0,C1387=0)),"",IFERROR(INDEX($F$27:$F$36,MATCH(C1386,($F$27:$F$36)*($D$27:$D$36&lt;&gt;0),0)),IF(OR(AND(D1386=0,B1386=0,B1387&lt;&gt;0),AND(D1386*D1385&lt;0,B1386&lt;&gt;0)),IF(D1386=0,C1386,C1386*(1-ABS(D1386)/(ABS(D1386)+ABS(D1385)))+C1385*(1-ABS(D1385)/(ABS(D1386)+ABS(D1385)))),"")))</f>
        <v>#NAME?</v>
      </c>
    </row>
    <row r="1387" spans="2:5" x14ac:dyDescent="0.25">
      <c r="B1387" t="e">
        <f t="shared" ca="1" si="43"/>
        <v>#NAME?</v>
      </c>
      <c r="C1387">
        <v>1344</v>
      </c>
      <c r="D1387" t="e">
        <f t="shared" ref="D1387:D1450" ca="1" si="44">SUMPRODUCT(--($J$27:$J$37&gt;0),--($C1387-$F$27:$F$37&gt;0),($D$27:$D$37),($C1387-$F$27:$F$37))+SUMPRODUCT(--($J$27:$J$37&lt;0),--($F$27:$F$37-$C1387&gt;0),($D$27:$D$37),($F$27:$F$37-$C1387))-SUMPRODUCT($D$27:$D$37,$E$27:$E$37)</f>
        <v>#NAME?</v>
      </c>
      <c r="E1387" s="115" t="e">
        <f t="array" aca="1" ref="E1387" ca="1">IF(OR(C1386=0,AND(B1388=0,C1388=0)),"",IFERROR(INDEX($F$27:$F$36,MATCH(C1387,($F$27:$F$36)*($D$27:$D$36&lt;&gt;0),0)),IF(OR(AND(D1387=0,B1387=0,B1388&lt;&gt;0),AND(D1387*D1386&lt;0,B1387&lt;&gt;0)),IF(D1387=0,C1387,C1387*(1-ABS(D1387)/(ABS(D1387)+ABS(D1386)))+C1386*(1-ABS(D1386)/(ABS(D1387)+ABS(D1386)))),"")))</f>
        <v>#NAME?</v>
      </c>
    </row>
    <row r="1388" spans="2:5" x14ac:dyDescent="0.25">
      <c r="B1388" t="e">
        <f t="shared" ref="B1388:B1451" ca="1" si="45">ROUND((D1388-D1387)/(C1388-C1387),12)</f>
        <v>#NAME?</v>
      </c>
      <c r="C1388">
        <v>1345</v>
      </c>
      <c r="D1388" t="e">
        <f t="shared" ca="1" si="44"/>
        <v>#NAME?</v>
      </c>
      <c r="E1388" s="115" t="e">
        <f t="array" aca="1" ref="E1388" ca="1">IF(OR(C1387=0,AND(B1389=0,C1389=0)),"",IFERROR(INDEX($F$27:$F$36,MATCH(C1388,($F$27:$F$36)*($D$27:$D$36&lt;&gt;0),0)),IF(OR(AND(D1388=0,B1388=0,B1389&lt;&gt;0),AND(D1388*D1387&lt;0,B1388&lt;&gt;0)),IF(D1388=0,C1388,C1388*(1-ABS(D1388)/(ABS(D1388)+ABS(D1387)))+C1387*(1-ABS(D1387)/(ABS(D1388)+ABS(D1387)))),"")))</f>
        <v>#NAME?</v>
      </c>
    </row>
    <row r="1389" spans="2:5" x14ac:dyDescent="0.25">
      <c r="B1389" t="e">
        <f t="shared" ca="1" si="45"/>
        <v>#NAME?</v>
      </c>
      <c r="C1389">
        <v>1346</v>
      </c>
      <c r="D1389" t="e">
        <f t="shared" ca="1" si="44"/>
        <v>#NAME?</v>
      </c>
      <c r="E1389" s="115" t="e">
        <f t="array" aca="1" ref="E1389" ca="1">IF(OR(C1388=0,AND(B1390=0,C1390=0)),"",IFERROR(INDEX($F$27:$F$36,MATCH(C1389,($F$27:$F$36)*($D$27:$D$36&lt;&gt;0),0)),IF(OR(AND(D1389=0,B1389=0,B1390&lt;&gt;0),AND(D1389*D1388&lt;0,B1389&lt;&gt;0)),IF(D1389=0,C1389,C1389*(1-ABS(D1389)/(ABS(D1389)+ABS(D1388)))+C1388*(1-ABS(D1388)/(ABS(D1389)+ABS(D1388)))),"")))</f>
        <v>#NAME?</v>
      </c>
    </row>
    <row r="1390" spans="2:5" x14ac:dyDescent="0.25">
      <c r="B1390" t="e">
        <f t="shared" ca="1" si="45"/>
        <v>#NAME?</v>
      </c>
      <c r="C1390">
        <v>1347</v>
      </c>
      <c r="D1390" t="e">
        <f t="shared" ca="1" si="44"/>
        <v>#NAME?</v>
      </c>
      <c r="E1390" s="115" t="e">
        <f t="array" aca="1" ref="E1390" ca="1">IF(OR(C1389=0,AND(B1391=0,C1391=0)),"",IFERROR(INDEX($F$27:$F$36,MATCH(C1390,($F$27:$F$36)*($D$27:$D$36&lt;&gt;0),0)),IF(OR(AND(D1390=0,B1390=0,B1391&lt;&gt;0),AND(D1390*D1389&lt;0,B1390&lt;&gt;0)),IF(D1390=0,C1390,C1390*(1-ABS(D1390)/(ABS(D1390)+ABS(D1389)))+C1389*(1-ABS(D1389)/(ABS(D1390)+ABS(D1389)))),"")))</f>
        <v>#NAME?</v>
      </c>
    </row>
    <row r="1391" spans="2:5" x14ac:dyDescent="0.25">
      <c r="B1391" t="e">
        <f t="shared" ca="1" si="45"/>
        <v>#NAME?</v>
      </c>
      <c r="C1391">
        <v>1348</v>
      </c>
      <c r="D1391" t="e">
        <f t="shared" ca="1" si="44"/>
        <v>#NAME?</v>
      </c>
      <c r="E1391" s="115" t="e">
        <f t="array" aca="1" ref="E1391" ca="1">IF(OR(C1390=0,AND(B1392=0,C1392=0)),"",IFERROR(INDEX($F$27:$F$36,MATCH(C1391,($F$27:$F$36)*($D$27:$D$36&lt;&gt;0),0)),IF(OR(AND(D1391=0,B1391=0,B1392&lt;&gt;0),AND(D1391*D1390&lt;0,B1391&lt;&gt;0)),IF(D1391=0,C1391,C1391*(1-ABS(D1391)/(ABS(D1391)+ABS(D1390)))+C1390*(1-ABS(D1390)/(ABS(D1391)+ABS(D1390)))),"")))</f>
        <v>#NAME?</v>
      </c>
    </row>
    <row r="1392" spans="2:5" x14ac:dyDescent="0.25">
      <c r="B1392" t="e">
        <f t="shared" ca="1" si="45"/>
        <v>#NAME?</v>
      </c>
      <c r="C1392">
        <v>1349</v>
      </c>
      <c r="D1392" t="e">
        <f t="shared" ca="1" si="44"/>
        <v>#NAME?</v>
      </c>
      <c r="E1392" s="115" t="e">
        <f t="array" aca="1" ref="E1392" ca="1">IF(OR(C1391=0,AND(B1393=0,C1393=0)),"",IFERROR(INDEX($F$27:$F$36,MATCH(C1392,($F$27:$F$36)*($D$27:$D$36&lt;&gt;0),0)),IF(OR(AND(D1392=0,B1392=0,B1393&lt;&gt;0),AND(D1392*D1391&lt;0,B1392&lt;&gt;0)),IF(D1392=0,C1392,C1392*(1-ABS(D1392)/(ABS(D1392)+ABS(D1391)))+C1391*(1-ABS(D1391)/(ABS(D1392)+ABS(D1391)))),"")))</f>
        <v>#NAME?</v>
      </c>
    </row>
    <row r="1393" spans="2:5" x14ac:dyDescent="0.25">
      <c r="B1393" t="e">
        <f t="shared" ca="1" si="45"/>
        <v>#NAME?</v>
      </c>
      <c r="C1393">
        <v>1350</v>
      </c>
      <c r="D1393" t="e">
        <f t="shared" ca="1" si="44"/>
        <v>#NAME?</v>
      </c>
      <c r="E1393" s="115" t="e">
        <f t="array" aca="1" ref="E1393" ca="1">IF(OR(C1392=0,AND(B1394=0,C1394=0)),"",IFERROR(INDEX($F$27:$F$36,MATCH(C1393,($F$27:$F$36)*($D$27:$D$36&lt;&gt;0),0)),IF(OR(AND(D1393=0,B1393=0,B1394&lt;&gt;0),AND(D1393*D1392&lt;0,B1393&lt;&gt;0)),IF(D1393=0,C1393,C1393*(1-ABS(D1393)/(ABS(D1393)+ABS(D1392)))+C1392*(1-ABS(D1392)/(ABS(D1393)+ABS(D1392)))),"")))</f>
        <v>#NAME?</v>
      </c>
    </row>
    <row r="1394" spans="2:5" x14ac:dyDescent="0.25">
      <c r="B1394" t="e">
        <f t="shared" ca="1" si="45"/>
        <v>#NAME?</v>
      </c>
      <c r="C1394">
        <v>1351</v>
      </c>
      <c r="D1394" t="e">
        <f t="shared" ca="1" si="44"/>
        <v>#NAME?</v>
      </c>
      <c r="E1394" s="115" t="e">
        <f t="array" aca="1" ref="E1394" ca="1">IF(OR(C1393=0,AND(B1395=0,C1395=0)),"",IFERROR(INDEX($F$27:$F$36,MATCH(C1394,($F$27:$F$36)*($D$27:$D$36&lt;&gt;0),0)),IF(OR(AND(D1394=0,B1394=0,B1395&lt;&gt;0),AND(D1394*D1393&lt;0,B1394&lt;&gt;0)),IF(D1394=0,C1394,C1394*(1-ABS(D1394)/(ABS(D1394)+ABS(D1393)))+C1393*(1-ABS(D1393)/(ABS(D1394)+ABS(D1393)))),"")))</f>
        <v>#NAME?</v>
      </c>
    </row>
    <row r="1395" spans="2:5" x14ac:dyDescent="0.25">
      <c r="B1395" t="e">
        <f t="shared" ca="1" si="45"/>
        <v>#NAME?</v>
      </c>
      <c r="C1395">
        <v>1352</v>
      </c>
      <c r="D1395" t="e">
        <f t="shared" ca="1" si="44"/>
        <v>#NAME?</v>
      </c>
      <c r="E1395" s="115" t="e">
        <f t="array" aca="1" ref="E1395" ca="1">IF(OR(C1394=0,AND(B1396=0,C1396=0)),"",IFERROR(INDEX($F$27:$F$36,MATCH(C1395,($F$27:$F$36)*($D$27:$D$36&lt;&gt;0),0)),IF(OR(AND(D1395=0,B1395=0,B1396&lt;&gt;0),AND(D1395*D1394&lt;0,B1395&lt;&gt;0)),IF(D1395=0,C1395,C1395*(1-ABS(D1395)/(ABS(D1395)+ABS(D1394)))+C1394*(1-ABS(D1394)/(ABS(D1395)+ABS(D1394)))),"")))</f>
        <v>#NAME?</v>
      </c>
    </row>
    <row r="1396" spans="2:5" x14ac:dyDescent="0.25">
      <c r="B1396" t="e">
        <f t="shared" ca="1" si="45"/>
        <v>#NAME?</v>
      </c>
      <c r="C1396">
        <v>1353</v>
      </c>
      <c r="D1396" t="e">
        <f t="shared" ca="1" si="44"/>
        <v>#NAME?</v>
      </c>
      <c r="E1396" s="115" t="e">
        <f t="array" aca="1" ref="E1396" ca="1">IF(OR(C1395=0,AND(B1397=0,C1397=0)),"",IFERROR(INDEX($F$27:$F$36,MATCH(C1396,($F$27:$F$36)*($D$27:$D$36&lt;&gt;0),0)),IF(OR(AND(D1396=0,B1396=0,B1397&lt;&gt;0),AND(D1396*D1395&lt;0,B1396&lt;&gt;0)),IF(D1396=0,C1396,C1396*(1-ABS(D1396)/(ABS(D1396)+ABS(D1395)))+C1395*(1-ABS(D1395)/(ABS(D1396)+ABS(D1395)))),"")))</f>
        <v>#NAME?</v>
      </c>
    </row>
    <row r="1397" spans="2:5" x14ac:dyDescent="0.25">
      <c r="B1397" t="e">
        <f t="shared" ca="1" si="45"/>
        <v>#NAME?</v>
      </c>
      <c r="C1397">
        <v>1354</v>
      </c>
      <c r="D1397" t="e">
        <f t="shared" ca="1" si="44"/>
        <v>#NAME?</v>
      </c>
      <c r="E1397" s="115" t="e">
        <f t="array" aca="1" ref="E1397" ca="1">IF(OR(C1396=0,AND(B1398=0,C1398=0)),"",IFERROR(INDEX($F$27:$F$36,MATCH(C1397,($F$27:$F$36)*($D$27:$D$36&lt;&gt;0),0)),IF(OR(AND(D1397=0,B1397=0,B1398&lt;&gt;0),AND(D1397*D1396&lt;0,B1397&lt;&gt;0)),IF(D1397=0,C1397,C1397*(1-ABS(D1397)/(ABS(D1397)+ABS(D1396)))+C1396*(1-ABS(D1396)/(ABS(D1397)+ABS(D1396)))),"")))</f>
        <v>#NAME?</v>
      </c>
    </row>
    <row r="1398" spans="2:5" x14ac:dyDescent="0.25">
      <c r="B1398" t="e">
        <f t="shared" ca="1" si="45"/>
        <v>#NAME?</v>
      </c>
      <c r="C1398">
        <v>1355</v>
      </c>
      <c r="D1398" t="e">
        <f t="shared" ca="1" si="44"/>
        <v>#NAME?</v>
      </c>
      <c r="E1398" s="115" t="e">
        <f t="array" aca="1" ref="E1398" ca="1">IF(OR(C1397=0,AND(B1399=0,C1399=0)),"",IFERROR(INDEX($F$27:$F$36,MATCH(C1398,($F$27:$F$36)*($D$27:$D$36&lt;&gt;0),0)),IF(OR(AND(D1398=0,B1398=0,B1399&lt;&gt;0),AND(D1398*D1397&lt;0,B1398&lt;&gt;0)),IF(D1398=0,C1398,C1398*(1-ABS(D1398)/(ABS(D1398)+ABS(D1397)))+C1397*(1-ABS(D1397)/(ABS(D1398)+ABS(D1397)))),"")))</f>
        <v>#NAME?</v>
      </c>
    </row>
    <row r="1399" spans="2:5" x14ac:dyDescent="0.25">
      <c r="B1399" t="e">
        <f t="shared" ca="1" si="45"/>
        <v>#NAME?</v>
      </c>
      <c r="C1399">
        <v>1356</v>
      </c>
      <c r="D1399" t="e">
        <f t="shared" ca="1" si="44"/>
        <v>#NAME?</v>
      </c>
      <c r="E1399" s="115" t="e">
        <f t="array" aca="1" ref="E1399" ca="1">IF(OR(C1398=0,AND(B1400=0,C1400=0)),"",IFERROR(INDEX($F$27:$F$36,MATCH(C1399,($F$27:$F$36)*($D$27:$D$36&lt;&gt;0),0)),IF(OR(AND(D1399=0,B1399=0,B1400&lt;&gt;0),AND(D1399*D1398&lt;0,B1399&lt;&gt;0)),IF(D1399=0,C1399,C1399*(1-ABS(D1399)/(ABS(D1399)+ABS(D1398)))+C1398*(1-ABS(D1398)/(ABS(D1399)+ABS(D1398)))),"")))</f>
        <v>#NAME?</v>
      </c>
    </row>
    <row r="1400" spans="2:5" x14ac:dyDescent="0.25">
      <c r="B1400" t="e">
        <f t="shared" ca="1" si="45"/>
        <v>#NAME?</v>
      </c>
      <c r="C1400">
        <v>1357</v>
      </c>
      <c r="D1400" t="e">
        <f t="shared" ca="1" si="44"/>
        <v>#NAME?</v>
      </c>
      <c r="E1400" s="115" t="e">
        <f t="array" aca="1" ref="E1400" ca="1">IF(OR(C1399=0,AND(B1401=0,C1401=0)),"",IFERROR(INDEX($F$27:$F$36,MATCH(C1400,($F$27:$F$36)*($D$27:$D$36&lt;&gt;0),0)),IF(OR(AND(D1400=0,B1400=0,B1401&lt;&gt;0),AND(D1400*D1399&lt;0,B1400&lt;&gt;0)),IF(D1400=0,C1400,C1400*(1-ABS(D1400)/(ABS(D1400)+ABS(D1399)))+C1399*(1-ABS(D1399)/(ABS(D1400)+ABS(D1399)))),"")))</f>
        <v>#NAME?</v>
      </c>
    </row>
    <row r="1401" spans="2:5" x14ac:dyDescent="0.25">
      <c r="B1401" t="e">
        <f t="shared" ca="1" si="45"/>
        <v>#NAME?</v>
      </c>
      <c r="C1401">
        <v>1358</v>
      </c>
      <c r="D1401" t="e">
        <f t="shared" ca="1" si="44"/>
        <v>#NAME?</v>
      </c>
      <c r="E1401" s="115" t="e">
        <f t="array" aca="1" ref="E1401" ca="1">IF(OR(C1400=0,AND(B1402=0,C1402=0)),"",IFERROR(INDEX($F$27:$F$36,MATCH(C1401,($F$27:$F$36)*($D$27:$D$36&lt;&gt;0),0)),IF(OR(AND(D1401=0,B1401=0,B1402&lt;&gt;0),AND(D1401*D1400&lt;0,B1401&lt;&gt;0)),IF(D1401=0,C1401,C1401*(1-ABS(D1401)/(ABS(D1401)+ABS(D1400)))+C1400*(1-ABS(D1400)/(ABS(D1401)+ABS(D1400)))),"")))</f>
        <v>#NAME?</v>
      </c>
    </row>
    <row r="1402" spans="2:5" x14ac:dyDescent="0.25">
      <c r="B1402" t="e">
        <f t="shared" ca="1" si="45"/>
        <v>#NAME?</v>
      </c>
      <c r="C1402">
        <v>1359</v>
      </c>
      <c r="D1402" t="e">
        <f t="shared" ca="1" si="44"/>
        <v>#NAME?</v>
      </c>
      <c r="E1402" s="115" t="e">
        <f t="array" aca="1" ref="E1402" ca="1">IF(OR(C1401=0,AND(B1403=0,C1403=0)),"",IFERROR(INDEX($F$27:$F$36,MATCH(C1402,($F$27:$F$36)*($D$27:$D$36&lt;&gt;0),0)),IF(OR(AND(D1402=0,B1402=0,B1403&lt;&gt;0),AND(D1402*D1401&lt;0,B1402&lt;&gt;0)),IF(D1402=0,C1402,C1402*(1-ABS(D1402)/(ABS(D1402)+ABS(D1401)))+C1401*(1-ABS(D1401)/(ABS(D1402)+ABS(D1401)))),"")))</f>
        <v>#NAME?</v>
      </c>
    </row>
    <row r="1403" spans="2:5" x14ac:dyDescent="0.25">
      <c r="B1403" t="e">
        <f t="shared" ca="1" si="45"/>
        <v>#NAME?</v>
      </c>
      <c r="C1403">
        <v>1360</v>
      </c>
      <c r="D1403" t="e">
        <f t="shared" ca="1" si="44"/>
        <v>#NAME?</v>
      </c>
      <c r="E1403" s="115" t="e">
        <f t="array" aca="1" ref="E1403" ca="1">IF(OR(C1402=0,AND(B1404=0,C1404=0)),"",IFERROR(INDEX($F$27:$F$36,MATCH(C1403,($F$27:$F$36)*($D$27:$D$36&lt;&gt;0),0)),IF(OR(AND(D1403=0,B1403=0,B1404&lt;&gt;0),AND(D1403*D1402&lt;0,B1403&lt;&gt;0)),IF(D1403=0,C1403,C1403*(1-ABS(D1403)/(ABS(D1403)+ABS(D1402)))+C1402*(1-ABS(D1402)/(ABS(D1403)+ABS(D1402)))),"")))</f>
        <v>#NAME?</v>
      </c>
    </row>
    <row r="1404" spans="2:5" x14ac:dyDescent="0.25">
      <c r="B1404" t="e">
        <f t="shared" ca="1" si="45"/>
        <v>#NAME?</v>
      </c>
      <c r="C1404">
        <v>1361</v>
      </c>
      <c r="D1404" t="e">
        <f t="shared" ca="1" si="44"/>
        <v>#NAME?</v>
      </c>
      <c r="E1404" s="115" t="e">
        <f t="array" aca="1" ref="E1404" ca="1">IF(OR(C1403=0,AND(B1405=0,C1405=0)),"",IFERROR(INDEX($F$27:$F$36,MATCH(C1404,($F$27:$F$36)*($D$27:$D$36&lt;&gt;0),0)),IF(OR(AND(D1404=0,B1404=0,B1405&lt;&gt;0),AND(D1404*D1403&lt;0,B1404&lt;&gt;0)),IF(D1404=0,C1404,C1404*(1-ABS(D1404)/(ABS(D1404)+ABS(D1403)))+C1403*(1-ABS(D1403)/(ABS(D1404)+ABS(D1403)))),"")))</f>
        <v>#NAME?</v>
      </c>
    </row>
    <row r="1405" spans="2:5" x14ac:dyDescent="0.25">
      <c r="B1405" t="e">
        <f t="shared" ca="1" si="45"/>
        <v>#NAME?</v>
      </c>
      <c r="C1405">
        <v>1362</v>
      </c>
      <c r="D1405" t="e">
        <f t="shared" ca="1" si="44"/>
        <v>#NAME?</v>
      </c>
      <c r="E1405" s="115" t="e">
        <f t="array" aca="1" ref="E1405" ca="1">IF(OR(C1404=0,AND(B1406=0,C1406=0)),"",IFERROR(INDEX($F$27:$F$36,MATCH(C1405,($F$27:$F$36)*($D$27:$D$36&lt;&gt;0),0)),IF(OR(AND(D1405=0,B1405=0,B1406&lt;&gt;0),AND(D1405*D1404&lt;0,B1405&lt;&gt;0)),IF(D1405=0,C1405,C1405*(1-ABS(D1405)/(ABS(D1405)+ABS(D1404)))+C1404*(1-ABS(D1404)/(ABS(D1405)+ABS(D1404)))),"")))</f>
        <v>#NAME?</v>
      </c>
    </row>
    <row r="1406" spans="2:5" x14ac:dyDescent="0.25">
      <c r="B1406" t="e">
        <f t="shared" ca="1" si="45"/>
        <v>#NAME?</v>
      </c>
      <c r="C1406">
        <v>1363</v>
      </c>
      <c r="D1406" t="e">
        <f t="shared" ca="1" si="44"/>
        <v>#NAME?</v>
      </c>
      <c r="E1406" s="115" t="e">
        <f t="array" aca="1" ref="E1406" ca="1">IF(OR(C1405=0,AND(B1407=0,C1407=0)),"",IFERROR(INDEX($F$27:$F$36,MATCH(C1406,($F$27:$F$36)*($D$27:$D$36&lt;&gt;0),0)),IF(OR(AND(D1406=0,B1406=0,B1407&lt;&gt;0),AND(D1406*D1405&lt;0,B1406&lt;&gt;0)),IF(D1406=0,C1406,C1406*(1-ABS(D1406)/(ABS(D1406)+ABS(D1405)))+C1405*(1-ABS(D1405)/(ABS(D1406)+ABS(D1405)))),"")))</f>
        <v>#NAME?</v>
      </c>
    </row>
    <row r="1407" spans="2:5" x14ac:dyDescent="0.25">
      <c r="B1407" t="e">
        <f t="shared" ca="1" si="45"/>
        <v>#NAME?</v>
      </c>
      <c r="C1407">
        <v>1364</v>
      </c>
      <c r="D1407" t="e">
        <f t="shared" ca="1" si="44"/>
        <v>#NAME?</v>
      </c>
      <c r="E1407" s="115" t="e">
        <f t="array" aca="1" ref="E1407" ca="1">IF(OR(C1406=0,AND(B1408=0,C1408=0)),"",IFERROR(INDEX($F$27:$F$36,MATCH(C1407,($F$27:$F$36)*($D$27:$D$36&lt;&gt;0),0)),IF(OR(AND(D1407=0,B1407=0,B1408&lt;&gt;0),AND(D1407*D1406&lt;0,B1407&lt;&gt;0)),IF(D1407=0,C1407,C1407*(1-ABS(D1407)/(ABS(D1407)+ABS(D1406)))+C1406*(1-ABS(D1406)/(ABS(D1407)+ABS(D1406)))),"")))</f>
        <v>#NAME?</v>
      </c>
    </row>
    <row r="1408" spans="2:5" x14ac:dyDescent="0.25">
      <c r="B1408" t="e">
        <f t="shared" ca="1" si="45"/>
        <v>#NAME?</v>
      </c>
      <c r="C1408">
        <v>1365</v>
      </c>
      <c r="D1408" t="e">
        <f t="shared" ca="1" si="44"/>
        <v>#NAME?</v>
      </c>
      <c r="E1408" s="115" t="e">
        <f t="array" aca="1" ref="E1408" ca="1">IF(OR(C1407=0,AND(B1409=0,C1409=0)),"",IFERROR(INDEX($F$27:$F$36,MATCH(C1408,($F$27:$F$36)*($D$27:$D$36&lt;&gt;0),0)),IF(OR(AND(D1408=0,B1408=0,B1409&lt;&gt;0),AND(D1408*D1407&lt;0,B1408&lt;&gt;0)),IF(D1408=0,C1408,C1408*(1-ABS(D1408)/(ABS(D1408)+ABS(D1407)))+C1407*(1-ABS(D1407)/(ABS(D1408)+ABS(D1407)))),"")))</f>
        <v>#NAME?</v>
      </c>
    </row>
    <row r="1409" spans="2:5" x14ac:dyDescent="0.25">
      <c r="B1409" t="e">
        <f t="shared" ca="1" si="45"/>
        <v>#NAME?</v>
      </c>
      <c r="C1409">
        <v>1366</v>
      </c>
      <c r="D1409" t="e">
        <f t="shared" ca="1" si="44"/>
        <v>#NAME?</v>
      </c>
      <c r="E1409" s="115" t="e">
        <f t="array" aca="1" ref="E1409" ca="1">IF(OR(C1408=0,AND(B1410=0,C1410=0)),"",IFERROR(INDEX($F$27:$F$36,MATCH(C1409,($F$27:$F$36)*($D$27:$D$36&lt;&gt;0),0)),IF(OR(AND(D1409=0,B1409=0,B1410&lt;&gt;0),AND(D1409*D1408&lt;0,B1409&lt;&gt;0)),IF(D1409=0,C1409,C1409*(1-ABS(D1409)/(ABS(D1409)+ABS(D1408)))+C1408*(1-ABS(D1408)/(ABS(D1409)+ABS(D1408)))),"")))</f>
        <v>#NAME?</v>
      </c>
    </row>
    <row r="1410" spans="2:5" x14ac:dyDescent="0.25">
      <c r="B1410" t="e">
        <f t="shared" ca="1" si="45"/>
        <v>#NAME?</v>
      </c>
      <c r="C1410">
        <v>1367</v>
      </c>
      <c r="D1410" t="e">
        <f t="shared" ca="1" si="44"/>
        <v>#NAME?</v>
      </c>
      <c r="E1410" s="115" t="e">
        <f t="array" aca="1" ref="E1410" ca="1">IF(OR(C1409=0,AND(B1411=0,C1411=0)),"",IFERROR(INDEX($F$27:$F$36,MATCH(C1410,($F$27:$F$36)*($D$27:$D$36&lt;&gt;0),0)),IF(OR(AND(D1410=0,B1410=0,B1411&lt;&gt;0),AND(D1410*D1409&lt;0,B1410&lt;&gt;0)),IF(D1410=0,C1410,C1410*(1-ABS(D1410)/(ABS(D1410)+ABS(D1409)))+C1409*(1-ABS(D1409)/(ABS(D1410)+ABS(D1409)))),"")))</f>
        <v>#NAME?</v>
      </c>
    </row>
    <row r="1411" spans="2:5" x14ac:dyDescent="0.25">
      <c r="B1411" t="e">
        <f t="shared" ca="1" si="45"/>
        <v>#NAME?</v>
      </c>
      <c r="C1411">
        <v>1368</v>
      </c>
      <c r="D1411" t="e">
        <f t="shared" ca="1" si="44"/>
        <v>#NAME?</v>
      </c>
      <c r="E1411" s="115" t="e">
        <f t="array" aca="1" ref="E1411" ca="1">IF(OR(C1410=0,AND(B1412=0,C1412=0)),"",IFERROR(INDEX($F$27:$F$36,MATCH(C1411,($F$27:$F$36)*($D$27:$D$36&lt;&gt;0),0)),IF(OR(AND(D1411=0,B1411=0,B1412&lt;&gt;0),AND(D1411*D1410&lt;0,B1411&lt;&gt;0)),IF(D1411=0,C1411,C1411*(1-ABS(D1411)/(ABS(D1411)+ABS(D1410)))+C1410*(1-ABS(D1410)/(ABS(D1411)+ABS(D1410)))),"")))</f>
        <v>#NAME?</v>
      </c>
    </row>
    <row r="1412" spans="2:5" x14ac:dyDescent="0.25">
      <c r="B1412" t="e">
        <f t="shared" ca="1" si="45"/>
        <v>#NAME?</v>
      </c>
      <c r="C1412">
        <v>1369</v>
      </c>
      <c r="D1412" t="e">
        <f t="shared" ca="1" si="44"/>
        <v>#NAME?</v>
      </c>
      <c r="E1412" s="115" t="e">
        <f t="array" aca="1" ref="E1412" ca="1">IF(OR(C1411=0,AND(B1413=0,C1413=0)),"",IFERROR(INDEX($F$27:$F$36,MATCH(C1412,($F$27:$F$36)*($D$27:$D$36&lt;&gt;0),0)),IF(OR(AND(D1412=0,B1412=0,B1413&lt;&gt;0),AND(D1412*D1411&lt;0,B1412&lt;&gt;0)),IF(D1412=0,C1412,C1412*(1-ABS(D1412)/(ABS(D1412)+ABS(D1411)))+C1411*(1-ABS(D1411)/(ABS(D1412)+ABS(D1411)))),"")))</f>
        <v>#NAME?</v>
      </c>
    </row>
    <row r="1413" spans="2:5" x14ac:dyDescent="0.25">
      <c r="B1413" t="e">
        <f t="shared" ca="1" si="45"/>
        <v>#NAME?</v>
      </c>
      <c r="C1413">
        <v>1370</v>
      </c>
      <c r="D1413" t="e">
        <f t="shared" ca="1" si="44"/>
        <v>#NAME?</v>
      </c>
      <c r="E1413" s="115" t="e">
        <f t="array" aca="1" ref="E1413" ca="1">IF(OR(C1412=0,AND(B1414=0,C1414=0)),"",IFERROR(INDEX($F$27:$F$36,MATCH(C1413,($F$27:$F$36)*($D$27:$D$36&lt;&gt;0),0)),IF(OR(AND(D1413=0,B1413=0,B1414&lt;&gt;0),AND(D1413*D1412&lt;0,B1413&lt;&gt;0)),IF(D1413=0,C1413,C1413*(1-ABS(D1413)/(ABS(D1413)+ABS(D1412)))+C1412*(1-ABS(D1412)/(ABS(D1413)+ABS(D1412)))),"")))</f>
        <v>#NAME?</v>
      </c>
    </row>
    <row r="1414" spans="2:5" x14ac:dyDescent="0.25">
      <c r="B1414" t="e">
        <f t="shared" ca="1" si="45"/>
        <v>#NAME?</v>
      </c>
      <c r="C1414">
        <v>1371</v>
      </c>
      <c r="D1414" t="e">
        <f t="shared" ca="1" si="44"/>
        <v>#NAME?</v>
      </c>
      <c r="E1414" s="115" t="e">
        <f t="array" aca="1" ref="E1414" ca="1">IF(OR(C1413=0,AND(B1415=0,C1415=0)),"",IFERROR(INDEX($F$27:$F$36,MATCH(C1414,($F$27:$F$36)*($D$27:$D$36&lt;&gt;0),0)),IF(OR(AND(D1414=0,B1414=0,B1415&lt;&gt;0),AND(D1414*D1413&lt;0,B1414&lt;&gt;0)),IF(D1414=0,C1414,C1414*(1-ABS(D1414)/(ABS(D1414)+ABS(D1413)))+C1413*(1-ABS(D1413)/(ABS(D1414)+ABS(D1413)))),"")))</f>
        <v>#NAME?</v>
      </c>
    </row>
    <row r="1415" spans="2:5" x14ac:dyDescent="0.25">
      <c r="B1415" t="e">
        <f t="shared" ca="1" si="45"/>
        <v>#NAME?</v>
      </c>
      <c r="C1415">
        <v>1372</v>
      </c>
      <c r="D1415" t="e">
        <f t="shared" ca="1" si="44"/>
        <v>#NAME?</v>
      </c>
      <c r="E1415" s="115" t="e">
        <f t="array" aca="1" ref="E1415" ca="1">IF(OR(C1414=0,AND(B1416=0,C1416=0)),"",IFERROR(INDEX($F$27:$F$36,MATCH(C1415,($F$27:$F$36)*($D$27:$D$36&lt;&gt;0),0)),IF(OR(AND(D1415=0,B1415=0,B1416&lt;&gt;0),AND(D1415*D1414&lt;0,B1415&lt;&gt;0)),IF(D1415=0,C1415,C1415*(1-ABS(D1415)/(ABS(D1415)+ABS(D1414)))+C1414*(1-ABS(D1414)/(ABS(D1415)+ABS(D1414)))),"")))</f>
        <v>#NAME?</v>
      </c>
    </row>
    <row r="1416" spans="2:5" x14ac:dyDescent="0.25">
      <c r="B1416" t="e">
        <f t="shared" ca="1" si="45"/>
        <v>#NAME?</v>
      </c>
      <c r="C1416">
        <v>1373</v>
      </c>
      <c r="D1416" t="e">
        <f t="shared" ca="1" si="44"/>
        <v>#NAME?</v>
      </c>
      <c r="E1416" s="115" t="e">
        <f t="array" aca="1" ref="E1416" ca="1">IF(OR(C1415=0,AND(B1417=0,C1417=0)),"",IFERROR(INDEX($F$27:$F$36,MATCH(C1416,($F$27:$F$36)*($D$27:$D$36&lt;&gt;0),0)),IF(OR(AND(D1416=0,B1416=0,B1417&lt;&gt;0),AND(D1416*D1415&lt;0,B1416&lt;&gt;0)),IF(D1416=0,C1416,C1416*(1-ABS(D1416)/(ABS(D1416)+ABS(D1415)))+C1415*(1-ABS(D1415)/(ABS(D1416)+ABS(D1415)))),"")))</f>
        <v>#NAME?</v>
      </c>
    </row>
    <row r="1417" spans="2:5" x14ac:dyDescent="0.25">
      <c r="B1417" t="e">
        <f t="shared" ca="1" si="45"/>
        <v>#NAME?</v>
      </c>
      <c r="C1417">
        <v>1374</v>
      </c>
      <c r="D1417" t="e">
        <f t="shared" ca="1" si="44"/>
        <v>#NAME?</v>
      </c>
      <c r="E1417" s="115" t="e">
        <f t="array" aca="1" ref="E1417" ca="1">IF(OR(C1416=0,AND(B1418=0,C1418=0)),"",IFERROR(INDEX($F$27:$F$36,MATCH(C1417,($F$27:$F$36)*($D$27:$D$36&lt;&gt;0),0)),IF(OR(AND(D1417=0,B1417=0,B1418&lt;&gt;0),AND(D1417*D1416&lt;0,B1417&lt;&gt;0)),IF(D1417=0,C1417,C1417*(1-ABS(D1417)/(ABS(D1417)+ABS(D1416)))+C1416*(1-ABS(D1416)/(ABS(D1417)+ABS(D1416)))),"")))</f>
        <v>#NAME?</v>
      </c>
    </row>
    <row r="1418" spans="2:5" x14ac:dyDescent="0.25">
      <c r="B1418" t="e">
        <f t="shared" ca="1" si="45"/>
        <v>#NAME?</v>
      </c>
      <c r="C1418">
        <v>1375</v>
      </c>
      <c r="D1418" t="e">
        <f t="shared" ca="1" si="44"/>
        <v>#NAME?</v>
      </c>
      <c r="E1418" s="115" t="e">
        <f t="array" aca="1" ref="E1418" ca="1">IF(OR(C1417=0,AND(B1419=0,C1419=0)),"",IFERROR(INDEX($F$27:$F$36,MATCH(C1418,($F$27:$F$36)*($D$27:$D$36&lt;&gt;0),0)),IF(OR(AND(D1418=0,B1418=0,B1419&lt;&gt;0),AND(D1418*D1417&lt;0,B1418&lt;&gt;0)),IF(D1418=0,C1418,C1418*(1-ABS(D1418)/(ABS(D1418)+ABS(D1417)))+C1417*(1-ABS(D1417)/(ABS(D1418)+ABS(D1417)))),"")))</f>
        <v>#NAME?</v>
      </c>
    </row>
    <row r="1419" spans="2:5" x14ac:dyDescent="0.25">
      <c r="B1419" t="e">
        <f t="shared" ca="1" si="45"/>
        <v>#NAME?</v>
      </c>
      <c r="C1419">
        <v>1376</v>
      </c>
      <c r="D1419" t="e">
        <f t="shared" ca="1" si="44"/>
        <v>#NAME?</v>
      </c>
      <c r="E1419" s="115" t="e">
        <f t="array" aca="1" ref="E1419" ca="1">IF(OR(C1418=0,AND(B1420=0,C1420=0)),"",IFERROR(INDEX($F$27:$F$36,MATCH(C1419,($F$27:$F$36)*($D$27:$D$36&lt;&gt;0),0)),IF(OR(AND(D1419=0,B1419=0,B1420&lt;&gt;0),AND(D1419*D1418&lt;0,B1419&lt;&gt;0)),IF(D1419=0,C1419,C1419*(1-ABS(D1419)/(ABS(D1419)+ABS(D1418)))+C1418*(1-ABS(D1418)/(ABS(D1419)+ABS(D1418)))),"")))</f>
        <v>#NAME?</v>
      </c>
    </row>
    <row r="1420" spans="2:5" x14ac:dyDescent="0.25">
      <c r="B1420" t="e">
        <f t="shared" ca="1" si="45"/>
        <v>#NAME?</v>
      </c>
      <c r="C1420">
        <v>1377</v>
      </c>
      <c r="D1420" t="e">
        <f t="shared" ca="1" si="44"/>
        <v>#NAME?</v>
      </c>
      <c r="E1420" s="115" t="e">
        <f t="array" aca="1" ref="E1420" ca="1">IF(OR(C1419=0,AND(B1421=0,C1421=0)),"",IFERROR(INDEX($F$27:$F$36,MATCH(C1420,($F$27:$F$36)*($D$27:$D$36&lt;&gt;0),0)),IF(OR(AND(D1420=0,B1420=0,B1421&lt;&gt;0),AND(D1420*D1419&lt;0,B1420&lt;&gt;0)),IF(D1420=0,C1420,C1420*(1-ABS(D1420)/(ABS(D1420)+ABS(D1419)))+C1419*(1-ABS(D1419)/(ABS(D1420)+ABS(D1419)))),"")))</f>
        <v>#NAME?</v>
      </c>
    </row>
    <row r="1421" spans="2:5" x14ac:dyDescent="0.25">
      <c r="B1421" t="e">
        <f t="shared" ca="1" si="45"/>
        <v>#NAME?</v>
      </c>
      <c r="C1421">
        <v>1378</v>
      </c>
      <c r="D1421" t="e">
        <f t="shared" ca="1" si="44"/>
        <v>#NAME?</v>
      </c>
      <c r="E1421" s="115" t="e">
        <f t="array" aca="1" ref="E1421" ca="1">IF(OR(C1420=0,AND(B1422=0,C1422=0)),"",IFERROR(INDEX($F$27:$F$36,MATCH(C1421,($F$27:$F$36)*($D$27:$D$36&lt;&gt;0),0)),IF(OR(AND(D1421=0,B1421=0,B1422&lt;&gt;0),AND(D1421*D1420&lt;0,B1421&lt;&gt;0)),IF(D1421=0,C1421,C1421*(1-ABS(D1421)/(ABS(D1421)+ABS(D1420)))+C1420*(1-ABS(D1420)/(ABS(D1421)+ABS(D1420)))),"")))</f>
        <v>#NAME?</v>
      </c>
    </row>
    <row r="1422" spans="2:5" x14ac:dyDescent="0.25">
      <c r="B1422" t="e">
        <f t="shared" ca="1" si="45"/>
        <v>#NAME?</v>
      </c>
      <c r="C1422">
        <v>1379</v>
      </c>
      <c r="D1422" t="e">
        <f t="shared" ca="1" si="44"/>
        <v>#NAME?</v>
      </c>
      <c r="E1422" s="115" t="e">
        <f t="array" aca="1" ref="E1422" ca="1">IF(OR(C1421=0,AND(B1423=0,C1423=0)),"",IFERROR(INDEX($F$27:$F$36,MATCH(C1422,($F$27:$F$36)*($D$27:$D$36&lt;&gt;0),0)),IF(OR(AND(D1422=0,B1422=0,B1423&lt;&gt;0),AND(D1422*D1421&lt;0,B1422&lt;&gt;0)),IF(D1422=0,C1422,C1422*(1-ABS(D1422)/(ABS(D1422)+ABS(D1421)))+C1421*(1-ABS(D1421)/(ABS(D1422)+ABS(D1421)))),"")))</f>
        <v>#NAME?</v>
      </c>
    </row>
    <row r="1423" spans="2:5" x14ac:dyDescent="0.25">
      <c r="B1423" t="e">
        <f t="shared" ca="1" si="45"/>
        <v>#NAME?</v>
      </c>
      <c r="C1423">
        <v>1380</v>
      </c>
      <c r="D1423" t="e">
        <f t="shared" ca="1" si="44"/>
        <v>#NAME?</v>
      </c>
      <c r="E1423" s="115" t="e">
        <f t="array" aca="1" ref="E1423" ca="1">IF(OR(C1422=0,AND(B1424=0,C1424=0)),"",IFERROR(INDEX($F$27:$F$36,MATCH(C1423,($F$27:$F$36)*($D$27:$D$36&lt;&gt;0),0)),IF(OR(AND(D1423=0,B1423=0,B1424&lt;&gt;0),AND(D1423*D1422&lt;0,B1423&lt;&gt;0)),IF(D1423=0,C1423,C1423*(1-ABS(D1423)/(ABS(D1423)+ABS(D1422)))+C1422*(1-ABS(D1422)/(ABS(D1423)+ABS(D1422)))),"")))</f>
        <v>#NAME?</v>
      </c>
    </row>
    <row r="1424" spans="2:5" x14ac:dyDescent="0.25">
      <c r="B1424" t="e">
        <f t="shared" ca="1" si="45"/>
        <v>#NAME?</v>
      </c>
      <c r="C1424">
        <v>1381</v>
      </c>
      <c r="D1424" t="e">
        <f t="shared" ca="1" si="44"/>
        <v>#NAME?</v>
      </c>
      <c r="E1424" s="115" t="e">
        <f t="array" aca="1" ref="E1424" ca="1">IF(OR(C1423=0,AND(B1425=0,C1425=0)),"",IFERROR(INDEX($F$27:$F$36,MATCH(C1424,($F$27:$F$36)*($D$27:$D$36&lt;&gt;0),0)),IF(OR(AND(D1424=0,B1424=0,B1425&lt;&gt;0),AND(D1424*D1423&lt;0,B1424&lt;&gt;0)),IF(D1424=0,C1424,C1424*(1-ABS(D1424)/(ABS(D1424)+ABS(D1423)))+C1423*(1-ABS(D1423)/(ABS(D1424)+ABS(D1423)))),"")))</f>
        <v>#NAME?</v>
      </c>
    </row>
    <row r="1425" spans="2:5" x14ac:dyDescent="0.25">
      <c r="B1425" t="e">
        <f t="shared" ca="1" si="45"/>
        <v>#NAME?</v>
      </c>
      <c r="C1425">
        <v>1382</v>
      </c>
      <c r="D1425" t="e">
        <f t="shared" ca="1" si="44"/>
        <v>#NAME?</v>
      </c>
      <c r="E1425" s="115" t="e">
        <f t="array" aca="1" ref="E1425" ca="1">IF(OR(C1424=0,AND(B1426=0,C1426=0)),"",IFERROR(INDEX($F$27:$F$36,MATCH(C1425,($F$27:$F$36)*($D$27:$D$36&lt;&gt;0),0)),IF(OR(AND(D1425=0,B1425=0,B1426&lt;&gt;0),AND(D1425*D1424&lt;0,B1425&lt;&gt;0)),IF(D1425=0,C1425,C1425*(1-ABS(D1425)/(ABS(D1425)+ABS(D1424)))+C1424*(1-ABS(D1424)/(ABS(D1425)+ABS(D1424)))),"")))</f>
        <v>#NAME?</v>
      </c>
    </row>
    <row r="1426" spans="2:5" x14ac:dyDescent="0.25">
      <c r="B1426" t="e">
        <f t="shared" ca="1" si="45"/>
        <v>#NAME?</v>
      </c>
      <c r="C1426">
        <v>1383</v>
      </c>
      <c r="D1426" t="e">
        <f t="shared" ca="1" si="44"/>
        <v>#NAME?</v>
      </c>
      <c r="E1426" s="115" t="e">
        <f t="array" aca="1" ref="E1426" ca="1">IF(OR(C1425=0,AND(B1427=0,C1427=0)),"",IFERROR(INDEX($F$27:$F$36,MATCH(C1426,($F$27:$F$36)*($D$27:$D$36&lt;&gt;0),0)),IF(OR(AND(D1426=0,B1426=0,B1427&lt;&gt;0),AND(D1426*D1425&lt;0,B1426&lt;&gt;0)),IF(D1426=0,C1426,C1426*(1-ABS(D1426)/(ABS(D1426)+ABS(D1425)))+C1425*(1-ABS(D1425)/(ABS(D1426)+ABS(D1425)))),"")))</f>
        <v>#NAME?</v>
      </c>
    </row>
    <row r="1427" spans="2:5" x14ac:dyDescent="0.25">
      <c r="B1427" t="e">
        <f t="shared" ca="1" si="45"/>
        <v>#NAME?</v>
      </c>
      <c r="C1427">
        <v>1384</v>
      </c>
      <c r="D1427" t="e">
        <f t="shared" ca="1" si="44"/>
        <v>#NAME?</v>
      </c>
      <c r="E1427" s="115" t="e">
        <f t="array" aca="1" ref="E1427" ca="1">IF(OR(C1426=0,AND(B1428=0,C1428=0)),"",IFERROR(INDEX($F$27:$F$36,MATCH(C1427,($F$27:$F$36)*($D$27:$D$36&lt;&gt;0),0)),IF(OR(AND(D1427=0,B1427=0,B1428&lt;&gt;0),AND(D1427*D1426&lt;0,B1427&lt;&gt;0)),IF(D1427=0,C1427,C1427*(1-ABS(D1427)/(ABS(D1427)+ABS(D1426)))+C1426*(1-ABS(D1426)/(ABS(D1427)+ABS(D1426)))),"")))</f>
        <v>#NAME?</v>
      </c>
    </row>
    <row r="1428" spans="2:5" x14ac:dyDescent="0.25">
      <c r="B1428" t="e">
        <f t="shared" ca="1" si="45"/>
        <v>#NAME?</v>
      </c>
      <c r="C1428">
        <v>1385</v>
      </c>
      <c r="D1428" t="e">
        <f t="shared" ca="1" si="44"/>
        <v>#NAME?</v>
      </c>
      <c r="E1428" s="115" t="e">
        <f t="array" aca="1" ref="E1428" ca="1">IF(OR(C1427=0,AND(B1429=0,C1429=0)),"",IFERROR(INDEX($F$27:$F$36,MATCH(C1428,($F$27:$F$36)*($D$27:$D$36&lt;&gt;0),0)),IF(OR(AND(D1428=0,B1428=0,B1429&lt;&gt;0),AND(D1428*D1427&lt;0,B1428&lt;&gt;0)),IF(D1428=0,C1428,C1428*(1-ABS(D1428)/(ABS(D1428)+ABS(D1427)))+C1427*(1-ABS(D1427)/(ABS(D1428)+ABS(D1427)))),"")))</f>
        <v>#NAME?</v>
      </c>
    </row>
    <row r="1429" spans="2:5" x14ac:dyDescent="0.25">
      <c r="B1429" t="e">
        <f t="shared" ca="1" si="45"/>
        <v>#NAME?</v>
      </c>
      <c r="C1429">
        <v>1386</v>
      </c>
      <c r="D1429" t="e">
        <f t="shared" ca="1" si="44"/>
        <v>#NAME?</v>
      </c>
      <c r="E1429" s="115" t="e">
        <f t="array" aca="1" ref="E1429" ca="1">IF(OR(C1428=0,AND(B1430=0,C1430=0)),"",IFERROR(INDEX($F$27:$F$36,MATCH(C1429,($F$27:$F$36)*($D$27:$D$36&lt;&gt;0),0)),IF(OR(AND(D1429=0,B1429=0,B1430&lt;&gt;0),AND(D1429*D1428&lt;0,B1429&lt;&gt;0)),IF(D1429=0,C1429,C1429*(1-ABS(D1429)/(ABS(D1429)+ABS(D1428)))+C1428*(1-ABS(D1428)/(ABS(D1429)+ABS(D1428)))),"")))</f>
        <v>#NAME?</v>
      </c>
    </row>
    <row r="1430" spans="2:5" x14ac:dyDescent="0.25">
      <c r="B1430" t="e">
        <f t="shared" ca="1" si="45"/>
        <v>#NAME?</v>
      </c>
      <c r="C1430">
        <v>1387</v>
      </c>
      <c r="D1430" t="e">
        <f t="shared" ca="1" si="44"/>
        <v>#NAME?</v>
      </c>
      <c r="E1430" s="115" t="e">
        <f t="array" aca="1" ref="E1430" ca="1">IF(OR(C1429=0,AND(B1431=0,C1431=0)),"",IFERROR(INDEX($F$27:$F$36,MATCH(C1430,($F$27:$F$36)*($D$27:$D$36&lt;&gt;0),0)),IF(OR(AND(D1430=0,B1430=0,B1431&lt;&gt;0),AND(D1430*D1429&lt;0,B1430&lt;&gt;0)),IF(D1430=0,C1430,C1430*(1-ABS(D1430)/(ABS(D1430)+ABS(D1429)))+C1429*(1-ABS(D1429)/(ABS(D1430)+ABS(D1429)))),"")))</f>
        <v>#NAME?</v>
      </c>
    </row>
    <row r="1431" spans="2:5" x14ac:dyDescent="0.25">
      <c r="B1431" t="e">
        <f t="shared" ca="1" si="45"/>
        <v>#NAME?</v>
      </c>
      <c r="C1431">
        <v>1388</v>
      </c>
      <c r="D1431" t="e">
        <f t="shared" ca="1" si="44"/>
        <v>#NAME?</v>
      </c>
      <c r="E1431" s="115" t="e">
        <f t="array" aca="1" ref="E1431" ca="1">IF(OR(C1430=0,AND(B1432=0,C1432=0)),"",IFERROR(INDEX($F$27:$F$36,MATCH(C1431,($F$27:$F$36)*($D$27:$D$36&lt;&gt;0),0)),IF(OR(AND(D1431=0,B1431=0,B1432&lt;&gt;0),AND(D1431*D1430&lt;0,B1431&lt;&gt;0)),IF(D1431=0,C1431,C1431*(1-ABS(D1431)/(ABS(D1431)+ABS(D1430)))+C1430*(1-ABS(D1430)/(ABS(D1431)+ABS(D1430)))),"")))</f>
        <v>#NAME?</v>
      </c>
    </row>
    <row r="1432" spans="2:5" x14ac:dyDescent="0.25">
      <c r="B1432" t="e">
        <f t="shared" ca="1" si="45"/>
        <v>#NAME?</v>
      </c>
      <c r="C1432">
        <v>1389</v>
      </c>
      <c r="D1432" t="e">
        <f t="shared" ca="1" si="44"/>
        <v>#NAME?</v>
      </c>
      <c r="E1432" s="115" t="e">
        <f t="array" aca="1" ref="E1432" ca="1">IF(OR(C1431=0,AND(B1433=0,C1433=0)),"",IFERROR(INDEX($F$27:$F$36,MATCH(C1432,($F$27:$F$36)*($D$27:$D$36&lt;&gt;0),0)),IF(OR(AND(D1432=0,B1432=0,B1433&lt;&gt;0),AND(D1432*D1431&lt;0,B1432&lt;&gt;0)),IF(D1432=0,C1432,C1432*(1-ABS(D1432)/(ABS(D1432)+ABS(D1431)))+C1431*(1-ABS(D1431)/(ABS(D1432)+ABS(D1431)))),"")))</f>
        <v>#NAME?</v>
      </c>
    </row>
    <row r="1433" spans="2:5" x14ac:dyDescent="0.25">
      <c r="B1433" t="e">
        <f t="shared" ca="1" si="45"/>
        <v>#NAME?</v>
      </c>
      <c r="C1433">
        <v>1390</v>
      </c>
      <c r="D1433" t="e">
        <f t="shared" ca="1" si="44"/>
        <v>#NAME?</v>
      </c>
      <c r="E1433" s="115" t="e">
        <f t="array" aca="1" ref="E1433" ca="1">IF(OR(C1432=0,AND(B1434=0,C1434=0)),"",IFERROR(INDEX($F$27:$F$36,MATCH(C1433,($F$27:$F$36)*($D$27:$D$36&lt;&gt;0),0)),IF(OR(AND(D1433=0,B1433=0,B1434&lt;&gt;0),AND(D1433*D1432&lt;0,B1433&lt;&gt;0)),IF(D1433=0,C1433,C1433*(1-ABS(D1433)/(ABS(D1433)+ABS(D1432)))+C1432*(1-ABS(D1432)/(ABS(D1433)+ABS(D1432)))),"")))</f>
        <v>#NAME?</v>
      </c>
    </row>
    <row r="1434" spans="2:5" x14ac:dyDescent="0.25">
      <c r="B1434" t="e">
        <f t="shared" ca="1" si="45"/>
        <v>#NAME?</v>
      </c>
      <c r="C1434">
        <v>1391</v>
      </c>
      <c r="D1434" t="e">
        <f t="shared" ca="1" si="44"/>
        <v>#NAME?</v>
      </c>
      <c r="E1434" s="115" t="e">
        <f t="array" aca="1" ref="E1434" ca="1">IF(OR(C1433=0,AND(B1435=0,C1435=0)),"",IFERROR(INDEX($F$27:$F$36,MATCH(C1434,($F$27:$F$36)*($D$27:$D$36&lt;&gt;0),0)),IF(OR(AND(D1434=0,B1434=0,B1435&lt;&gt;0),AND(D1434*D1433&lt;0,B1434&lt;&gt;0)),IF(D1434=0,C1434,C1434*(1-ABS(D1434)/(ABS(D1434)+ABS(D1433)))+C1433*(1-ABS(D1433)/(ABS(D1434)+ABS(D1433)))),"")))</f>
        <v>#NAME?</v>
      </c>
    </row>
    <row r="1435" spans="2:5" x14ac:dyDescent="0.25">
      <c r="B1435" t="e">
        <f t="shared" ca="1" si="45"/>
        <v>#NAME?</v>
      </c>
      <c r="C1435">
        <v>1392</v>
      </c>
      <c r="D1435" t="e">
        <f t="shared" ca="1" si="44"/>
        <v>#NAME?</v>
      </c>
      <c r="E1435" s="115" t="e">
        <f t="array" aca="1" ref="E1435" ca="1">IF(OR(C1434=0,AND(B1436=0,C1436=0)),"",IFERROR(INDEX($F$27:$F$36,MATCH(C1435,($F$27:$F$36)*($D$27:$D$36&lt;&gt;0),0)),IF(OR(AND(D1435=0,B1435=0,B1436&lt;&gt;0),AND(D1435*D1434&lt;0,B1435&lt;&gt;0)),IF(D1435=0,C1435,C1435*(1-ABS(D1435)/(ABS(D1435)+ABS(D1434)))+C1434*(1-ABS(D1434)/(ABS(D1435)+ABS(D1434)))),"")))</f>
        <v>#NAME?</v>
      </c>
    </row>
    <row r="1436" spans="2:5" x14ac:dyDescent="0.25">
      <c r="B1436" t="e">
        <f t="shared" ca="1" si="45"/>
        <v>#NAME?</v>
      </c>
      <c r="C1436">
        <v>1393</v>
      </c>
      <c r="D1436" t="e">
        <f t="shared" ca="1" si="44"/>
        <v>#NAME?</v>
      </c>
      <c r="E1436" s="115" t="e">
        <f t="array" aca="1" ref="E1436" ca="1">IF(OR(C1435=0,AND(B1437=0,C1437=0)),"",IFERROR(INDEX($F$27:$F$36,MATCH(C1436,($F$27:$F$36)*($D$27:$D$36&lt;&gt;0),0)),IF(OR(AND(D1436=0,B1436=0,B1437&lt;&gt;0),AND(D1436*D1435&lt;0,B1436&lt;&gt;0)),IF(D1436=0,C1436,C1436*(1-ABS(D1436)/(ABS(D1436)+ABS(D1435)))+C1435*(1-ABS(D1435)/(ABS(D1436)+ABS(D1435)))),"")))</f>
        <v>#NAME?</v>
      </c>
    </row>
    <row r="1437" spans="2:5" x14ac:dyDescent="0.25">
      <c r="B1437" t="e">
        <f t="shared" ca="1" si="45"/>
        <v>#NAME?</v>
      </c>
      <c r="C1437">
        <v>1394</v>
      </c>
      <c r="D1437" t="e">
        <f t="shared" ca="1" si="44"/>
        <v>#NAME?</v>
      </c>
      <c r="E1437" s="115" t="e">
        <f t="array" aca="1" ref="E1437" ca="1">IF(OR(C1436=0,AND(B1438=0,C1438=0)),"",IFERROR(INDEX($F$27:$F$36,MATCH(C1437,($F$27:$F$36)*($D$27:$D$36&lt;&gt;0),0)),IF(OR(AND(D1437=0,B1437=0,B1438&lt;&gt;0),AND(D1437*D1436&lt;0,B1437&lt;&gt;0)),IF(D1437=0,C1437,C1437*(1-ABS(D1437)/(ABS(D1437)+ABS(D1436)))+C1436*(1-ABS(D1436)/(ABS(D1437)+ABS(D1436)))),"")))</f>
        <v>#NAME?</v>
      </c>
    </row>
    <row r="1438" spans="2:5" x14ac:dyDescent="0.25">
      <c r="B1438" t="e">
        <f t="shared" ca="1" si="45"/>
        <v>#NAME?</v>
      </c>
      <c r="C1438">
        <v>1395</v>
      </c>
      <c r="D1438" t="e">
        <f t="shared" ca="1" si="44"/>
        <v>#NAME?</v>
      </c>
      <c r="E1438" s="115" t="e">
        <f t="array" aca="1" ref="E1438" ca="1">IF(OR(C1437=0,AND(B1439=0,C1439=0)),"",IFERROR(INDEX($F$27:$F$36,MATCH(C1438,($F$27:$F$36)*($D$27:$D$36&lt;&gt;0),0)),IF(OR(AND(D1438=0,B1438=0,B1439&lt;&gt;0),AND(D1438*D1437&lt;0,B1438&lt;&gt;0)),IF(D1438=0,C1438,C1438*(1-ABS(D1438)/(ABS(D1438)+ABS(D1437)))+C1437*(1-ABS(D1437)/(ABS(D1438)+ABS(D1437)))),"")))</f>
        <v>#NAME?</v>
      </c>
    </row>
    <row r="1439" spans="2:5" x14ac:dyDescent="0.25">
      <c r="B1439" t="e">
        <f t="shared" ca="1" si="45"/>
        <v>#NAME?</v>
      </c>
      <c r="C1439">
        <v>1396</v>
      </c>
      <c r="D1439" t="e">
        <f t="shared" ca="1" si="44"/>
        <v>#NAME?</v>
      </c>
      <c r="E1439" s="115" t="e">
        <f t="array" aca="1" ref="E1439" ca="1">IF(OR(C1438=0,AND(B1440=0,C1440=0)),"",IFERROR(INDEX($F$27:$F$36,MATCH(C1439,($F$27:$F$36)*($D$27:$D$36&lt;&gt;0),0)),IF(OR(AND(D1439=0,B1439=0,B1440&lt;&gt;0),AND(D1439*D1438&lt;0,B1439&lt;&gt;0)),IF(D1439=0,C1439,C1439*(1-ABS(D1439)/(ABS(D1439)+ABS(D1438)))+C1438*(1-ABS(D1438)/(ABS(D1439)+ABS(D1438)))),"")))</f>
        <v>#NAME?</v>
      </c>
    </row>
    <row r="1440" spans="2:5" x14ac:dyDescent="0.25">
      <c r="B1440" t="e">
        <f t="shared" ca="1" si="45"/>
        <v>#NAME?</v>
      </c>
      <c r="C1440">
        <v>1397</v>
      </c>
      <c r="D1440" t="e">
        <f t="shared" ca="1" si="44"/>
        <v>#NAME?</v>
      </c>
      <c r="E1440" s="115" t="e">
        <f t="array" aca="1" ref="E1440" ca="1">IF(OR(C1439=0,AND(B1441=0,C1441=0)),"",IFERROR(INDEX($F$27:$F$36,MATCH(C1440,($F$27:$F$36)*($D$27:$D$36&lt;&gt;0),0)),IF(OR(AND(D1440=0,B1440=0,B1441&lt;&gt;0),AND(D1440*D1439&lt;0,B1440&lt;&gt;0)),IF(D1440=0,C1440,C1440*(1-ABS(D1440)/(ABS(D1440)+ABS(D1439)))+C1439*(1-ABS(D1439)/(ABS(D1440)+ABS(D1439)))),"")))</f>
        <v>#NAME?</v>
      </c>
    </row>
    <row r="1441" spans="2:5" x14ac:dyDescent="0.25">
      <c r="B1441" t="e">
        <f t="shared" ca="1" si="45"/>
        <v>#NAME?</v>
      </c>
      <c r="C1441">
        <v>1398</v>
      </c>
      <c r="D1441" t="e">
        <f t="shared" ca="1" si="44"/>
        <v>#NAME?</v>
      </c>
      <c r="E1441" s="115" t="e">
        <f t="array" aca="1" ref="E1441" ca="1">IF(OR(C1440=0,AND(B1442=0,C1442=0)),"",IFERROR(INDEX($F$27:$F$36,MATCH(C1441,($F$27:$F$36)*($D$27:$D$36&lt;&gt;0),0)),IF(OR(AND(D1441=0,B1441=0,B1442&lt;&gt;0),AND(D1441*D1440&lt;0,B1441&lt;&gt;0)),IF(D1441=0,C1441,C1441*(1-ABS(D1441)/(ABS(D1441)+ABS(D1440)))+C1440*(1-ABS(D1440)/(ABS(D1441)+ABS(D1440)))),"")))</f>
        <v>#NAME?</v>
      </c>
    </row>
    <row r="1442" spans="2:5" x14ac:dyDescent="0.25">
      <c r="B1442" t="e">
        <f t="shared" ca="1" si="45"/>
        <v>#NAME?</v>
      </c>
      <c r="C1442">
        <v>1399</v>
      </c>
      <c r="D1442" t="e">
        <f t="shared" ca="1" si="44"/>
        <v>#NAME?</v>
      </c>
      <c r="E1442" s="115" t="e">
        <f t="array" aca="1" ref="E1442" ca="1">IF(OR(C1441=0,AND(B1443=0,C1443=0)),"",IFERROR(INDEX($F$27:$F$36,MATCH(C1442,($F$27:$F$36)*($D$27:$D$36&lt;&gt;0),0)),IF(OR(AND(D1442=0,B1442=0,B1443&lt;&gt;0),AND(D1442*D1441&lt;0,B1442&lt;&gt;0)),IF(D1442=0,C1442,C1442*(1-ABS(D1442)/(ABS(D1442)+ABS(D1441)))+C1441*(1-ABS(D1441)/(ABS(D1442)+ABS(D1441)))),"")))</f>
        <v>#NAME?</v>
      </c>
    </row>
    <row r="1443" spans="2:5" x14ac:dyDescent="0.25">
      <c r="B1443" t="e">
        <f t="shared" ca="1" si="45"/>
        <v>#NAME?</v>
      </c>
      <c r="C1443">
        <v>1400</v>
      </c>
      <c r="D1443" t="e">
        <f t="shared" ca="1" si="44"/>
        <v>#NAME?</v>
      </c>
      <c r="E1443" s="115" t="e">
        <f t="array" aca="1" ref="E1443" ca="1">IF(OR(C1442=0,AND(B1444=0,C1444=0)),"",IFERROR(INDEX($F$27:$F$36,MATCH(C1443,($F$27:$F$36)*($D$27:$D$36&lt;&gt;0),0)),IF(OR(AND(D1443=0,B1443=0,B1444&lt;&gt;0),AND(D1443*D1442&lt;0,B1443&lt;&gt;0)),IF(D1443=0,C1443,C1443*(1-ABS(D1443)/(ABS(D1443)+ABS(D1442)))+C1442*(1-ABS(D1442)/(ABS(D1443)+ABS(D1442)))),"")))</f>
        <v>#NAME?</v>
      </c>
    </row>
    <row r="1444" spans="2:5" x14ac:dyDescent="0.25">
      <c r="B1444" t="e">
        <f t="shared" ca="1" si="45"/>
        <v>#NAME?</v>
      </c>
      <c r="C1444">
        <v>1401</v>
      </c>
      <c r="D1444" t="e">
        <f t="shared" ca="1" si="44"/>
        <v>#NAME?</v>
      </c>
      <c r="E1444" s="115" t="e">
        <f t="array" aca="1" ref="E1444" ca="1">IF(OR(C1443=0,AND(B1445=0,C1445=0)),"",IFERROR(INDEX($F$27:$F$36,MATCH(C1444,($F$27:$F$36)*($D$27:$D$36&lt;&gt;0),0)),IF(OR(AND(D1444=0,B1444=0,B1445&lt;&gt;0),AND(D1444*D1443&lt;0,B1444&lt;&gt;0)),IF(D1444=0,C1444,C1444*(1-ABS(D1444)/(ABS(D1444)+ABS(D1443)))+C1443*(1-ABS(D1443)/(ABS(D1444)+ABS(D1443)))),"")))</f>
        <v>#NAME?</v>
      </c>
    </row>
    <row r="1445" spans="2:5" x14ac:dyDescent="0.25">
      <c r="B1445" t="e">
        <f t="shared" ca="1" si="45"/>
        <v>#NAME?</v>
      </c>
      <c r="C1445">
        <v>1402</v>
      </c>
      <c r="D1445" t="e">
        <f t="shared" ca="1" si="44"/>
        <v>#NAME?</v>
      </c>
      <c r="E1445" s="115" t="e">
        <f t="array" aca="1" ref="E1445" ca="1">IF(OR(C1444=0,AND(B1446=0,C1446=0)),"",IFERROR(INDEX($F$27:$F$36,MATCH(C1445,($F$27:$F$36)*($D$27:$D$36&lt;&gt;0),0)),IF(OR(AND(D1445=0,B1445=0,B1446&lt;&gt;0),AND(D1445*D1444&lt;0,B1445&lt;&gt;0)),IF(D1445=0,C1445,C1445*(1-ABS(D1445)/(ABS(D1445)+ABS(D1444)))+C1444*(1-ABS(D1444)/(ABS(D1445)+ABS(D1444)))),"")))</f>
        <v>#NAME?</v>
      </c>
    </row>
    <row r="1446" spans="2:5" x14ac:dyDescent="0.25">
      <c r="B1446" t="e">
        <f t="shared" ca="1" si="45"/>
        <v>#NAME?</v>
      </c>
      <c r="C1446">
        <v>1403</v>
      </c>
      <c r="D1446" t="e">
        <f t="shared" ca="1" si="44"/>
        <v>#NAME?</v>
      </c>
      <c r="E1446" s="115" t="e">
        <f t="array" aca="1" ref="E1446" ca="1">IF(OR(C1445=0,AND(B1447=0,C1447=0)),"",IFERROR(INDEX($F$27:$F$36,MATCH(C1446,($F$27:$F$36)*($D$27:$D$36&lt;&gt;0),0)),IF(OR(AND(D1446=0,B1446=0,B1447&lt;&gt;0),AND(D1446*D1445&lt;0,B1446&lt;&gt;0)),IF(D1446=0,C1446,C1446*(1-ABS(D1446)/(ABS(D1446)+ABS(D1445)))+C1445*(1-ABS(D1445)/(ABS(D1446)+ABS(D1445)))),"")))</f>
        <v>#NAME?</v>
      </c>
    </row>
    <row r="1447" spans="2:5" x14ac:dyDescent="0.25">
      <c r="B1447" t="e">
        <f t="shared" ca="1" si="45"/>
        <v>#NAME?</v>
      </c>
      <c r="C1447">
        <v>1404</v>
      </c>
      <c r="D1447" t="e">
        <f t="shared" ca="1" si="44"/>
        <v>#NAME?</v>
      </c>
      <c r="E1447" s="115" t="e">
        <f t="array" aca="1" ref="E1447" ca="1">IF(OR(C1446=0,AND(B1448=0,C1448=0)),"",IFERROR(INDEX($F$27:$F$36,MATCH(C1447,($F$27:$F$36)*($D$27:$D$36&lt;&gt;0),0)),IF(OR(AND(D1447=0,B1447=0,B1448&lt;&gt;0),AND(D1447*D1446&lt;0,B1447&lt;&gt;0)),IF(D1447=0,C1447,C1447*(1-ABS(D1447)/(ABS(D1447)+ABS(D1446)))+C1446*(1-ABS(D1446)/(ABS(D1447)+ABS(D1446)))),"")))</f>
        <v>#NAME?</v>
      </c>
    </row>
    <row r="1448" spans="2:5" x14ac:dyDescent="0.25">
      <c r="B1448" t="e">
        <f t="shared" ca="1" si="45"/>
        <v>#NAME?</v>
      </c>
      <c r="C1448">
        <v>1405</v>
      </c>
      <c r="D1448" t="e">
        <f t="shared" ca="1" si="44"/>
        <v>#NAME?</v>
      </c>
      <c r="E1448" s="115" t="e">
        <f t="array" aca="1" ref="E1448" ca="1">IF(OR(C1447=0,AND(B1449=0,C1449=0)),"",IFERROR(INDEX($F$27:$F$36,MATCH(C1448,($F$27:$F$36)*($D$27:$D$36&lt;&gt;0),0)),IF(OR(AND(D1448=0,B1448=0,B1449&lt;&gt;0),AND(D1448*D1447&lt;0,B1448&lt;&gt;0)),IF(D1448=0,C1448,C1448*(1-ABS(D1448)/(ABS(D1448)+ABS(D1447)))+C1447*(1-ABS(D1447)/(ABS(D1448)+ABS(D1447)))),"")))</f>
        <v>#NAME?</v>
      </c>
    </row>
    <row r="1449" spans="2:5" x14ac:dyDescent="0.25">
      <c r="B1449" t="e">
        <f t="shared" ca="1" si="45"/>
        <v>#NAME?</v>
      </c>
      <c r="C1449">
        <v>1406</v>
      </c>
      <c r="D1449" t="e">
        <f t="shared" ca="1" si="44"/>
        <v>#NAME?</v>
      </c>
      <c r="E1449" s="115" t="e">
        <f t="array" aca="1" ref="E1449" ca="1">IF(OR(C1448=0,AND(B1450=0,C1450=0)),"",IFERROR(INDEX($F$27:$F$36,MATCH(C1449,($F$27:$F$36)*($D$27:$D$36&lt;&gt;0),0)),IF(OR(AND(D1449=0,B1449=0,B1450&lt;&gt;0),AND(D1449*D1448&lt;0,B1449&lt;&gt;0)),IF(D1449=0,C1449,C1449*(1-ABS(D1449)/(ABS(D1449)+ABS(D1448)))+C1448*(1-ABS(D1448)/(ABS(D1449)+ABS(D1448)))),"")))</f>
        <v>#NAME?</v>
      </c>
    </row>
    <row r="1450" spans="2:5" x14ac:dyDescent="0.25">
      <c r="B1450" t="e">
        <f t="shared" ca="1" si="45"/>
        <v>#NAME?</v>
      </c>
      <c r="C1450">
        <v>1407</v>
      </c>
      <c r="D1450" t="e">
        <f t="shared" ca="1" si="44"/>
        <v>#NAME?</v>
      </c>
      <c r="E1450" s="115" t="e">
        <f t="array" aca="1" ref="E1450" ca="1">IF(OR(C1449=0,AND(B1451=0,C1451=0)),"",IFERROR(INDEX($F$27:$F$36,MATCH(C1450,($F$27:$F$36)*($D$27:$D$36&lt;&gt;0),0)),IF(OR(AND(D1450=0,B1450=0,B1451&lt;&gt;0),AND(D1450*D1449&lt;0,B1450&lt;&gt;0)),IF(D1450=0,C1450,C1450*(1-ABS(D1450)/(ABS(D1450)+ABS(D1449)))+C1449*(1-ABS(D1449)/(ABS(D1450)+ABS(D1449)))),"")))</f>
        <v>#NAME?</v>
      </c>
    </row>
    <row r="1451" spans="2:5" x14ac:dyDescent="0.25">
      <c r="B1451" t="e">
        <f t="shared" ca="1" si="45"/>
        <v>#NAME?</v>
      </c>
      <c r="C1451">
        <v>1408</v>
      </c>
      <c r="D1451" t="e">
        <f t="shared" ref="D1451:D1514" ca="1" si="46">SUMPRODUCT(--($J$27:$J$37&gt;0),--($C1451-$F$27:$F$37&gt;0),($D$27:$D$37),($C1451-$F$27:$F$37))+SUMPRODUCT(--($J$27:$J$37&lt;0),--($F$27:$F$37-$C1451&gt;0),($D$27:$D$37),($F$27:$F$37-$C1451))-SUMPRODUCT($D$27:$D$37,$E$27:$E$37)</f>
        <v>#NAME?</v>
      </c>
      <c r="E1451" s="115" t="e">
        <f t="array" aca="1" ref="E1451" ca="1">IF(OR(C1450=0,AND(B1452=0,C1452=0)),"",IFERROR(INDEX($F$27:$F$36,MATCH(C1451,($F$27:$F$36)*($D$27:$D$36&lt;&gt;0),0)),IF(OR(AND(D1451=0,B1451=0,B1452&lt;&gt;0),AND(D1451*D1450&lt;0,B1451&lt;&gt;0)),IF(D1451=0,C1451,C1451*(1-ABS(D1451)/(ABS(D1451)+ABS(D1450)))+C1450*(1-ABS(D1450)/(ABS(D1451)+ABS(D1450)))),"")))</f>
        <v>#NAME?</v>
      </c>
    </row>
    <row r="1452" spans="2:5" x14ac:dyDescent="0.25">
      <c r="B1452" t="e">
        <f t="shared" ref="B1452:B1515" ca="1" si="47">ROUND((D1452-D1451)/(C1452-C1451),12)</f>
        <v>#NAME?</v>
      </c>
      <c r="C1452">
        <v>1409</v>
      </c>
      <c r="D1452" t="e">
        <f t="shared" ca="1" si="46"/>
        <v>#NAME?</v>
      </c>
      <c r="E1452" s="115" t="e">
        <f t="array" aca="1" ref="E1452" ca="1">IF(OR(C1451=0,AND(B1453=0,C1453=0)),"",IFERROR(INDEX($F$27:$F$36,MATCH(C1452,($F$27:$F$36)*($D$27:$D$36&lt;&gt;0),0)),IF(OR(AND(D1452=0,B1452=0,B1453&lt;&gt;0),AND(D1452*D1451&lt;0,B1452&lt;&gt;0)),IF(D1452=0,C1452,C1452*(1-ABS(D1452)/(ABS(D1452)+ABS(D1451)))+C1451*(1-ABS(D1451)/(ABS(D1452)+ABS(D1451)))),"")))</f>
        <v>#NAME?</v>
      </c>
    </row>
    <row r="1453" spans="2:5" x14ac:dyDescent="0.25">
      <c r="B1453" t="e">
        <f t="shared" ca="1" si="47"/>
        <v>#NAME?</v>
      </c>
      <c r="C1453">
        <v>1410</v>
      </c>
      <c r="D1453" t="e">
        <f t="shared" ca="1" si="46"/>
        <v>#NAME?</v>
      </c>
      <c r="E1453" s="115" t="e">
        <f t="array" aca="1" ref="E1453" ca="1">IF(OR(C1452=0,AND(B1454=0,C1454=0)),"",IFERROR(INDEX($F$27:$F$36,MATCH(C1453,($F$27:$F$36)*($D$27:$D$36&lt;&gt;0),0)),IF(OR(AND(D1453=0,B1453=0,B1454&lt;&gt;0),AND(D1453*D1452&lt;0,B1453&lt;&gt;0)),IF(D1453=0,C1453,C1453*(1-ABS(D1453)/(ABS(D1453)+ABS(D1452)))+C1452*(1-ABS(D1452)/(ABS(D1453)+ABS(D1452)))),"")))</f>
        <v>#NAME?</v>
      </c>
    </row>
    <row r="1454" spans="2:5" x14ac:dyDescent="0.25">
      <c r="B1454" t="e">
        <f t="shared" ca="1" si="47"/>
        <v>#NAME?</v>
      </c>
      <c r="C1454">
        <v>1411</v>
      </c>
      <c r="D1454" t="e">
        <f t="shared" ca="1" si="46"/>
        <v>#NAME?</v>
      </c>
      <c r="E1454" s="115" t="e">
        <f t="array" aca="1" ref="E1454" ca="1">IF(OR(C1453=0,AND(B1455=0,C1455=0)),"",IFERROR(INDEX($F$27:$F$36,MATCH(C1454,($F$27:$F$36)*($D$27:$D$36&lt;&gt;0),0)),IF(OR(AND(D1454=0,B1454=0,B1455&lt;&gt;0),AND(D1454*D1453&lt;0,B1454&lt;&gt;0)),IF(D1454=0,C1454,C1454*(1-ABS(D1454)/(ABS(D1454)+ABS(D1453)))+C1453*(1-ABS(D1453)/(ABS(D1454)+ABS(D1453)))),"")))</f>
        <v>#NAME?</v>
      </c>
    </row>
    <row r="1455" spans="2:5" x14ac:dyDescent="0.25">
      <c r="B1455" t="e">
        <f t="shared" ca="1" si="47"/>
        <v>#NAME?</v>
      </c>
      <c r="C1455">
        <v>1412</v>
      </c>
      <c r="D1455" t="e">
        <f t="shared" ca="1" si="46"/>
        <v>#NAME?</v>
      </c>
      <c r="E1455" s="115" t="e">
        <f t="array" aca="1" ref="E1455" ca="1">IF(OR(C1454=0,AND(B1456=0,C1456=0)),"",IFERROR(INDEX($F$27:$F$36,MATCH(C1455,($F$27:$F$36)*($D$27:$D$36&lt;&gt;0),0)),IF(OR(AND(D1455=0,B1455=0,B1456&lt;&gt;0),AND(D1455*D1454&lt;0,B1455&lt;&gt;0)),IF(D1455=0,C1455,C1455*(1-ABS(D1455)/(ABS(D1455)+ABS(D1454)))+C1454*(1-ABS(D1454)/(ABS(D1455)+ABS(D1454)))),"")))</f>
        <v>#NAME?</v>
      </c>
    </row>
    <row r="1456" spans="2:5" x14ac:dyDescent="0.25">
      <c r="B1456" t="e">
        <f t="shared" ca="1" si="47"/>
        <v>#NAME?</v>
      </c>
      <c r="C1456">
        <v>1413</v>
      </c>
      <c r="D1456" t="e">
        <f t="shared" ca="1" si="46"/>
        <v>#NAME?</v>
      </c>
      <c r="E1456" s="115" t="e">
        <f t="array" aca="1" ref="E1456" ca="1">IF(OR(C1455=0,AND(B1457=0,C1457=0)),"",IFERROR(INDEX($F$27:$F$36,MATCH(C1456,($F$27:$F$36)*($D$27:$D$36&lt;&gt;0),0)),IF(OR(AND(D1456=0,B1456=0,B1457&lt;&gt;0),AND(D1456*D1455&lt;0,B1456&lt;&gt;0)),IF(D1456=0,C1456,C1456*(1-ABS(D1456)/(ABS(D1456)+ABS(D1455)))+C1455*(1-ABS(D1455)/(ABS(D1456)+ABS(D1455)))),"")))</f>
        <v>#NAME?</v>
      </c>
    </row>
    <row r="1457" spans="2:5" x14ac:dyDescent="0.25">
      <c r="B1457" t="e">
        <f t="shared" ca="1" si="47"/>
        <v>#NAME?</v>
      </c>
      <c r="C1457">
        <v>1414</v>
      </c>
      <c r="D1457" t="e">
        <f t="shared" ca="1" si="46"/>
        <v>#NAME?</v>
      </c>
      <c r="E1457" s="115" t="e">
        <f t="array" aca="1" ref="E1457" ca="1">IF(OR(C1456=0,AND(B1458=0,C1458=0)),"",IFERROR(INDEX($F$27:$F$36,MATCH(C1457,($F$27:$F$36)*($D$27:$D$36&lt;&gt;0),0)),IF(OR(AND(D1457=0,B1457=0,B1458&lt;&gt;0),AND(D1457*D1456&lt;0,B1457&lt;&gt;0)),IF(D1457=0,C1457,C1457*(1-ABS(D1457)/(ABS(D1457)+ABS(D1456)))+C1456*(1-ABS(D1456)/(ABS(D1457)+ABS(D1456)))),"")))</f>
        <v>#NAME?</v>
      </c>
    </row>
    <row r="1458" spans="2:5" x14ac:dyDescent="0.25">
      <c r="B1458" t="e">
        <f t="shared" ca="1" si="47"/>
        <v>#NAME?</v>
      </c>
      <c r="C1458">
        <v>1415</v>
      </c>
      <c r="D1458" t="e">
        <f t="shared" ca="1" si="46"/>
        <v>#NAME?</v>
      </c>
      <c r="E1458" s="115" t="e">
        <f t="array" aca="1" ref="E1458" ca="1">IF(OR(C1457=0,AND(B1459=0,C1459=0)),"",IFERROR(INDEX($F$27:$F$36,MATCH(C1458,($F$27:$F$36)*($D$27:$D$36&lt;&gt;0),0)),IF(OR(AND(D1458=0,B1458=0,B1459&lt;&gt;0),AND(D1458*D1457&lt;0,B1458&lt;&gt;0)),IF(D1458=0,C1458,C1458*(1-ABS(D1458)/(ABS(D1458)+ABS(D1457)))+C1457*(1-ABS(D1457)/(ABS(D1458)+ABS(D1457)))),"")))</f>
        <v>#NAME?</v>
      </c>
    </row>
    <row r="1459" spans="2:5" x14ac:dyDescent="0.25">
      <c r="B1459" t="e">
        <f t="shared" ca="1" si="47"/>
        <v>#NAME?</v>
      </c>
      <c r="C1459">
        <v>1416</v>
      </c>
      <c r="D1459" t="e">
        <f t="shared" ca="1" si="46"/>
        <v>#NAME?</v>
      </c>
      <c r="E1459" s="115" t="e">
        <f t="array" aca="1" ref="E1459" ca="1">IF(OR(C1458=0,AND(B1460=0,C1460=0)),"",IFERROR(INDEX($F$27:$F$36,MATCH(C1459,($F$27:$F$36)*($D$27:$D$36&lt;&gt;0),0)),IF(OR(AND(D1459=0,B1459=0,B1460&lt;&gt;0),AND(D1459*D1458&lt;0,B1459&lt;&gt;0)),IF(D1459=0,C1459,C1459*(1-ABS(D1459)/(ABS(D1459)+ABS(D1458)))+C1458*(1-ABS(D1458)/(ABS(D1459)+ABS(D1458)))),"")))</f>
        <v>#NAME?</v>
      </c>
    </row>
    <row r="1460" spans="2:5" x14ac:dyDescent="0.25">
      <c r="B1460" t="e">
        <f t="shared" ca="1" si="47"/>
        <v>#NAME?</v>
      </c>
      <c r="C1460">
        <v>1417</v>
      </c>
      <c r="D1460" t="e">
        <f t="shared" ca="1" si="46"/>
        <v>#NAME?</v>
      </c>
      <c r="E1460" s="115" t="e">
        <f t="array" aca="1" ref="E1460" ca="1">IF(OR(C1459=0,AND(B1461=0,C1461=0)),"",IFERROR(INDEX($F$27:$F$36,MATCH(C1460,($F$27:$F$36)*($D$27:$D$36&lt;&gt;0),0)),IF(OR(AND(D1460=0,B1460=0,B1461&lt;&gt;0),AND(D1460*D1459&lt;0,B1460&lt;&gt;0)),IF(D1460=0,C1460,C1460*(1-ABS(D1460)/(ABS(D1460)+ABS(D1459)))+C1459*(1-ABS(D1459)/(ABS(D1460)+ABS(D1459)))),"")))</f>
        <v>#NAME?</v>
      </c>
    </row>
    <row r="1461" spans="2:5" x14ac:dyDescent="0.25">
      <c r="B1461" t="e">
        <f t="shared" ca="1" si="47"/>
        <v>#NAME?</v>
      </c>
      <c r="C1461">
        <v>1418</v>
      </c>
      <c r="D1461" t="e">
        <f t="shared" ca="1" si="46"/>
        <v>#NAME?</v>
      </c>
      <c r="E1461" s="115" t="e">
        <f t="array" aca="1" ref="E1461" ca="1">IF(OR(C1460=0,AND(B1462=0,C1462=0)),"",IFERROR(INDEX($F$27:$F$36,MATCH(C1461,($F$27:$F$36)*($D$27:$D$36&lt;&gt;0),0)),IF(OR(AND(D1461=0,B1461=0,B1462&lt;&gt;0),AND(D1461*D1460&lt;0,B1461&lt;&gt;0)),IF(D1461=0,C1461,C1461*(1-ABS(D1461)/(ABS(D1461)+ABS(D1460)))+C1460*(1-ABS(D1460)/(ABS(D1461)+ABS(D1460)))),"")))</f>
        <v>#NAME?</v>
      </c>
    </row>
    <row r="1462" spans="2:5" x14ac:dyDescent="0.25">
      <c r="B1462" t="e">
        <f t="shared" ca="1" si="47"/>
        <v>#NAME?</v>
      </c>
      <c r="C1462">
        <v>1419</v>
      </c>
      <c r="D1462" t="e">
        <f t="shared" ca="1" si="46"/>
        <v>#NAME?</v>
      </c>
      <c r="E1462" s="115" t="e">
        <f t="array" aca="1" ref="E1462" ca="1">IF(OR(C1461=0,AND(B1463=0,C1463=0)),"",IFERROR(INDEX($F$27:$F$36,MATCH(C1462,($F$27:$F$36)*($D$27:$D$36&lt;&gt;0),0)),IF(OR(AND(D1462=0,B1462=0,B1463&lt;&gt;0),AND(D1462*D1461&lt;0,B1462&lt;&gt;0)),IF(D1462=0,C1462,C1462*(1-ABS(D1462)/(ABS(D1462)+ABS(D1461)))+C1461*(1-ABS(D1461)/(ABS(D1462)+ABS(D1461)))),"")))</f>
        <v>#NAME?</v>
      </c>
    </row>
    <row r="1463" spans="2:5" x14ac:dyDescent="0.25">
      <c r="B1463" t="e">
        <f t="shared" ca="1" si="47"/>
        <v>#NAME?</v>
      </c>
      <c r="C1463">
        <v>1420</v>
      </c>
      <c r="D1463" t="e">
        <f t="shared" ca="1" si="46"/>
        <v>#NAME?</v>
      </c>
      <c r="E1463" s="115" t="e">
        <f t="array" aca="1" ref="E1463" ca="1">IF(OR(C1462=0,AND(B1464=0,C1464=0)),"",IFERROR(INDEX($F$27:$F$36,MATCH(C1463,($F$27:$F$36)*($D$27:$D$36&lt;&gt;0),0)),IF(OR(AND(D1463=0,B1463=0,B1464&lt;&gt;0),AND(D1463*D1462&lt;0,B1463&lt;&gt;0)),IF(D1463=0,C1463,C1463*(1-ABS(D1463)/(ABS(D1463)+ABS(D1462)))+C1462*(1-ABS(D1462)/(ABS(D1463)+ABS(D1462)))),"")))</f>
        <v>#NAME?</v>
      </c>
    </row>
    <row r="1464" spans="2:5" x14ac:dyDescent="0.25">
      <c r="B1464" t="e">
        <f t="shared" ca="1" si="47"/>
        <v>#NAME?</v>
      </c>
      <c r="C1464">
        <v>1421</v>
      </c>
      <c r="D1464" t="e">
        <f t="shared" ca="1" si="46"/>
        <v>#NAME?</v>
      </c>
      <c r="E1464" s="115" t="e">
        <f t="array" aca="1" ref="E1464" ca="1">IF(OR(C1463=0,AND(B1465=0,C1465=0)),"",IFERROR(INDEX($F$27:$F$36,MATCH(C1464,($F$27:$F$36)*($D$27:$D$36&lt;&gt;0),0)),IF(OR(AND(D1464=0,B1464=0,B1465&lt;&gt;0),AND(D1464*D1463&lt;0,B1464&lt;&gt;0)),IF(D1464=0,C1464,C1464*(1-ABS(D1464)/(ABS(D1464)+ABS(D1463)))+C1463*(1-ABS(D1463)/(ABS(D1464)+ABS(D1463)))),"")))</f>
        <v>#NAME?</v>
      </c>
    </row>
    <row r="1465" spans="2:5" x14ac:dyDescent="0.25">
      <c r="B1465" t="e">
        <f t="shared" ca="1" si="47"/>
        <v>#NAME?</v>
      </c>
      <c r="C1465">
        <v>1422</v>
      </c>
      <c r="D1465" t="e">
        <f t="shared" ca="1" si="46"/>
        <v>#NAME?</v>
      </c>
      <c r="E1465" s="115" t="e">
        <f t="array" aca="1" ref="E1465" ca="1">IF(OR(C1464=0,AND(B1466=0,C1466=0)),"",IFERROR(INDEX($F$27:$F$36,MATCH(C1465,($F$27:$F$36)*($D$27:$D$36&lt;&gt;0),0)),IF(OR(AND(D1465=0,B1465=0,B1466&lt;&gt;0),AND(D1465*D1464&lt;0,B1465&lt;&gt;0)),IF(D1465=0,C1465,C1465*(1-ABS(D1465)/(ABS(D1465)+ABS(D1464)))+C1464*(1-ABS(D1464)/(ABS(D1465)+ABS(D1464)))),"")))</f>
        <v>#NAME?</v>
      </c>
    </row>
    <row r="1466" spans="2:5" x14ac:dyDescent="0.25">
      <c r="B1466" t="e">
        <f t="shared" ca="1" si="47"/>
        <v>#NAME?</v>
      </c>
      <c r="C1466">
        <v>1423</v>
      </c>
      <c r="D1466" t="e">
        <f t="shared" ca="1" si="46"/>
        <v>#NAME?</v>
      </c>
      <c r="E1466" s="115" t="e">
        <f t="array" aca="1" ref="E1466" ca="1">IF(OR(C1465=0,AND(B1467=0,C1467=0)),"",IFERROR(INDEX($F$27:$F$36,MATCH(C1466,($F$27:$F$36)*($D$27:$D$36&lt;&gt;0),0)),IF(OR(AND(D1466=0,B1466=0,B1467&lt;&gt;0),AND(D1466*D1465&lt;0,B1466&lt;&gt;0)),IF(D1466=0,C1466,C1466*(1-ABS(D1466)/(ABS(D1466)+ABS(D1465)))+C1465*(1-ABS(D1465)/(ABS(D1466)+ABS(D1465)))),"")))</f>
        <v>#NAME?</v>
      </c>
    </row>
    <row r="1467" spans="2:5" x14ac:dyDescent="0.25">
      <c r="B1467" t="e">
        <f t="shared" ca="1" si="47"/>
        <v>#NAME?</v>
      </c>
      <c r="C1467">
        <v>1424</v>
      </c>
      <c r="D1467" t="e">
        <f t="shared" ca="1" si="46"/>
        <v>#NAME?</v>
      </c>
      <c r="E1467" s="115" t="e">
        <f t="array" aca="1" ref="E1467" ca="1">IF(OR(C1466=0,AND(B1468=0,C1468=0)),"",IFERROR(INDEX($F$27:$F$36,MATCH(C1467,($F$27:$F$36)*($D$27:$D$36&lt;&gt;0),0)),IF(OR(AND(D1467=0,B1467=0,B1468&lt;&gt;0),AND(D1467*D1466&lt;0,B1467&lt;&gt;0)),IF(D1467=0,C1467,C1467*(1-ABS(D1467)/(ABS(D1467)+ABS(D1466)))+C1466*(1-ABS(D1466)/(ABS(D1467)+ABS(D1466)))),"")))</f>
        <v>#NAME?</v>
      </c>
    </row>
    <row r="1468" spans="2:5" x14ac:dyDescent="0.25">
      <c r="B1468" t="e">
        <f t="shared" ca="1" si="47"/>
        <v>#NAME?</v>
      </c>
      <c r="C1468">
        <v>1425</v>
      </c>
      <c r="D1468" t="e">
        <f t="shared" ca="1" si="46"/>
        <v>#NAME?</v>
      </c>
      <c r="E1468" s="115" t="e">
        <f t="array" aca="1" ref="E1468" ca="1">IF(OR(C1467=0,AND(B1469=0,C1469=0)),"",IFERROR(INDEX($F$27:$F$36,MATCH(C1468,($F$27:$F$36)*($D$27:$D$36&lt;&gt;0),0)),IF(OR(AND(D1468=0,B1468=0,B1469&lt;&gt;0),AND(D1468*D1467&lt;0,B1468&lt;&gt;0)),IF(D1468=0,C1468,C1468*(1-ABS(D1468)/(ABS(D1468)+ABS(D1467)))+C1467*(1-ABS(D1467)/(ABS(D1468)+ABS(D1467)))),"")))</f>
        <v>#NAME?</v>
      </c>
    </row>
    <row r="1469" spans="2:5" x14ac:dyDescent="0.25">
      <c r="B1469" t="e">
        <f t="shared" ca="1" si="47"/>
        <v>#NAME?</v>
      </c>
      <c r="C1469">
        <v>1426</v>
      </c>
      <c r="D1469" t="e">
        <f t="shared" ca="1" si="46"/>
        <v>#NAME?</v>
      </c>
      <c r="E1469" s="115" t="e">
        <f t="array" aca="1" ref="E1469" ca="1">IF(OR(C1468=0,AND(B1470=0,C1470=0)),"",IFERROR(INDEX($F$27:$F$36,MATCH(C1469,($F$27:$F$36)*($D$27:$D$36&lt;&gt;0),0)),IF(OR(AND(D1469=0,B1469=0,B1470&lt;&gt;0),AND(D1469*D1468&lt;0,B1469&lt;&gt;0)),IF(D1469=0,C1469,C1469*(1-ABS(D1469)/(ABS(D1469)+ABS(D1468)))+C1468*(1-ABS(D1468)/(ABS(D1469)+ABS(D1468)))),"")))</f>
        <v>#NAME?</v>
      </c>
    </row>
    <row r="1470" spans="2:5" x14ac:dyDescent="0.25">
      <c r="B1470" t="e">
        <f t="shared" ca="1" si="47"/>
        <v>#NAME?</v>
      </c>
      <c r="C1470">
        <v>1427</v>
      </c>
      <c r="D1470" t="e">
        <f t="shared" ca="1" si="46"/>
        <v>#NAME?</v>
      </c>
      <c r="E1470" s="115" t="e">
        <f t="array" aca="1" ref="E1470" ca="1">IF(OR(C1469=0,AND(B1471=0,C1471=0)),"",IFERROR(INDEX($F$27:$F$36,MATCH(C1470,($F$27:$F$36)*($D$27:$D$36&lt;&gt;0),0)),IF(OR(AND(D1470=0,B1470=0,B1471&lt;&gt;0),AND(D1470*D1469&lt;0,B1470&lt;&gt;0)),IF(D1470=0,C1470,C1470*(1-ABS(D1470)/(ABS(D1470)+ABS(D1469)))+C1469*(1-ABS(D1469)/(ABS(D1470)+ABS(D1469)))),"")))</f>
        <v>#NAME?</v>
      </c>
    </row>
    <row r="1471" spans="2:5" x14ac:dyDescent="0.25">
      <c r="B1471" t="e">
        <f t="shared" ca="1" si="47"/>
        <v>#NAME?</v>
      </c>
      <c r="C1471">
        <v>1428</v>
      </c>
      <c r="D1471" t="e">
        <f t="shared" ca="1" si="46"/>
        <v>#NAME?</v>
      </c>
      <c r="E1471" s="115" t="e">
        <f t="array" aca="1" ref="E1471" ca="1">IF(OR(C1470=0,AND(B1472=0,C1472=0)),"",IFERROR(INDEX($F$27:$F$36,MATCH(C1471,($F$27:$F$36)*($D$27:$D$36&lt;&gt;0),0)),IF(OR(AND(D1471=0,B1471=0,B1472&lt;&gt;0),AND(D1471*D1470&lt;0,B1471&lt;&gt;0)),IF(D1471=0,C1471,C1471*(1-ABS(D1471)/(ABS(D1471)+ABS(D1470)))+C1470*(1-ABS(D1470)/(ABS(D1471)+ABS(D1470)))),"")))</f>
        <v>#NAME?</v>
      </c>
    </row>
    <row r="1472" spans="2:5" x14ac:dyDescent="0.25">
      <c r="B1472" t="e">
        <f t="shared" ca="1" si="47"/>
        <v>#NAME?</v>
      </c>
      <c r="C1472">
        <v>1429</v>
      </c>
      <c r="D1472" t="e">
        <f t="shared" ca="1" si="46"/>
        <v>#NAME?</v>
      </c>
      <c r="E1472" s="115" t="e">
        <f t="array" aca="1" ref="E1472" ca="1">IF(OR(C1471=0,AND(B1473=0,C1473=0)),"",IFERROR(INDEX($F$27:$F$36,MATCH(C1472,($F$27:$F$36)*($D$27:$D$36&lt;&gt;0),0)),IF(OR(AND(D1472=0,B1472=0,B1473&lt;&gt;0),AND(D1472*D1471&lt;0,B1472&lt;&gt;0)),IF(D1472=0,C1472,C1472*(1-ABS(D1472)/(ABS(D1472)+ABS(D1471)))+C1471*(1-ABS(D1471)/(ABS(D1472)+ABS(D1471)))),"")))</f>
        <v>#NAME?</v>
      </c>
    </row>
    <row r="1473" spans="2:5" x14ac:dyDescent="0.25">
      <c r="B1473" t="e">
        <f t="shared" ca="1" si="47"/>
        <v>#NAME?</v>
      </c>
      <c r="C1473">
        <v>1430</v>
      </c>
      <c r="D1473" t="e">
        <f t="shared" ca="1" si="46"/>
        <v>#NAME?</v>
      </c>
      <c r="E1473" s="115" t="e">
        <f t="array" aca="1" ref="E1473" ca="1">IF(OR(C1472=0,AND(B1474=0,C1474=0)),"",IFERROR(INDEX($F$27:$F$36,MATCH(C1473,($F$27:$F$36)*($D$27:$D$36&lt;&gt;0),0)),IF(OR(AND(D1473=0,B1473=0,B1474&lt;&gt;0),AND(D1473*D1472&lt;0,B1473&lt;&gt;0)),IF(D1473=0,C1473,C1473*(1-ABS(D1473)/(ABS(D1473)+ABS(D1472)))+C1472*(1-ABS(D1472)/(ABS(D1473)+ABS(D1472)))),"")))</f>
        <v>#NAME?</v>
      </c>
    </row>
    <row r="1474" spans="2:5" x14ac:dyDescent="0.25">
      <c r="B1474" t="e">
        <f t="shared" ca="1" si="47"/>
        <v>#NAME?</v>
      </c>
      <c r="C1474">
        <v>1431</v>
      </c>
      <c r="D1474" t="e">
        <f t="shared" ca="1" si="46"/>
        <v>#NAME?</v>
      </c>
      <c r="E1474" s="115" t="e">
        <f t="array" aca="1" ref="E1474" ca="1">IF(OR(C1473=0,AND(B1475=0,C1475=0)),"",IFERROR(INDEX($F$27:$F$36,MATCH(C1474,($F$27:$F$36)*($D$27:$D$36&lt;&gt;0),0)),IF(OR(AND(D1474=0,B1474=0,B1475&lt;&gt;0),AND(D1474*D1473&lt;0,B1474&lt;&gt;0)),IF(D1474=0,C1474,C1474*(1-ABS(D1474)/(ABS(D1474)+ABS(D1473)))+C1473*(1-ABS(D1473)/(ABS(D1474)+ABS(D1473)))),"")))</f>
        <v>#NAME?</v>
      </c>
    </row>
    <row r="1475" spans="2:5" x14ac:dyDescent="0.25">
      <c r="B1475" t="e">
        <f t="shared" ca="1" si="47"/>
        <v>#NAME?</v>
      </c>
      <c r="C1475">
        <v>1432</v>
      </c>
      <c r="D1475" t="e">
        <f t="shared" ca="1" si="46"/>
        <v>#NAME?</v>
      </c>
      <c r="E1475" s="115" t="e">
        <f t="array" aca="1" ref="E1475" ca="1">IF(OR(C1474=0,AND(B1476=0,C1476=0)),"",IFERROR(INDEX($F$27:$F$36,MATCH(C1475,($F$27:$F$36)*($D$27:$D$36&lt;&gt;0),0)),IF(OR(AND(D1475=0,B1475=0,B1476&lt;&gt;0),AND(D1475*D1474&lt;0,B1475&lt;&gt;0)),IF(D1475=0,C1475,C1475*(1-ABS(D1475)/(ABS(D1475)+ABS(D1474)))+C1474*(1-ABS(D1474)/(ABS(D1475)+ABS(D1474)))),"")))</f>
        <v>#NAME?</v>
      </c>
    </row>
    <row r="1476" spans="2:5" x14ac:dyDescent="0.25">
      <c r="B1476" t="e">
        <f t="shared" ca="1" si="47"/>
        <v>#NAME?</v>
      </c>
      <c r="C1476">
        <v>1433</v>
      </c>
      <c r="D1476" t="e">
        <f t="shared" ca="1" si="46"/>
        <v>#NAME?</v>
      </c>
      <c r="E1476" s="115" t="e">
        <f t="array" aca="1" ref="E1476" ca="1">IF(OR(C1475=0,AND(B1477=0,C1477=0)),"",IFERROR(INDEX($F$27:$F$36,MATCH(C1476,($F$27:$F$36)*($D$27:$D$36&lt;&gt;0),0)),IF(OR(AND(D1476=0,B1476=0,B1477&lt;&gt;0),AND(D1476*D1475&lt;0,B1476&lt;&gt;0)),IF(D1476=0,C1476,C1476*(1-ABS(D1476)/(ABS(D1476)+ABS(D1475)))+C1475*(1-ABS(D1475)/(ABS(D1476)+ABS(D1475)))),"")))</f>
        <v>#NAME?</v>
      </c>
    </row>
    <row r="1477" spans="2:5" x14ac:dyDescent="0.25">
      <c r="B1477" t="e">
        <f t="shared" ca="1" si="47"/>
        <v>#NAME?</v>
      </c>
      <c r="C1477">
        <v>1434</v>
      </c>
      <c r="D1477" t="e">
        <f t="shared" ca="1" si="46"/>
        <v>#NAME?</v>
      </c>
      <c r="E1477" s="115" t="e">
        <f t="array" aca="1" ref="E1477" ca="1">IF(OR(C1476=0,AND(B1478=0,C1478=0)),"",IFERROR(INDEX($F$27:$F$36,MATCH(C1477,($F$27:$F$36)*($D$27:$D$36&lt;&gt;0),0)),IF(OR(AND(D1477=0,B1477=0,B1478&lt;&gt;0),AND(D1477*D1476&lt;0,B1477&lt;&gt;0)),IF(D1477=0,C1477,C1477*(1-ABS(D1477)/(ABS(D1477)+ABS(D1476)))+C1476*(1-ABS(D1476)/(ABS(D1477)+ABS(D1476)))),"")))</f>
        <v>#NAME?</v>
      </c>
    </row>
    <row r="1478" spans="2:5" x14ac:dyDescent="0.25">
      <c r="B1478" t="e">
        <f t="shared" ca="1" si="47"/>
        <v>#NAME?</v>
      </c>
      <c r="C1478">
        <v>1435</v>
      </c>
      <c r="D1478" t="e">
        <f t="shared" ca="1" si="46"/>
        <v>#NAME?</v>
      </c>
      <c r="E1478" s="115" t="e">
        <f t="array" aca="1" ref="E1478" ca="1">IF(OR(C1477=0,AND(B1479=0,C1479=0)),"",IFERROR(INDEX($F$27:$F$36,MATCH(C1478,($F$27:$F$36)*($D$27:$D$36&lt;&gt;0),0)),IF(OR(AND(D1478=0,B1478=0,B1479&lt;&gt;0),AND(D1478*D1477&lt;0,B1478&lt;&gt;0)),IF(D1478=0,C1478,C1478*(1-ABS(D1478)/(ABS(D1478)+ABS(D1477)))+C1477*(1-ABS(D1477)/(ABS(D1478)+ABS(D1477)))),"")))</f>
        <v>#NAME?</v>
      </c>
    </row>
    <row r="1479" spans="2:5" x14ac:dyDescent="0.25">
      <c r="B1479" t="e">
        <f t="shared" ca="1" si="47"/>
        <v>#NAME?</v>
      </c>
      <c r="C1479">
        <v>1436</v>
      </c>
      <c r="D1479" t="e">
        <f t="shared" ca="1" si="46"/>
        <v>#NAME?</v>
      </c>
      <c r="E1479" s="115" t="e">
        <f t="array" aca="1" ref="E1479" ca="1">IF(OR(C1478=0,AND(B1480=0,C1480=0)),"",IFERROR(INDEX($F$27:$F$36,MATCH(C1479,($F$27:$F$36)*($D$27:$D$36&lt;&gt;0),0)),IF(OR(AND(D1479=0,B1479=0,B1480&lt;&gt;0),AND(D1479*D1478&lt;0,B1479&lt;&gt;0)),IF(D1479=0,C1479,C1479*(1-ABS(D1479)/(ABS(D1479)+ABS(D1478)))+C1478*(1-ABS(D1478)/(ABS(D1479)+ABS(D1478)))),"")))</f>
        <v>#NAME?</v>
      </c>
    </row>
    <row r="1480" spans="2:5" x14ac:dyDescent="0.25">
      <c r="B1480" t="e">
        <f t="shared" ca="1" si="47"/>
        <v>#NAME?</v>
      </c>
      <c r="C1480">
        <v>1437</v>
      </c>
      <c r="D1480" t="e">
        <f t="shared" ca="1" si="46"/>
        <v>#NAME?</v>
      </c>
      <c r="E1480" s="115" t="e">
        <f t="array" aca="1" ref="E1480" ca="1">IF(OR(C1479=0,AND(B1481=0,C1481=0)),"",IFERROR(INDEX($F$27:$F$36,MATCH(C1480,($F$27:$F$36)*($D$27:$D$36&lt;&gt;0),0)),IF(OR(AND(D1480=0,B1480=0,B1481&lt;&gt;0),AND(D1480*D1479&lt;0,B1480&lt;&gt;0)),IF(D1480=0,C1480,C1480*(1-ABS(D1480)/(ABS(D1480)+ABS(D1479)))+C1479*(1-ABS(D1479)/(ABS(D1480)+ABS(D1479)))),"")))</f>
        <v>#NAME?</v>
      </c>
    </row>
    <row r="1481" spans="2:5" x14ac:dyDescent="0.25">
      <c r="B1481" t="e">
        <f t="shared" ca="1" si="47"/>
        <v>#NAME?</v>
      </c>
      <c r="C1481">
        <v>1438</v>
      </c>
      <c r="D1481" t="e">
        <f t="shared" ca="1" si="46"/>
        <v>#NAME?</v>
      </c>
      <c r="E1481" s="115" t="e">
        <f t="array" aca="1" ref="E1481" ca="1">IF(OR(C1480=0,AND(B1482=0,C1482=0)),"",IFERROR(INDEX($F$27:$F$36,MATCH(C1481,($F$27:$F$36)*($D$27:$D$36&lt;&gt;0),0)),IF(OR(AND(D1481=0,B1481=0,B1482&lt;&gt;0),AND(D1481*D1480&lt;0,B1481&lt;&gt;0)),IF(D1481=0,C1481,C1481*(1-ABS(D1481)/(ABS(D1481)+ABS(D1480)))+C1480*(1-ABS(D1480)/(ABS(D1481)+ABS(D1480)))),"")))</f>
        <v>#NAME?</v>
      </c>
    </row>
    <row r="1482" spans="2:5" x14ac:dyDescent="0.25">
      <c r="B1482" t="e">
        <f t="shared" ca="1" si="47"/>
        <v>#NAME?</v>
      </c>
      <c r="C1482">
        <v>1439</v>
      </c>
      <c r="D1482" t="e">
        <f t="shared" ca="1" si="46"/>
        <v>#NAME?</v>
      </c>
      <c r="E1482" s="115" t="e">
        <f t="array" aca="1" ref="E1482" ca="1">IF(OR(C1481=0,AND(B1483=0,C1483=0)),"",IFERROR(INDEX($F$27:$F$36,MATCH(C1482,($F$27:$F$36)*($D$27:$D$36&lt;&gt;0),0)),IF(OR(AND(D1482=0,B1482=0,B1483&lt;&gt;0),AND(D1482*D1481&lt;0,B1482&lt;&gt;0)),IF(D1482=0,C1482,C1482*(1-ABS(D1482)/(ABS(D1482)+ABS(D1481)))+C1481*(1-ABS(D1481)/(ABS(D1482)+ABS(D1481)))),"")))</f>
        <v>#NAME?</v>
      </c>
    </row>
    <row r="1483" spans="2:5" x14ac:dyDescent="0.25">
      <c r="B1483" t="e">
        <f t="shared" ca="1" si="47"/>
        <v>#NAME?</v>
      </c>
      <c r="C1483">
        <v>1440</v>
      </c>
      <c r="D1483" t="e">
        <f t="shared" ca="1" si="46"/>
        <v>#NAME?</v>
      </c>
      <c r="E1483" s="115" t="e">
        <f t="array" aca="1" ref="E1483" ca="1">IF(OR(C1482=0,AND(B1484=0,C1484=0)),"",IFERROR(INDEX($F$27:$F$36,MATCH(C1483,($F$27:$F$36)*($D$27:$D$36&lt;&gt;0),0)),IF(OR(AND(D1483=0,B1483=0,B1484&lt;&gt;0),AND(D1483*D1482&lt;0,B1483&lt;&gt;0)),IF(D1483=0,C1483,C1483*(1-ABS(D1483)/(ABS(D1483)+ABS(D1482)))+C1482*(1-ABS(D1482)/(ABS(D1483)+ABS(D1482)))),"")))</f>
        <v>#NAME?</v>
      </c>
    </row>
    <row r="1484" spans="2:5" x14ac:dyDescent="0.25">
      <c r="B1484" t="e">
        <f t="shared" ca="1" si="47"/>
        <v>#NAME?</v>
      </c>
      <c r="C1484">
        <v>1441</v>
      </c>
      <c r="D1484" t="e">
        <f t="shared" ca="1" si="46"/>
        <v>#NAME?</v>
      </c>
      <c r="E1484" s="115" t="e">
        <f t="array" aca="1" ref="E1484" ca="1">IF(OR(C1483=0,AND(B1485=0,C1485=0)),"",IFERROR(INDEX($F$27:$F$36,MATCH(C1484,($F$27:$F$36)*($D$27:$D$36&lt;&gt;0),0)),IF(OR(AND(D1484=0,B1484=0,B1485&lt;&gt;0),AND(D1484*D1483&lt;0,B1484&lt;&gt;0)),IF(D1484=0,C1484,C1484*(1-ABS(D1484)/(ABS(D1484)+ABS(D1483)))+C1483*(1-ABS(D1483)/(ABS(D1484)+ABS(D1483)))),"")))</f>
        <v>#NAME?</v>
      </c>
    </row>
    <row r="1485" spans="2:5" x14ac:dyDescent="0.25">
      <c r="B1485" t="e">
        <f t="shared" ca="1" si="47"/>
        <v>#NAME?</v>
      </c>
      <c r="C1485">
        <v>1442</v>
      </c>
      <c r="D1485" t="e">
        <f t="shared" ca="1" si="46"/>
        <v>#NAME?</v>
      </c>
      <c r="E1485" s="115" t="e">
        <f t="array" aca="1" ref="E1485" ca="1">IF(OR(C1484=0,AND(B1486=0,C1486=0)),"",IFERROR(INDEX($F$27:$F$36,MATCH(C1485,($F$27:$F$36)*($D$27:$D$36&lt;&gt;0),0)),IF(OR(AND(D1485=0,B1485=0,B1486&lt;&gt;0),AND(D1485*D1484&lt;0,B1485&lt;&gt;0)),IF(D1485=0,C1485,C1485*(1-ABS(D1485)/(ABS(D1485)+ABS(D1484)))+C1484*(1-ABS(D1484)/(ABS(D1485)+ABS(D1484)))),"")))</f>
        <v>#NAME?</v>
      </c>
    </row>
    <row r="1486" spans="2:5" x14ac:dyDescent="0.25">
      <c r="B1486" t="e">
        <f t="shared" ca="1" si="47"/>
        <v>#NAME?</v>
      </c>
      <c r="C1486">
        <v>1443</v>
      </c>
      <c r="D1486" t="e">
        <f t="shared" ca="1" si="46"/>
        <v>#NAME?</v>
      </c>
      <c r="E1486" s="115" t="e">
        <f t="array" aca="1" ref="E1486" ca="1">IF(OR(C1485=0,AND(B1487=0,C1487=0)),"",IFERROR(INDEX($F$27:$F$36,MATCH(C1486,($F$27:$F$36)*($D$27:$D$36&lt;&gt;0),0)),IF(OR(AND(D1486=0,B1486=0,B1487&lt;&gt;0),AND(D1486*D1485&lt;0,B1486&lt;&gt;0)),IF(D1486=0,C1486,C1486*(1-ABS(D1486)/(ABS(D1486)+ABS(D1485)))+C1485*(1-ABS(D1485)/(ABS(D1486)+ABS(D1485)))),"")))</f>
        <v>#NAME?</v>
      </c>
    </row>
    <row r="1487" spans="2:5" x14ac:dyDescent="0.25">
      <c r="B1487" t="e">
        <f t="shared" ca="1" si="47"/>
        <v>#NAME?</v>
      </c>
      <c r="C1487">
        <v>1444</v>
      </c>
      <c r="D1487" t="e">
        <f t="shared" ca="1" si="46"/>
        <v>#NAME?</v>
      </c>
      <c r="E1487" s="115" t="e">
        <f t="array" aca="1" ref="E1487" ca="1">IF(OR(C1486=0,AND(B1488=0,C1488=0)),"",IFERROR(INDEX($F$27:$F$36,MATCH(C1487,($F$27:$F$36)*($D$27:$D$36&lt;&gt;0),0)),IF(OR(AND(D1487=0,B1487=0,B1488&lt;&gt;0),AND(D1487*D1486&lt;0,B1487&lt;&gt;0)),IF(D1487=0,C1487,C1487*(1-ABS(D1487)/(ABS(D1487)+ABS(D1486)))+C1486*(1-ABS(D1486)/(ABS(D1487)+ABS(D1486)))),"")))</f>
        <v>#NAME?</v>
      </c>
    </row>
    <row r="1488" spans="2:5" x14ac:dyDescent="0.25">
      <c r="B1488" t="e">
        <f t="shared" ca="1" si="47"/>
        <v>#NAME?</v>
      </c>
      <c r="C1488">
        <v>1445</v>
      </c>
      <c r="D1488" t="e">
        <f t="shared" ca="1" si="46"/>
        <v>#NAME?</v>
      </c>
      <c r="E1488" s="115" t="e">
        <f t="array" aca="1" ref="E1488" ca="1">IF(OR(C1487=0,AND(B1489=0,C1489=0)),"",IFERROR(INDEX($F$27:$F$36,MATCH(C1488,($F$27:$F$36)*($D$27:$D$36&lt;&gt;0),0)),IF(OR(AND(D1488=0,B1488=0,B1489&lt;&gt;0),AND(D1488*D1487&lt;0,B1488&lt;&gt;0)),IF(D1488=0,C1488,C1488*(1-ABS(D1488)/(ABS(D1488)+ABS(D1487)))+C1487*(1-ABS(D1487)/(ABS(D1488)+ABS(D1487)))),"")))</f>
        <v>#NAME?</v>
      </c>
    </row>
    <row r="1489" spans="2:5" x14ac:dyDescent="0.25">
      <c r="B1489" t="e">
        <f t="shared" ca="1" si="47"/>
        <v>#NAME?</v>
      </c>
      <c r="C1489">
        <v>1446</v>
      </c>
      <c r="D1489" t="e">
        <f t="shared" ca="1" si="46"/>
        <v>#NAME?</v>
      </c>
      <c r="E1489" s="115" t="e">
        <f t="array" aca="1" ref="E1489" ca="1">IF(OR(C1488=0,AND(B1490=0,C1490=0)),"",IFERROR(INDEX($F$27:$F$36,MATCH(C1489,($F$27:$F$36)*($D$27:$D$36&lt;&gt;0),0)),IF(OR(AND(D1489=0,B1489=0,B1490&lt;&gt;0),AND(D1489*D1488&lt;0,B1489&lt;&gt;0)),IF(D1489=0,C1489,C1489*(1-ABS(D1489)/(ABS(D1489)+ABS(D1488)))+C1488*(1-ABS(D1488)/(ABS(D1489)+ABS(D1488)))),"")))</f>
        <v>#NAME?</v>
      </c>
    </row>
    <row r="1490" spans="2:5" x14ac:dyDescent="0.25">
      <c r="B1490" t="e">
        <f t="shared" ca="1" si="47"/>
        <v>#NAME?</v>
      </c>
      <c r="C1490">
        <v>1447</v>
      </c>
      <c r="D1490" t="e">
        <f t="shared" ca="1" si="46"/>
        <v>#NAME?</v>
      </c>
      <c r="E1490" s="115" t="e">
        <f t="array" aca="1" ref="E1490" ca="1">IF(OR(C1489=0,AND(B1491=0,C1491=0)),"",IFERROR(INDEX($F$27:$F$36,MATCH(C1490,($F$27:$F$36)*($D$27:$D$36&lt;&gt;0),0)),IF(OR(AND(D1490=0,B1490=0,B1491&lt;&gt;0),AND(D1490*D1489&lt;0,B1490&lt;&gt;0)),IF(D1490=0,C1490,C1490*(1-ABS(D1490)/(ABS(D1490)+ABS(D1489)))+C1489*(1-ABS(D1489)/(ABS(D1490)+ABS(D1489)))),"")))</f>
        <v>#NAME?</v>
      </c>
    </row>
    <row r="1491" spans="2:5" x14ac:dyDescent="0.25">
      <c r="B1491" t="e">
        <f t="shared" ca="1" si="47"/>
        <v>#NAME?</v>
      </c>
      <c r="C1491">
        <v>1448</v>
      </c>
      <c r="D1491" t="e">
        <f t="shared" ca="1" si="46"/>
        <v>#NAME?</v>
      </c>
      <c r="E1491" s="115" t="e">
        <f t="array" aca="1" ref="E1491" ca="1">IF(OR(C1490=0,AND(B1492=0,C1492=0)),"",IFERROR(INDEX($F$27:$F$36,MATCH(C1491,($F$27:$F$36)*($D$27:$D$36&lt;&gt;0),0)),IF(OR(AND(D1491=0,B1491=0,B1492&lt;&gt;0),AND(D1491*D1490&lt;0,B1491&lt;&gt;0)),IF(D1491=0,C1491,C1491*(1-ABS(D1491)/(ABS(D1491)+ABS(D1490)))+C1490*(1-ABS(D1490)/(ABS(D1491)+ABS(D1490)))),"")))</f>
        <v>#NAME?</v>
      </c>
    </row>
    <row r="1492" spans="2:5" x14ac:dyDescent="0.25">
      <c r="B1492" t="e">
        <f t="shared" ca="1" si="47"/>
        <v>#NAME?</v>
      </c>
      <c r="C1492">
        <v>1449</v>
      </c>
      <c r="D1492" t="e">
        <f t="shared" ca="1" si="46"/>
        <v>#NAME?</v>
      </c>
      <c r="E1492" s="115" t="e">
        <f t="array" aca="1" ref="E1492" ca="1">IF(OR(C1491=0,AND(B1493=0,C1493=0)),"",IFERROR(INDEX($F$27:$F$36,MATCH(C1492,($F$27:$F$36)*($D$27:$D$36&lt;&gt;0),0)),IF(OR(AND(D1492=0,B1492=0,B1493&lt;&gt;0),AND(D1492*D1491&lt;0,B1492&lt;&gt;0)),IF(D1492=0,C1492,C1492*(1-ABS(D1492)/(ABS(D1492)+ABS(D1491)))+C1491*(1-ABS(D1491)/(ABS(D1492)+ABS(D1491)))),"")))</f>
        <v>#NAME?</v>
      </c>
    </row>
    <row r="1493" spans="2:5" x14ac:dyDescent="0.25">
      <c r="B1493" t="e">
        <f t="shared" ca="1" si="47"/>
        <v>#NAME?</v>
      </c>
      <c r="C1493">
        <v>1450</v>
      </c>
      <c r="D1493" t="e">
        <f t="shared" ca="1" si="46"/>
        <v>#NAME?</v>
      </c>
      <c r="E1493" s="115" t="e">
        <f t="array" aca="1" ref="E1493" ca="1">IF(OR(C1492=0,AND(B1494=0,C1494=0)),"",IFERROR(INDEX($F$27:$F$36,MATCH(C1493,($F$27:$F$36)*($D$27:$D$36&lt;&gt;0),0)),IF(OR(AND(D1493=0,B1493=0,B1494&lt;&gt;0),AND(D1493*D1492&lt;0,B1493&lt;&gt;0)),IF(D1493=0,C1493,C1493*(1-ABS(D1493)/(ABS(D1493)+ABS(D1492)))+C1492*(1-ABS(D1492)/(ABS(D1493)+ABS(D1492)))),"")))</f>
        <v>#NAME?</v>
      </c>
    </row>
    <row r="1494" spans="2:5" x14ac:dyDescent="0.25">
      <c r="B1494" t="e">
        <f t="shared" ca="1" si="47"/>
        <v>#NAME?</v>
      </c>
      <c r="C1494">
        <v>1451</v>
      </c>
      <c r="D1494" t="e">
        <f t="shared" ca="1" si="46"/>
        <v>#NAME?</v>
      </c>
      <c r="E1494" s="115" t="e">
        <f t="array" aca="1" ref="E1494" ca="1">IF(OR(C1493=0,AND(B1495=0,C1495=0)),"",IFERROR(INDEX($F$27:$F$36,MATCH(C1494,($F$27:$F$36)*($D$27:$D$36&lt;&gt;0),0)),IF(OR(AND(D1494=0,B1494=0,B1495&lt;&gt;0),AND(D1494*D1493&lt;0,B1494&lt;&gt;0)),IF(D1494=0,C1494,C1494*(1-ABS(D1494)/(ABS(D1494)+ABS(D1493)))+C1493*(1-ABS(D1493)/(ABS(D1494)+ABS(D1493)))),"")))</f>
        <v>#NAME?</v>
      </c>
    </row>
    <row r="1495" spans="2:5" x14ac:dyDescent="0.25">
      <c r="B1495" t="e">
        <f t="shared" ca="1" si="47"/>
        <v>#NAME?</v>
      </c>
      <c r="C1495">
        <v>1452</v>
      </c>
      <c r="D1495" t="e">
        <f t="shared" ca="1" si="46"/>
        <v>#NAME?</v>
      </c>
      <c r="E1495" s="115" t="e">
        <f t="array" aca="1" ref="E1495" ca="1">IF(OR(C1494=0,AND(B1496=0,C1496=0)),"",IFERROR(INDEX($F$27:$F$36,MATCH(C1495,($F$27:$F$36)*($D$27:$D$36&lt;&gt;0),0)),IF(OR(AND(D1495=0,B1495=0,B1496&lt;&gt;0),AND(D1495*D1494&lt;0,B1495&lt;&gt;0)),IF(D1495=0,C1495,C1495*(1-ABS(D1495)/(ABS(D1495)+ABS(D1494)))+C1494*(1-ABS(D1494)/(ABS(D1495)+ABS(D1494)))),"")))</f>
        <v>#NAME?</v>
      </c>
    </row>
    <row r="1496" spans="2:5" x14ac:dyDescent="0.25">
      <c r="B1496" t="e">
        <f t="shared" ca="1" si="47"/>
        <v>#NAME?</v>
      </c>
      <c r="C1496">
        <v>1453</v>
      </c>
      <c r="D1496" t="e">
        <f t="shared" ca="1" si="46"/>
        <v>#NAME?</v>
      </c>
      <c r="E1496" s="115" t="e">
        <f t="array" aca="1" ref="E1496" ca="1">IF(OR(C1495=0,AND(B1497=0,C1497=0)),"",IFERROR(INDEX($F$27:$F$36,MATCH(C1496,($F$27:$F$36)*($D$27:$D$36&lt;&gt;0),0)),IF(OR(AND(D1496=0,B1496=0,B1497&lt;&gt;0),AND(D1496*D1495&lt;0,B1496&lt;&gt;0)),IF(D1496=0,C1496,C1496*(1-ABS(D1496)/(ABS(D1496)+ABS(D1495)))+C1495*(1-ABS(D1495)/(ABS(D1496)+ABS(D1495)))),"")))</f>
        <v>#NAME?</v>
      </c>
    </row>
    <row r="1497" spans="2:5" x14ac:dyDescent="0.25">
      <c r="B1497" t="e">
        <f t="shared" ca="1" si="47"/>
        <v>#NAME?</v>
      </c>
      <c r="C1497">
        <v>1454</v>
      </c>
      <c r="D1497" t="e">
        <f t="shared" ca="1" si="46"/>
        <v>#NAME?</v>
      </c>
      <c r="E1497" s="115" t="e">
        <f t="array" aca="1" ref="E1497" ca="1">IF(OR(C1496=0,AND(B1498=0,C1498=0)),"",IFERROR(INDEX($F$27:$F$36,MATCH(C1497,($F$27:$F$36)*($D$27:$D$36&lt;&gt;0),0)),IF(OR(AND(D1497=0,B1497=0,B1498&lt;&gt;0),AND(D1497*D1496&lt;0,B1497&lt;&gt;0)),IF(D1497=0,C1497,C1497*(1-ABS(D1497)/(ABS(D1497)+ABS(D1496)))+C1496*(1-ABS(D1496)/(ABS(D1497)+ABS(D1496)))),"")))</f>
        <v>#NAME?</v>
      </c>
    </row>
    <row r="1498" spans="2:5" x14ac:dyDescent="0.25">
      <c r="B1498" t="e">
        <f t="shared" ca="1" si="47"/>
        <v>#NAME?</v>
      </c>
      <c r="C1498">
        <v>1455</v>
      </c>
      <c r="D1498" t="e">
        <f t="shared" ca="1" si="46"/>
        <v>#NAME?</v>
      </c>
      <c r="E1498" s="115" t="e">
        <f t="array" aca="1" ref="E1498" ca="1">IF(OR(C1497=0,AND(B1499=0,C1499=0)),"",IFERROR(INDEX($F$27:$F$36,MATCH(C1498,($F$27:$F$36)*($D$27:$D$36&lt;&gt;0),0)),IF(OR(AND(D1498=0,B1498=0,B1499&lt;&gt;0),AND(D1498*D1497&lt;0,B1498&lt;&gt;0)),IF(D1498=0,C1498,C1498*(1-ABS(D1498)/(ABS(D1498)+ABS(D1497)))+C1497*(1-ABS(D1497)/(ABS(D1498)+ABS(D1497)))),"")))</f>
        <v>#NAME?</v>
      </c>
    </row>
    <row r="1499" spans="2:5" x14ac:dyDescent="0.25">
      <c r="B1499" t="e">
        <f t="shared" ca="1" si="47"/>
        <v>#NAME?</v>
      </c>
      <c r="C1499">
        <v>1456</v>
      </c>
      <c r="D1499" t="e">
        <f t="shared" ca="1" si="46"/>
        <v>#NAME?</v>
      </c>
      <c r="E1499" s="115" t="e">
        <f t="array" aca="1" ref="E1499" ca="1">IF(OR(C1498=0,AND(B1500=0,C1500=0)),"",IFERROR(INDEX($F$27:$F$36,MATCH(C1499,($F$27:$F$36)*($D$27:$D$36&lt;&gt;0),0)),IF(OR(AND(D1499=0,B1499=0,B1500&lt;&gt;0),AND(D1499*D1498&lt;0,B1499&lt;&gt;0)),IF(D1499=0,C1499,C1499*(1-ABS(D1499)/(ABS(D1499)+ABS(D1498)))+C1498*(1-ABS(D1498)/(ABS(D1499)+ABS(D1498)))),"")))</f>
        <v>#NAME?</v>
      </c>
    </row>
    <row r="1500" spans="2:5" x14ac:dyDescent="0.25">
      <c r="B1500" t="e">
        <f t="shared" ca="1" si="47"/>
        <v>#NAME?</v>
      </c>
      <c r="C1500">
        <v>1457</v>
      </c>
      <c r="D1500" t="e">
        <f t="shared" ca="1" si="46"/>
        <v>#NAME?</v>
      </c>
      <c r="E1500" s="115" t="e">
        <f t="array" aca="1" ref="E1500" ca="1">IF(OR(C1499=0,AND(B1501=0,C1501=0)),"",IFERROR(INDEX($F$27:$F$36,MATCH(C1500,($F$27:$F$36)*($D$27:$D$36&lt;&gt;0),0)),IF(OR(AND(D1500=0,B1500=0,B1501&lt;&gt;0),AND(D1500*D1499&lt;0,B1500&lt;&gt;0)),IF(D1500=0,C1500,C1500*(1-ABS(D1500)/(ABS(D1500)+ABS(D1499)))+C1499*(1-ABS(D1499)/(ABS(D1500)+ABS(D1499)))),"")))</f>
        <v>#NAME?</v>
      </c>
    </row>
    <row r="1501" spans="2:5" x14ac:dyDescent="0.25">
      <c r="B1501" t="e">
        <f t="shared" ca="1" si="47"/>
        <v>#NAME?</v>
      </c>
      <c r="C1501">
        <v>1458</v>
      </c>
      <c r="D1501" t="e">
        <f t="shared" ca="1" si="46"/>
        <v>#NAME?</v>
      </c>
      <c r="E1501" s="115" t="e">
        <f t="array" aca="1" ref="E1501" ca="1">IF(OR(C1500=0,AND(B1502=0,C1502=0)),"",IFERROR(INDEX($F$27:$F$36,MATCH(C1501,($F$27:$F$36)*($D$27:$D$36&lt;&gt;0),0)),IF(OR(AND(D1501=0,B1501=0,B1502&lt;&gt;0),AND(D1501*D1500&lt;0,B1501&lt;&gt;0)),IF(D1501=0,C1501,C1501*(1-ABS(D1501)/(ABS(D1501)+ABS(D1500)))+C1500*(1-ABS(D1500)/(ABS(D1501)+ABS(D1500)))),"")))</f>
        <v>#NAME?</v>
      </c>
    </row>
    <row r="1502" spans="2:5" x14ac:dyDescent="0.25">
      <c r="B1502" t="e">
        <f t="shared" ca="1" si="47"/>
        <v>#NAME?</v>
      </c>
      <c r="C1502">
        <v>1459</v>
      </c>
      <c r="D1502" t="e">
        <f t="shared" ca="1" si="46"/>
        <v>#NAME?</v>
      </c>
      <c r="E1502" s="115" t="e">
        <f t="array" aca="1" ref="E1502" ca="1">IF(OR(C1501=0,AND(B1503=0,C1503=0)),"",IFERROR(INDEX($F$27:$F$36,MATCH(C1502,($F$27:$F$36)*($D$27:$D$36&lt;&gt;0),0)),IF(OR(AND(D1502=0,B1502=0,B1503&lt;&gt;0),AND(D1502*D1501&lt;0,B1502&lt;&gt;0)),IF(D1502=0,C1502,C1502*(1-ABS(D1502)/(ABS(D1502)+ABS(D1501)))+C1501*(1-ABS(D1501)/(ABS(D1502)+ABS(D1501)))),"")))</f>
        <v>#NAME?</v>
      </c>
    </row>
    <row r="1503" spans="2:5" x14ac:dyDescent="0.25">
      <c r="B1503" t="e">
        <f t="shared" ca="1" si="47"/>
        <v>#NAME?</v>
      </c>
      <c r="C1503">
        <v>1460</v>
      </c>
      <c r="D1503" t="e">
        <f t="shared" ca="1" si="46"/>
        <v>#NAME?</v>
      </c>
      <c r="E1503" s="115" t="e">
        <f t="array" aca="1" ref="E1503" ca="1">IF(OR(C1502=0,AND(B1504=0,C1504=0)),"",IFERROR(INDEX($F$27:$F$36,MATCH(C1503,($F$27:$F$36)*($D$27:$D$36&lt;&gt;0),0)),IF(OR(AND(D1503=0,B1503=0,B1504&lt;&gt;0),AND(D1503*D1502&lt;0,B1503&lt;&gt;0)),IF(D1503=0,C1503,C1503*(1-ABS(D1503)/(ABS(D1503)+ABS(D1502)))+C1502*(1-ABS(D1502)/(ABS(D1503)+ABS(D1502)))),"")))</f>
        <v>#NAME?</v>
      </c>
    </row>
    <row r="1504" spans="2:5" x14ac:dyDescent="0.25">
      <c r="B1504" t="e">
        <f t="shared" ca="1" si="47"/>
        <v>#NAME?</v>
      </c>
      <c r="C1504">
        <v>1461</v>
      </c>
      <c r="D1504" t="e">
        <f t="shared" ca="1" si="46"/>
        <v>#NAME?</v>
      </c>
      <c r="E1504" s="115" t="e">
        <f t="array" aca="1" ref="E1504" ca="1">IF(OR(C1503=0,AND(B1505=0,C1505=0)),"",IFERROR(INDEX($F$27:$F$36,MATCH(C1504,($F$27:$F$36)*($D$27:$D$36&lt;&gt;0),0)),IF(OR(AND(D1504=0,B1504=0,B1505&lt;&gt;0),AND(D1504*D1503&lt;0,B1504&lt;&gt;0)),IF(D1504=0,C1504,C1504*(1-ABS(D1504)/(ABS(D1504)+ABS(D1503)))+C1503*(1-ABS(D1503)/(ABS(D1504)+ABS(D1503)))),"")))</f>
        <v>#NAME?</v>
      </c>
    </row>
    <row r="1505" spans="2:5" x14ac:dyDescent="0.25">
      <c r="B1505" t="e">
        <f t="shared" ca="1" si="47"/>
        <v>#NAME?</v>
      </c>
      <c r="C1505">
        <v>1462</v>
      </c>
      <c r="D1505" t="e">
        <f t="shared" ca="1" si="46"/>
        <v>#NAME?</v>
      </c>
      <c r="E1505" s="115" t="e">
        <f t="array" aca="1" ref="E1505" ca="1">IF(OR(C1504=0,AND(B1506=0,C1506=0)),"",IFERROR(INDEX($F$27:$F$36,MATCH(C1505,($F$27:$F$36)*($D$27:$D$36&lt;&gt;0),0)),IF(OR(AND(D1505=0,B1505=0,B1506&lt;&gt;0),AND(D1505*D1504&lt;0,B1505&lt;&gt;0)),IF(D1505=0,C1505,C1505*(1-ABS(D1505)/(ABS(D1505)+ABS(D1504)))+C1504*(1-ABS(D1504)/(ABS(D1505)+ABS(D1504)))),"")))</f>
        <v>#NAME?</v>
      </c>
    </row>
    <row r="1506" spans="2:5" x14ac:dyDescent="0.25">
      <c r="B1506" t="e">
        <f t="shared" ca="1" si="47"/>
        <v>#NAME?</v>
      </c>
      <c r="C1506">
        <v>1463</v>
      </c>
      <c r="D1506" t="e">
        <f t="shared" ca="1" si="46"/>
        <v>#NAME?</v>
      </c>
      <c r="E1506" s="115" t="e">
        <f t="array" aca="1" ref="E1506" ca="1">IF(OR(C1505=0,AND(B1507=0,C1507=0)),"",IFERROR(INDEX($F$27:$F$36,MATCH(C1506,($F$27:$F$36)*($D$27:$D$36&lt;&gt;0),0)),IF(OR(AND(D1506=0,B1506=0,B1507&lt;&gt;0),AND(D1506*D1505&lt;0,B1506&lt;&gt;0)),IF(D1506=0,C1506,C1506*(1-ABS(D1506)/(ABS(D1506)+ABS(D1505)))+C1505*(1-ABS(D1505)/(ABS(D1506)+ABS(D1505)))),"")))</f>
        <v>#NAME?</v>
      </c>
    </row>
    <row r="1507" spans="2:5" x14ac:dyDescent="0.25">
      <c r="B1507" t="e">
        <f t="shared" ca="1" si="47"/>
        <v>#NAME?</v>
      </c>
      <c r="C1507">
        <v>1464</v>
      </c>
      <c r="D1507" t="e">
        <f t="shared" ca="1" si="46"/>
        <v>#NAME?</v>
      </c>
      <c r="E1507" s="115" t="e">
        <f t="array" aca="1" ref="E1507" ca="1">IF(OR(C1506=0,AND(B1508=0,C1508=0)),"",IFERROR(INDEX($F$27:$F$36,MATCH(C1507,($F$27:$F$36)*($D$27:$D$36&lt;&gt;0),0)),IF(OR(AND(D1507=0,B1507=0,B1508&lt;&gt;0),AND(D1507*D1506&lt;0,B1507&lt;&gt;0)),IF(D1507=0,C1507,C1507*(1-ABS(D1507)/(ABS(D1507)+ABS(D1506)))+C1506*(1-ABS(D1506)/(ABS(D1507)+ABS(D1506)))),"")))</f>
        <v>#NAME?</v>
      </c>
    </row>
    <row r="1508" spans="2:5" x14ac:dyDescent="0.25">
      <c r="B1508" t="e">
        <f t="shared" ca="1" si="47"/>
        <v>#NAME?</v>
      </c>
      <c r="C1508">
        <v>1465</v>
      </c>
      <c r="D1508" t="e">
        <f t="shared" ca="1" si="46"/>
        <v>#NAME?</v>
      </c>
      <c r="E1508" s="115" t="e">
        <f t="array" aca="1" ref="E1508" ca="1">IF(OR(C1507=0,AND(B1509=0,C1509=0)),"",IFERROR(INDEX($F$27:$F$36,MATCH(C1508,($F$27:$F$36)*($D$27:$D$36&lt;&gt;0),0)),IF(OR(AND(D1508=0,B1508=0,B1509&lt;&gt;0),AND(D1508*D1507&lt;0,B1508&lt;&gt;0)),IF(D1508=0,C1508,C1508*(1-ABS(D1508)/(ABS(D1508)+ABS(D1507)))+C1507*(1-ABS(D1507)/(ABS(D1508)+ABS(D1507)))),"")))</f>
        <v>#NAME?</v>
      </c>
    </row>
    <row r="1509" spans="2:5" x14ac:dyDescent="0.25">
      <c r="B1509" t="e">
        <f t="shared" ca="1" si="47"/>
        <v>#NAME?</v>
      </c>
      <c r="C1509">
        <v>1466</v>
      </c>
      <c r="D1509" t="e">
        <f t="shared" ca="1" si="46"/>
        <v>#NAME?</v>
      </c>
      <c r="E1509" s="115" t="e">
        <f t="array" aca="1" ref="E1509" ca="1">IF(OR(C1508=0,AND(B1510=0,C1510=0)),"",IFERROR(INDEX($F$27:$F$36,MATCH(C1509,($F$27:$F$36)*($D$27:$D$36&lt;&gt;0),0)),IF(OR(AND(D1509=0,B1509=0,B1510&lt;&gt;0),AND(D1509*D1508&lt;0,B1509&lt;&gt;0)),IF(D1509=0,C1509,C1509*(1-ABS(D1509)/(ABS(D1509)+ABS(D1508)))+C1508*(1-ABS(D1508)/(ABS(D1509)+ABS(D1508)))),"")))</f>
        <v>#NAME?</v>
      </c>
    </row>
    <row r="1510" spans="2:5" x14ac:dyDescent="0.25">
      <c r="B1510" t="e">
        <f t="shared" ca="1" si="47"/>
        <v>#NAME?</v>
      </c>
      <c r="C1510">
        <v>1467</v>
      </c>
      <c r="D1510" t="e">
        <f t="shared" ca="1" si="46"/>
        <v>#NAME?</v>
      </c>
      <c r="E1510" s="115" t="e">
        <f t="array" aca="1" ref="E1510" ca="1">IF(OR(C1509=0,AND(B1511=0,C1511=0)),"",IFERROR(INDEX($F$27:$F$36,MATCH(C1510,($F$27:$F$36)*($D$27:$D$36&lt;&gt;0),0)),IF(OR(AND(D1510=0,B1510=0,B1511&lt;&gt;0),AND(D1510*D1509&lt;0,B1510&lt;&gt;0)),IF(D1510=0,C1510,C1510*(1-ABS(D1510)/(ABS(D1510)+ABS(D1509)))+C1509*(1-ABS(D1509)/(ABS(D1510)+ABS(D1509)))),"")))</f>
        <v>#NAME?</v>
      </c>
    </row>
    <row r="1511" spans="2:5" x14ac:dyDescent="0.25">
      <c r="B1511" t="e">
        <f t="shared" ca="1" si="47"/>
        <v>#NAME?</v>
      </c>
      <c r="C1511">
        <v>1468</v>
      </c>
      <c r="D1511" t="e">
        <f t="shared" ca="1" si="46"/>
        <v>#NAME?</v>
      </c>
      <c r="E1511" s="115" t="e">
        <f t="array" aca="1" ref="E1511" ca="1">IF(OR(C1510=0,AND(B1512=0,C1512=0)),"",IFERROR(INDEX($F$27:$F$36,MATCH(C1511,($F$27:$F$36)*($D$27:$D$36&lt;&gt;0),0)),IF(OR(AND(D1511=0,B1511=0,B1512&lt;&gt;0),AND(D1511*D1510&lt;0,B1511&lt;&gt;0)),IF(D1511=0,C1511,C1511*(1-ABS(D1511)/(ABS(D1511)+ABS(D1510)))+C1510*(1-ABS(D1510)/(ABS(D1511)+ABS(D1510)))),"")))</f>
        <v>#NAME?</v>
      </c>
    </row>
    <row r="1512" spans="2:5" x14ac:dyDescent="0.25">
      <c r="B1512" t="e">
        <f t="shared" ca="1" si="47"/>
        <v>#NAME?</v>
      </c>
      <c r="C1512">
        <v>1469</v>
      </c>
      <c r="D1512" t="e">
        <f t="shared" ca="1" si="46"/>
        <v>#NAME?</v>
      </c>
      <c r="E1512" s="115" t="e">
        <f t="array" aca="1" ref="E1512" ca="1">IF(OR(C1511=0,AND(B1513=0,C1513=0)),"",IFERROR(INDEX($F$27:$F$36,MATCH(C1512,($F$27:$F$36)*($D$27:$D$36&lt;&gt;0),0)),IF(OR(AND(D1512=0,B1512=0,B1513&lt;&gt;0),AND(D1512*D1511&lt;0,B1512&lt;&gt;0)),IF(D1512=0,C1512,C1512*(1-ABS(D1512)/(ABS(D1512)+ABS(D1511)))+C1511*(1-ABS(D1511)/(ABS(D1512)+ABS(D1511)))),"")))</f>
        <v>#NAME?</v>
      </c>
    </row>
    <row r="1513" spans="2:5" x14ac:dyDescent="0.25">
      <c r="B1513" t="e">
        <f t="shared" ca="1" si="47"/>
        <v>#NAME?</v>
      </c>
      <c r="C1513">
        <v>1470</v>
      </c>
      <c r="D1513" t="e">
        <f t="shared" ca="1" si="46"/>
        <v>#NAME?</v>
      </c>
      <c r="E1513" s="115" t="e">
        <f t="array" aca="1" ref="E1513" ca="1">IF(OR(C1512=0,AND(B1514=0,C1514=0)),"",IFERROR(INDEX($F$27:$F$36,MATCH(C1513,($F$27:$F$36)*($D$27:$D$36&lt;&gt;0),0)),IF(OR(AND(D1513=0,B1513=0,B1514&lt;&gt;0),AND(D1513*D1512&lt;0,B1513&lt;&gt;0)),IF(D1513=0,C1513,C1513*(1-ABS(D1513)/(ABS(D1513)+ABS(D1512)))+C1512*(1-ABS(D1512)/(ABS(D1513)+ABS(D1512)))),"")))</f>
        <v>#NAME?</v>
      </c>
    </row>
    <row r="1514" spans="2:5" x14ac:dyDescent="0.25">
      <c r="B1514" t="e">
        <f t="shared" ca="1" si="47"/>
        <v>#NAME?</v>
      </c>
      <c r="C1514">
        <v>1471</v>
      </c>
      <c r="D1514" t="e">
        <f t="shared" ca="1" si="46"/>
        <v>#NAME?</v>
      </c>
      <c r="E1514" s="115" t="e">
        <f t="array" aca="1" ref="E1514" ca="1">IF(OR(C1513=0,AND(B1515=0,C1515=0)),"",IFERROR(INDEX($F$27:$F$36,MATCH(C1514,($F$27:$F$36)*($D$27:$D$36&lt;&gt;0),0)),IF(OR(AND(D1514=0,B1514=0,B1515&lt;&gt;0),AND(D1514*D1513&lt;0,B1514&lt;&gt;0)),IF(D1514=0,C1514,C1514*(1-ABS(D1514)/(ABS(D1514)+ABS(D1513)))+C1513*(1-ABS(D1513)/(ABS(D1514)+ABS(D1513)))),"")))</f>
        <v>#NAME?</v>
      </c>
    </row>
    <row r="1515" spans="2:5" x14ac:dyDescent="0.25">
      <c r="B1515" t="e">
        <f t="shared" ca="1" si="47"/>
        <v>#NAME?</v>
      </c>
      <c r="C1515">
        <v>1472</v>
      </c>
      <c r="D1515" t="e">
        <f t="shared" ref="D1515:D1578" ca="1" si="48">SUMPRODUCT(--($J$27:$J$37&gt;0),--($C1515-$F$27:$F$37&gt;0),($D$27:$D$37),($C1515-$F$27:$F$37))+SUMPRODUCT(--($J$27:$J$37&lt;0),--($F$27:$F$37-$C1515&gt;0),($D$27:$D$37),($F$27:$F$37-$C1515))-SUMPRODUCT($D$27:$D$37,$E$27:$E$37)</f>
        <v>#NAME?</v>
      </c>
      <c r="E1515" s="115" t="e">
        <f t="array" aca="1" ref="E1515" ca="1">IF(OR(C1514=0,AND(B1516=0,C1516=0)),"",IFERROR(INDEX($F$27:$F$36,MATCH(C1515,($F$27:$F$36)*($D$27:$D$36&lt;&gt;0),0)),IF(OR(AND(D1515=0,B1515=0,B1516&lt;&gt;0),AND(D1515*D1514&lt;0,B1515&lt;&gt;0)),IF(D1515=0,C1515,C1515*(1-ABS(D1515)/(ABS(D1515)+ABS(D1514)))+C1514*(1-ABS(D1514)/(ABS(D1515)+ABS(D1514)))),"")))</f>
        <v>#NAME?</v>
      </c>
    </row>
    <row r="1516" spans="2:5" x14ac:dyDescent="0.25">
      <c r="B1516" t="e">
        <f t="shared" ref="B1516:B1579" ca="1" si="49">ROUND((D1516-D1515)/(C1516-C1515),12)</f>
        <v>#NAME?</v>
      </c>
      <c r="C1516">
        <v>1473</v>
      </c>
      <c r="D1516" t="e">
        <f t="shared" ca="1" si="48"/>
        <v>#NAME?</v>
      </c>
      <c r="E1516" s="115" t="e">
        <f t="array" aca="1" ref="E1516" ca="1">IF(OR(C1515=0,AND(B1517=0,C1517=0)),"",IFERROR(INDEX($F$27:$F$36,MATCH(C1516,($F$27:$F$36)*($D$27:$D$36&lt;&gt;0),0)),IF(OR(AND(D1516=0,B1516=0,B1517&lt;&gt;0),AND(D1516*D1515&lt;0,B1516&lt;&gt;0)),IF(D1516=0,C1516,C1516*(1-ABS(D1516)/(ABS(D1516)+ABS(D1515)))+C1515*(1-ABS(D1515)/(ABS(D1516)+ABS(D1515)))),"")))</f>
        <v>#NAME?</v>
      </c>
    </row>
    <row r="1517" spans="2:5" x14ac:dyDescent="0.25">
      <c r="B1517" t="e">
        <f t="shared" ca="1" si="49"/>
        <v>#NAME?</v>
      </c>
      <c r="C1517">
        <v>1474</v>
      </c>
      <c r="D1517" t="e">
        <f t="shared" ca="1" si="48"/>
        <v>#NAME?</v>
      </c>
      <c r="E1517" s="115" t="e">
        <f t="array" aca="1" ref="E1517" ca="1">IF(OR(C1516=0,AND(B1518=0,C1518=0)),"",IFERROR(INDEX($F$27:$F$36,MATCH(C1517,($F$27:$F$36)*($D$27:$D$36&lt;&gt;0),0)),IF(OR(AND(D1517=0,B1517=0,B1518&lt;&gt;0),AND(D1517*D1516&lt;0,B1517&lt;&gt;0)),IF(D1517=0,C1517,C1517*(1-ABS(D1517)/(ABS(D1517)+ABS(D1516)))+C1516*(1-ABS(D1516)/(ABS(D1517)+ABS(D1516)))),"")))</f>
        <v>#NAME?</v>
      </c>
    </row>
    <row r="1518" spans="2:5" x14ac:dyDescent="0.25">
      <c r="B1518" t="e">
        <f t="shared" ca="1" si="49"/>
        <v>#NAME?</v>
      </c>
      <c r="C1518">
        <v>1475</v>
      </c>
      <c r="D1518" t="e">
        <f t="shared" ca="1" si="48"/>
        <v>#NAME?</v>
      </c>
      <c r="E1518" s="115" t="e">
        <f t="array" aca="1" ref="E1518" ca="1">IF(OR(C1517=0,AND(B1519=0,C1519=0)),"",IFERROR(INDEX($F$27:$F$36,MATCH(C1518,($F$27:$F$36)*($D$27:$D$36&lt;&gt;0),0)),IF(OR(AND(D1518=0,B1518=0,B1519&lt;&gt;0),AND(D1518*D1517&lt;0,B1518&lt;&gt;0)),IF(D1518=0,C1518,C1518*(1-ABS(D1518)/(ABS(D1518)+ABS(D1517)))+C1517*(1-ABS(D1517)/(ABS(D1518)+ABS(D1517)))),"")))</f>
        <v>#NAME?</v>
      </c>
    </row>
    <row r="1519" spans="2:5" x14ac:dyDescent="0.25">
      <c r="B1519" t="e">
        <f t="shared" ca="1" si="49"/>
        <v>#NAME?</v>
      </c>
      <c r="C1519">
        <v>1476</v>
      </c>
      <c r="D1519" t="e">
        <f t="shared" ca="1" si="48"/>
        <v>#NAME?</v>
      </c>
      <c r="E1519" s="115" t="e">
        <f t="array" aca="1" ref="E1519" ca="1">IF(OR(C1518=0,AND(B1520=0,C1520=0)),"",IFERROR(INDEX($F$27:$F$36,MATCH(C1519,($F$27:$F$36)*($D$27:$D$36&lt;&gt;0),0)),IF(OR(AND(D1519=0,B1519=0,B1520&lt;&gt;0),AND(D1519*D1518&lt;0,B1519&lt;&gt;0)),IF(D1519=0,C1519,C1519*(1-ABS(D1519)/(ABS(D1519)+ABS(D1518)))+C1518*(1-ABS(D1518)/(ABS(D1519)+ABS(D1518)))),"")))</f>
        <v>#NAME?</v>
      </c>
    </row>
    <row r="1520" spans="2:5" x14ac:dyDescent="0.25">
      <c r="B1520" t="e">
        <f t="shared" ca="1" si="49"/>
        <v>#NAME?</v>
      </c>
      <c r="C1520">
        <v>1477</v>
      </c>
      <c r="D1520" t="e">
        <f t="shared" ca="1" si="48"/>
        <v>#NAME?</v>
      </c>
      <c r="E1520" s="115" t="e">
        <f t="array" aca="1" ref="E1520" ca="1">IF(OR(C1519=0,AND(B1521=0,C1521=0)),"",IFERROR(INDEX($F$27:$F$36,MATCH(C1520,($F$27:$F$36)*($D$27:$D$36&lt;&gt;0),0)),IF(OR(AND(D1520=0,B1520=0,B1521&lt;&gt;0),AND(D1520*D1519&lt;0,B1520&lt;&gt;0)),IF(D1520=0,C1520,C1520*(1-ABS(D1520)/(ABS(D1520)+ABS(D1519)))+C1519*(1-ABS(D1519)/(ABS(D1520)+ABS(D1519)))),"")))</f>
        <v>#NAME?</v>
      </c>
    </row>
    <row r="1521" spans="2:5" x14ac:dyDescent="0.25">
      <c r="B1521" t="e">
        <f t="shared" ca="1" si="49"/>
        <v>#NAME?</v>
      </c>
      <c r="C1521">
        <v>1478</v>
      </c>
      <c r="D1521" t="e">
        <f t="shared" ca="1" si="48"/>
        <v>#NAME?</v>
      </c>
      <c r="E1521" s="115" t="e">
        <f t="array" aca="1" ref="E1521" ca="1">IF(OR(C1520=0,AND(B1522=0,C1522=0)),"",IFERROR(INDEX($F$27:$F$36,MATCH(C1521,($F$27:$F$36)*($D$27:$D$36&lt;&gt;0),0)),IF(OR(AND(D1521=0,B1521=0,B1522&lt;&gt;0),AND(D1521*D1520&lt;0,B1521&lt;&gt;0)),IF(D1521=0,C1521,C1521*(1-ABS(D1521)/(ABS(D1521)+ABS(D1520)))+C1520*(1-ABS(D1520)/(ABS(D1521)+ABS(D1520)))),"")))</f>
        <v>#NAME?</v>
      </c>
    </row>
    <row r="1522" spans="2:5" x14ac:dyDescent="0.25">
      <c r="B1522" t="e">
        <f t="shared" ca="1" si="49"/>
        <v>#NAME?</v>
      </c>
      <c r="C1522">
        <v>1479</v>
      </c>
      <c r="D1522" t="e">
        <f t="shared" ca="1" si="48"/>
        <v>#NAME?</v>
      </c>
      <c r="E1522" s="115" t="e">
        <f t="array" aca="1" ref="E1522" ca="1">IF(OR(C1521=0,AND(B1523=0,C1523=0)),"",IFERROR(INDEX($F$27:$F$36,MATCH(C1522,($F$27:$F$36)*($D$27:$D$36&lt;&gt;0),0)),IF(OR(AND(D1522=0,B1522=0,B1523&lt;&gt;0),AND(D1522*D1521&lt;0,B1522&lt;&gt;0)),IF(D1522=0,C1522,C1522*(1-ABS(D1522)/(ABS(D1522)+ABS(D1521)))+C1521*(1-ABS(D1521)/(ABS(D1522)+ABS(D1521)))),"")))</f>
        <v>#NAME?</v>
      </c>
    </row>
    <row r="1523" spans="2:5" x14ac:dyDescent="0.25">
      <c r="B1523" t="e">
        <f t="shared" ca="1" si="49"/>
        <v>#NAME?</v>
      </c>
      <c r="C1523">
        <v>1480</v>
      </c>
      <c r="D1523" t="e">
        <f t="shared" ca="1" si="48"/>
        <v>#NAME?</v>
      </c>
      <c r="E1523" s="115" t="e">
        <f t="array" aca="1" ref="E1523" ca="1">IF(OR(C1522=0,AND(B1524=0,C1524=0)),"",IFERROR(INDEX($F$27:$F$36,MATCH(C1523,($F$27:$F$36)*($D$27:$D$36&lt;&gt;0),0)),IF(OR(AND(D1523=0,B1523=0,B1524&lt;&gt;0),AND(D1523*D1522&lt;0,B1523&lt;&gt;0)),IF(D1523=0,C1523,C1523*(1-ABS(D1523)/(ABS(D1523)+ABS(D1522)))+C1522*(1-ABS(D1522)/(ABS(D1523)+ABS(D1522)))),"")))</f>
        <v>#NAME?</v>
      </c>
    </row>
    <row r="1524" spans="2:5" x14ac:dyDescent="0.25">
      <c r="B1524" t="e">
        <f t="shared" ca="1" si="49"/>
        <v>#NAME?</v>
      </c>
      <c r="C1524">
        <v>1481</v>
      </c>
      <c r="D1524" t="e">
        <f t="shared" ca="1" si="48"/>
        <v>#NAME?</v>
      </c>
      <c r="E1524" s="115" t="e">
        <f t="array" aca="1" ref="E1524" ca="1">IF(OR(C1523=0,AND(B1525=0,C1525=0)),"",IFERROR(INDEX($F$27:$F$36,MATCH(C1524,($F$27:$F$36)*($D$27:$D$36&lt;&gt;0),0)),IF(OR(AND(D1524=0,B1524=0,B1525&lt;&gt;0),AND(D1524*D1523&lt;0,B1524&lt;&gt;0)),IF(D1524=0,C1524,C1524*(1-ABS(D1524)/(ABS(D1524)+ABS(D1523)))+C1523*(1-ABS(D1523)/(ABS(D1524)+ABS(D1523)))),"")))</f>
        <v>#NAME?</v>
      </c>
    </row>
    <row r="1525" spans="2:5" x14ac:dyDescent="0.25">
      <c r="B1525" t="e">
        <f t="shared" ca="1" si="49"/>
        <v>#NAME?</v>
      </c>
      <c r="C1525">
        <v>1482</v>
      </c>
      <c r="D1525" t="e">
        <f t="shared" ca="1" si="48"/>
        <v>#NAME?</v>
      </c>
      <c r="E1525" s="115" t="e">
        <f t="array" aca="1" ref="E1525" ca="1">IF(OR(C1524=0,AND(B1526=0,C1526=0)),"",IFERROR(INDEX($F$27:$F$36,MATCH(C1525,($F$27:$F$36)*($D$27:$D$36&lt;&gt;0),0)),IF(OR(AND(D1525=0,B1525=0,B1526&lt;&gt;0),AND(D1525*D1524&lt;0,B1525&lt;&gt;0)),IF(D1525=0,C1525,C1525*(1-ABS(D1525)/(ABS(D1525)+ABS(D1524)))+C1524*(1-ABS(D1524)/(ABS(D1525)+ABS(D1524)))),"")))</f>
        <v>#NAME?</v>
      </c>
    </row>
    <row r="1526" spans="2:5" x14ac:dyDescent="0.25">
      <c r="B1526" t="e">
        <f t="shared" ca="1" si="49"/>
        <v>#NAME?</v>
      </c>
      <c r="C1526">
        <v>1483</v>
      </c>
      <c r="D1526" t="e">
        <f t="shared" ca="1" si="48"/>
        <v>#NAME?</v>
      </c>
      <c r="E1526" s="115" t="e">
        <f t="array" aca="1" ref="E1526" ca="1">IF(OR(C1525=0,AND(B1527=0,C1527=0)),"",IFERROR(INDEX($F$27:$F$36,MATCH(C1526,($F$27:$F$36)*($D$27:$D$36&lt;&gt;0),0)),IF(OR(AND(D1526=0,B1526=0,B1527&lt;&gt;0),AND(D1526*D1525&lt;0,B1526&lt;&gt;0)),IF(D1526=0,C1526,C1526*(1-ABS(D1526)/(ABS(D1526)+ABS(D1525)))+C1525*(1-ABS(D1525)/(ABS(D1526)+ABS(D1525)))),"")))</f>
        <v>#NAME?</v>
      </c>
    </row>
    <row r="1527" spans="2:5" x14ac:dyDescent="0.25">
      <c r="B1527" t="e">
        <f t="shared" ca="1" si="49"/>
        <v>#NAME?</v>
      </c>
      <c r="C1527">
        <v>1484</v>
      </c>
      <c r="D1527" t="e">
        <f t="shared" ca="1" si="48"/>
        <v>#NAME?</v>
      </c>
      <c r="E1527" s="115" t="e">
        <f t="array" aca="1" ref="E1527" ca="1">IF(OR(C1526=0,AND(B1528=0,C1528=0)),"",IFERROR(INDEX($F$27:$F$36,MATCH(C1527,($F$27:$F$36)*($D$27:$D$36&lt;&gt;0),0)),IF(OR(AND(D1527=0,B1527=0,B1528&lt;&gt;0),AND(D1527*D1526&lt;0,B1527&lt;&gt;0)),IF(D1527=0,C1527,C1527*(1-ABS(D1527)/(ABS(D1527)+ABS(D1526)))+C1526*(1-ABS(D1526)/(ABS(D1527)+ABS(D1526)))),"")))</f>
        <v>#NAME?</v>
      </c>
    </row>
    <row r="1528" spans="2:5" x14ac:dyDescent="0.25">
      <c r="B1528" t="e">
        <f t="shared" ca="1" si="49"/>
        <v>#NAME?</v>
      </c>
      <c r="C1528">
        <v>1485</v>
      </c>
      <c r="D1528" t="e">
        <f t="shared" ca="1" si="48"/>
        <v>#NAME?</v>
      </c>
      <c r="E1528" s="115" t="e">
        <f t="array" aca="1" ref="E1528" ca="1">IF(OR(C1527=0,AND(B1529=0,C1529=0)),"",IFERROR(INDEX($F$27:$F$36,MATCH(C1528,($F$27:$F$36)*($D$27:$D$36&lt;&gt;0),0)),IF(OR(AND(D1528=0,B1528=0,B1529&lt;&gt;0),AND(D1528*D1527&lt;0,B1528&lt;&gt;0)),IF(D1528=0,C1528,C1528*(1-ABS(D1528)/(ABS(D1528)+ABS(D1527)))+C1527*(1-ABS(D1527)/(ABS(D1528)+ABS(D1527)))),"")))</f>
        <v>#NAME?</v>
      </c>
    </row>
    <row r="1529" spans="2:5" x14ac:dyDescent="0.25">
      <c r="B1529" t="e">
        <f t="shared" ca="1" si="49"/>
        <v>#NAME?</v>
      </c>
      <c r="C1529">
        <v>1486</v>
      </c>
      <c r="D1529" t="e">
        <f t="shared" ca="1" si="48"/>
        <v>#NAME?</v>
      </c>
      <c r="E1529" s="115" t="e">
        <f t="array" aca="1" ref="E1529" ca="1">IF(OR(C1528=0,AND(B1530=0,C1530=0)),"",IFERROR(INDEX($F$27:$F$36,MATCH(C1529,($F$27:$F$36)*($D$27:$D$36&lt;&gt;0),0)),IF(OR(AND(D1529=0,B1529=0,B1530&lt;&gt;0),AND(D1529*D1528&lt;0,B1529&lt;&gt;0)),IF(D1529=0,C1529,C1529*(1-ABS(D1529)/(ABS(D1529)+ABS(D1528)))+C1528*(1-ABS(D1528)/(ABS(D1529)+ABS(D1528)))),"")))</f>
        <v>#NAME?</v>
      </c>
    </row>
    <row r="1530" spans="2:5" x14ac:dyDescent="0.25">
      <c r="B1530" t="e">
        <f t="shared" ca="1" si="49"/>
        <v>#NAME?</v>
      </c>
      <c r="C1530">
        <v>1487</v>
      </c>
      <c r="D1530" t="e">
        <f t="shared" ca="1" si="48"/>
        <v>#NAME?</v>
      </c>
      <c r="E1530" s="115" t="e">
        <f t="array" aca="1" ref="E1530" ca="1">IF(OR(C1529=0,AND(B1531=0,C1531=0)),"",IFERROR(INDEX($F$27:$F$36,MATCH(C1530,($F$27:$F$36)*($D$27:$D$36&lt;&gt;0),0)),IF(OR(AND(D1530=0,B1530=0,B1531&lt;&gt;0),AND(D1530*D1529&lt;0,B1530&lt;&gt;0)),IF(D1530=0,C1530,C1530*(1-ABS(D1530)/(ABS(D1530)+ABS(D1529)))+C1529*(1-ABS(D1529)/(ABS(D1530)+ABS(D1529)))),"")))</f>
        <v>#NAME?</v>
      </c>
    </row>
    <row r="1531" spans="2:5" x14ac:dyDescent="0.25">
      <c r="B1531" t="e">
        <f t="shared" ca="1" si="49"/>
        <v>#NAME?</v>
      </c>
      <c r="C1531">
        <v>1488</v>
      </c>
      <c r="D1531" t="e">
        <f t="shared" ca="1" si="48"/>
        <v>#NAME?</v>
      </c>
      <c r="E1531" s="115" t="e">
        <f t="array" aca="1" ref="E1531" ca="1">IF(OR(C1530=0,AND(B1532=0,C1532=0)),"",IFERROR(INDEX($F$27:$F$36,MATCH(C1531,($F$27:$F$36)*($D$27:$D$36&lt;&gt;0),0)),IF(OR(AND(D1531=0,B1531=0,B1532&lt;&gt;0),AND(D1531*D1530&lt;0,B1531&lt;&gt;0)),IF(D1531=0,C1531,C1531*(1-ABS(D1531)/(ABS(D1531)+ABS(D1530)))+C1530*(1-ABS(D1530)/(ABS(D1531)+ABS(D1530)))),"")))</f>
        <v>#NAME?</v>
      </c>
    </row>
    <row r="1532" spans="2:5" x14ac:dyDescent="0.25">
      <c r="B1532" t="e">
        <f t="shared" ca="1" si="49"/>
        <v>#NAME?</v>
      </c>
      <c r="C1532">
        <v>1489</v>
      </c>
      <c r="D1532" t="e">
        <f t="shared" ca="1" si="48"/>
        <v>#NAME?</v>
      </c>
      <c r="E1532" s="115" t="e">
        <f t="array" aca="1" ref="E1532" ca="1">IF(OR(C1531=0,AND(B1533=0,C1533=0)),"",IFERROR(INDEX($F$27:$F$36,MATCH(C1532,($F$27:$F$36)*($D$27:$D$36&lt;&gt;0),0)),IF(OR(AND(D1532=0,B1532=0,B1533&lt;&gt;0),AND(D1532*D1531&lt;0,B1532&lt;&gt;0)),IF(D1532=0,C1532,C1532*(1-ABS(D1532)/(ABS(D1532)+ABS(D1531)))+C1531*(1-ABS(D1531)/(ABS(D1532)+ABS(D1531)))),"")))</f>
        <v>#NAME?</v>
      </c>
    </row>
    <row r="1533" spans="2:5" x14ac:dyDescent="0.25">
      <c r="B1533" t="e">
        <f t="shared" ca="1" si="49"/>
        <v>#NAME?</v>
      </c>
      <c r="C1533">
        <v>1490</v>
      </c>
      <c r="D1533" t="e">
        <f t="shared" ca="1" si="48"/>
        <v>#NAME?</v>
      </c>
      <c r="E1533" s="115" t="e">
        <f t="array" aca="1" ref="E1533" ca="1">IF(OR(C1532=0,AND(B1534=0,C1534=0)),"",IFERROR(INDEX($F$27:$F$36,MATCH(C1533,($F$27:$F$36)*($D$27:$D$36&lt;&gt;0),0)),IF(OR(AND(D1533=0,B1533=0,B1534&lt;&gt;0),AND(D1533*D1532&lt;0,B1533&lt;&gt;0)),IF(D1533=0,C1533,C1533*(1-ABS(D1533)/(ABS(D1533)+ABS(D1532)))+C1532*(1-ABS(D1532)/(ABS(D1533)+ABS(D1532)))),"")))</f>
        <v>#NAME?</v>
      </c>
    </row>
    <row r="1534" spans="2:5" x14ac:dyDescent="0.25">
      <c r="B1534" t="e">
        <f t="shared" ca="1" si="49"/>
        <v>#NAME?</v>
      </c>
      <c r="C1534">
        <v>1491</v>
      </c>
      <c r="D1534" t="e">
        <f t="shared" ca="1" si="48"/>
        <v>#NAME?</v>
      </c>
      <c r="E1534" s="115" t="e">
        <f t="array" aca="1" ref="E1534" ca="1">IF(OR(C1533=0,AND(B1535=0,C1535=0)),"",IFERROR(INDEX($F$27:$F$36,MATCH(C1534,($F$27:$F$36)*($D$27:$D$36&lt;&gt;0),0)),IF(OR(AND(D1534=0,B1534=0,B1535&lt;&gt;0),AND(D1534*D1533&lt;0,B1534&lt;&gt;0)),IF(D1534=0,C1534,C1534*(1-ABS(D1534)/(ABS(D1534)+ABS(D1533)))+C1533*(1-ABS(D1533)/(ABS(D1534)+ABS(D1533)))),"")))</f>
        <v>#NAME?</v>
      </c>
    </row>
    <row r="1535" spans="2:5" x14ac:dyDescent="0.25">
      <c r="B1535" t="e">
        <f t="shared" ca="1" si="49"/>
        <v>#NAME?</v>
      </c>
      <c r="C1535">
        <v>1492</v>
      </c>
      <c r="D1535" t="e">
        <f t="shared" ca="1" si="48"/>
        <v>#NAME?</v>
      </c>
      <c r="E1535" s="115" t="e">
        <f t="array" aca="1" ref="E1535" ca="1">IF(OR(C1534=0,AND(B1536=0,C1536=0)),"",IFERROR(INDEX($F$27:$F$36,MATCH(C1535,($F$27:$F$36)*($D$27:$D$36&lt;&gt;0),0)),IF(OR(AND(D1535=0,B1535=0,B1536&lt;&gt;0),AND(D1535*D1534&lt;0,B1535&lt;&gt;0)),IF(D1535=0,C1535,C1535*(1-ABS(D1535)/(ABS(D1535)+ABS(D1534)))+C1534*(1-ABS(D1534)/(ABS(D1535)+ABS(D1534)))),"")))</f>
        <v>#NAME?</v>
      </c>
    </row>
    <row r="1536" spans="2:5" x14ac:dyDescent="0.25">
      <c r="B1536" t="e">
        <f t="shared" ca="1" si="49"/>
        <v>#NAME?</v>
      </c>
      <c r="C1536">
        <v>1493</v>
      </c>
      <c r="D1536" t="e">
        <f t="shared" ca="1" si="48"/>
        <v>#NAME?</v>
      </c>
      <c r="E1536" s="115" t="e">
        <f t="array" aca="1" ref="E1536" ca="1">IF(OR(C1535=0,AND(B1537=0,C1537=0)),"",IFERROR(INDEX($F$27:$F$36,MATCH(C1536,($F$27:$F$36)*($D$27:$D$36&lt;&gt;0),0)),IF(OR(AND(D1536=0,B1536=0,B1537&lt;&gt;0),AND(D1536*D1535&lt;0,B1536&lt;&gt;0)),IF(D1536=0,C1536,C1536*(1-ABS(D1536)/(ABS(D1536)+ABS(D1535)))+C1535*(1-ABS(D1535)/(ABS(D1536)+ABS(D1535)))),"")))</f>
        <v>#NAME?</v>
      </c>
    </row>
    <row r="1537" spans="2:5" x14ac:dyDescent="0.25">
      <c r="B1537" t="e">
        <f t="shared" ca="1" si="49"/>
        <v>#NAME?</v>
      </c>
      <c r="C1537">
        <v>1494</v>
      </c>
      <c r="D1537" t="e">
        <f t="shared" ca="1" si="48"/>
        <v>#NAME?</v>
      </c>
      <c r="E1537" s="115" t="e">
        <f t="array" aca="1" ref="E1537" ca="1">IF(OR(C1536=0,AND(B1538=0,C1538=0)),"",IFERROR(INDEX($F$27:$F$36,MATCH(C1537,($F$27:$F$36)*($D$27:$D$36&lt;&gt;0),0)),IF(OR(AND(D1537=0,B1537=0,B1538&lt;&gt;0),AND(D1537*D1536&lt;0,B1537&lt;&gt;0)),IF(D1537=0,C1537,C1537*(1-ABS(D1537)/(ABS(D1537)+ABS(D1536)))+C1536*(1-ABS(D1536)/(ABS(D1537)+ABS(D1536)))),"")))</f>
        <v>#NAME?</v>
      </c>
    </row>
    <row r="1538" spans="2:5" x14ac:dyDescent="0.25">
      <c r="B1538" t="e">
        <f t="shared" ca="1" si="49"/>
        <v>#NAME?</v>
      </c>
      <c r="C1538">
        <v>1495</v>
      </c>
      <c r="D1538" t="e">
        <f t="shared" ca="1" si="48"/>
        <v>#NAME?</v>
      </c>
      <c r="E1538" s="115" t="e">
        <f t="array" aca="1" ref="E1538" ca="1">IF(OR(C1537=0,AND(B1539=0,C1539=0)),"",IFERROR(INDEX($F$27:$F$36,MATCH(C1538,($F$27:$F$36)*($D$27:$D$36&lt;&gt;0),0)),IF(OR(AND(D1538=0,B1538=0,B1539&lt;&gt;0),AND(D1538*D1537&lt;0,B1538&lt;&gt;0)),IF(D1538=0,C1538,C1538*(1-ABS(D1538)/(ABS(D1538)+ABS(D1537)))+C1537*(1-ABS(D1537)/(ABS(D1538)+ABS(D1537)))),"")))</f>
        <v>#NAME?</v>
      </c>
    </row>
    <row r="1539" spans="2:5" x14ac:dyDescent="0.25">
      <c r="B1539" t="e">
        <f t="shared" ca="1" si="49"/>
        <v>#NAME?</v>
      </c>
      <c r="C1539">
        <v>1496</v>
      </c>
      <c r="D1539" t="e">
        <f t="shared" ca="1" si="48"/>
        <v>#NAME?</v>
      </c>
      <c r="E1539" s="115" t="e">
        <f t="array" aca="1" ref="E1539" ca="1">IF(OR(C1538=0,AND(B1540=0,C1540=0)),"",IFERROR(INDEX($F$27:$F$36,MATCH(C1539,($F$27:$F$36)*($D$27:$D$36&lt;&gt;0),0)),IF(OR(AND(D1539=0,B1539=0,B1540&lt;&gt;0),AND(D1539*D1538&lt;0,B1539&lt;&gt;0)),IF(D1539=0,C1539,C1539*(1-ABS(D1539)/(ABS(D1539)+ABS(D1538)))+C1538*(1-ABS(D1538)/(ABS(D1539)+ABS(D1538)))),"")))</f>
        <v>#NAME?</v>
      </c>
    </row>
    <row r="1540" spans="2:5" x14ac:dyDescent="0.25">
      <c r="B1540" t="e">
        <f t="shared" ca="1" si="49"/>
        <v>#NAME?</v>
      </c>
      <c r="C1540">
        <v>1497</v>
      </c>
      <c r="D1540" t="e">
        <f t="shared" ca="1" si="48"/>
        <v>#NAME?</v>
      </c>
      <c r="E1540" s="115" t="e">
        <f t="array" aca="1" ref="E1540" ca="1">IF(OR(C1539=0,AND(B1541=0,C1541=0)),"",IFERROR(INDEX($F$27:$F$36,MATCH(C1540,($F$27:$F$36)*($D$27:$D$36&lt;&gt;0),0)),IF(OR(AND(D1540=0,B1540=0,B1541&lt;&gt;0),AND(D1540*D1539&lt;0,B1540&lt;&gt;0)),IF(D1540=0,C1540,C1540*(1-ABS(D1540)/(ABS(D1540)+ABS(D1539)))+C1539*(1-ABS(D1539)/(ABS(D1540)+ABS(D1539)))),"")))</f>
        <v>#NAME?</v>
      </c>
    </row>
    <row r="1541" spans="2:5" x14ac:dyDescent="0.25">
      <c r="B1541" t="e">
        <f t="shared" ca="1" si="49"/>
        <v>#NAME?</v>
      </c>
      <c r="C1541">
        <v>1498</v>
      </c>
      <c r="D1541" t="e">
        <f t="shared" ca="1" si="48"/>
        <v>#NAME?</v>
      </c>
      <c r="E1541" s="115" t="e">
        <f t="array" aca="1" ref="E1541" ca="1">IF(OR(C1540=0,AND(B1542=0,C1542=0)),"",IFERROR(INDEX($F$27:$F$36,MATCH(C1541,($F$27:$F$36)*($D$27:$D$36&lt;&gt;0),0)),IF(OR(AND(D1541=0,B1541=0,B1542&lt;&gt;0),AND(D1541*D1540&lt;0,B1541&lt;&gt;0)),IF(D1541=0,C1541,C1541*(1-ABS(D1541)/(ABS(D1541)+ABS(D1540)))+C1540*(1-ABS(D1540)/(ABS(D1541)+ABS(D1540)))),"")))</f>
        <v>#NAME?</v>
      </c>
    </row>
    <row r="1542" spans="2:5" x14ac:dyDescent="0.25">
      <c r="B1542" t="e">
        <f t="shared" ca="1" si="49"/>
        <v>#NAME?</v>
      </c>
      <c r="C1542">
        <v>1499</v>
      </c>
      <c r="D1542" t="e">
        <f t="shared" ca="1" si="48"/>
        <v>#NAME?</v>
      </c>
      <c r="E1542" s="115" t="e">
        <f t="array" aca="1" ref="E1542" ca="1">IF(OR(C1541=0,AND(B1543=0,C1543=0)),"",IFERROR(INDEX($F$27:$F$36,MATCH(C1542,($F$27:$F$36)*($D$27:$D$36&lt;&gt;0),0)),IF(OR(AND(D1542=0,B1542=0,B1543&lt;&gt;0),AND(D1542*D1541&lt;0,B1542&lt;&gt;0)),IF(D1542=0,C1542,C1542*(1-ABS(D1542)/(ABS(D1542)+ABS(D1541)))+C1541*(1-ABS(D1541)/(ABS(D1542)+ABS(D1541)))),"")))</f>
        <v>#NAME?</v>
      </c>
    </row>
    <row r="1543" spans="2:5" x14ac:dyDescent="0.25">
      <c r="B1543" t="e">
        <f t="shared" ca="1" si="49"/>
        <v>#NAME?</v>
      </c>
      <c r="C1543">
        <v>1500</v>
      </c>
      <c r="D1543" t="e">
        <f t="shared" ca="1" si="48"/>
        <v>#NAME?</v>
      </c>
      <c r="E1543" s="115" t="e">
        <f t="array" aca="1" ref="E1543" ca="1">IF(OR(C1542=0,AND(B1544=0,C1544=0)),"",IFERROR(INDEX($F$27:$F$36,MATCH(C1543,($F$27:$F$36)*($D$27:$D$36&lt;&gt;0),0)),IF(OR(AND(D1543=0,B1543=0,B1544&lt;&gt;0),AND(D1543*D1542&lt;0,B1543&lt;&gt;0)),IF(D1543=0,C1543,C1543*(1-ABS(D1543)/(ABS(D1543)+ABS(D1542)))+C1542*(1-ABS(D1542)/(ABS(D1543)+ABS(D1542)))),"")))</f>
        <v>#NAME?</v>
      </c>
    </row>
    <row r="1544" spans="2:5" x14ac:dyDescent="0.25">
      <c r="B1544" t="e">
        <f t="shared" ca="1" si="49"/>
        <v>#NAME?</v>
      </c>
      <c r="C1544">
        <v>1501</v>
      </c>
      <c r="D1544" t="e">
        <f t="shared" ca="1" si="48"/>
        <v>#NAME?</v>
      </c>
      <c r="E1544" s="115" t="e">
        <f t="array" aca="1" ref="E1544" ca="1">IF(OR(C1543=0,AND(B1545=0,C1545=0)),"",IFERROR(INDEX($F$27:$F$36,MATCH(C1544,($F$27:$F$36)*($D$27:$D$36&lt;&gt;0),0)),IF(OR(AND(D1544=0,B1544=0,B1545&lt;&gt;0),AND(D1544*D1543&lt;0,B1544&lt;&gt;0)),IF(D1544=0,C1544,C1544*(1-ABS(D1544)/(ABS(D1544)+ABS(D1543)))+C1543*(1-ABS(D1543)/(ABS(D1544)+ABS(D1543)))),"")))</f>
        <v>#NAME?</v>
      </c>
    </row>
    <row r="1545" spans="2:5" x14ac:dyDescent="0.25">
      <c r="B1545" t="e">
        <f t="shared" ca="1" si="49"/>
        <v>#NAME?</v>
      </c>
      <c r="C1545">
        <v>1502</v>
      </c>
      <c r="D1545" t="e">
        <f t="shared" ca="1" si="48"/>
        <v>#NAME?</v>
      </c>
      <c r="E1545" s="115" t="e">
        <f t="array" aca="1" ref="E1545" ca="1">IF(OR(C1544=0,AND(B1546=0,C1546=0)),"",IFERROR(INDEX($F$27:$F$36,MATCH(C1545,($F$27:$F$36)*($D$27:$D$36&lt;&gt;0),0)),IF(OR(AND(D1545=0,B1545=0,B1546&lt;&gt;0),AND(D1545*D1544&lt;0,B1545&lt;&gt;0)),IF(D1545=0,C1545,C1545*(1-ABS(D1545)/(ABS(D1545)+ABS(D1544)))+C1544*(1-ABS(D1544)/(ABS(D1545)+ABS(D1544)))),"")))</f>
        <v>#NAME?</v>
      </c>
    </row>
    <row r="1546" spans="2:5" x14ac:dyDescent="0.25">
      <c r="B1546" t="e">
        <f t="shared" ca="1" si="49"/>
        <v>#NAME?</v>
      </c>
      <c r="C1546">
        <v>1503</v>
      </c>
      <c r="D1546" t="e">
        <f t="shared" ca="1" si="48"/>
        <v>#NAME?</v>
      </c>
      <c r="E1546" s="115" t="e">
        <f t="array" aca="1" ref="E1546" ca="1">IF(OR(C1545=0,AND(B1547=0,C1547=0)),"",IFERROR(INDEX($F$27:$F$36,MATCH(C1546,($F$27:$F$36)*($D$27:$D$36&lt;&gt;0),0)),IF(OR(AND(D1546=0,B1546=0,B1547&lt;&gt;0),AND(D1546*D1545&lt;0,B1546&lt;&gt;0)),IF(D1546=0,C1546,C1546*(1-ABS(D1546)/(ABS(D1546)+ABS(D1545)))+C1545*(1-ABS(D1545)/(ABS(D1546)+ABS(D1545)))),"")))</f>
        <v>#NAME?</v>
      </c>
    </row>
    <row r="1547" spans="2:5" x14ac:dyDescent="0.25">
      <c r="B1547" t="e">
        <f t="shared" ca="1" si="49"/>
        <v>#NAME?</v>
      </c>
      <c r="C1547">
        <v>1504</v>
      </c>
      <c r="D1547" t="e">
        <f t="shared" ca="1" si="48"/>
        <v>#NAME?</v>
      </c>
      <c r="E1547" s="115" t="e">
        <f t="array" aca="1" ref="E1547" ca="1">IF(OR(C1546=0,AND(B1548=0,C1548=0)),"",IFERROR(INDEX($F$27:$F$36,MATCH(C1547,($F$27:$F$36)*($D$27:$D$36&lt;&gt;0),0)),IF(OR(AND(D1547=0,B1547=0,B1548&lt;&gt;0),AND(D1547*D1546&lt;0,B1547&lt;&gt;0)),IF(D1547=0,C1547,C1547*(1-ABS(D1547)/(ABS(D1547)+ABS(D1546)))+C1546*(1-ABS(D1546)/(ABS(D1547)+ABS(D1546)))),"")))</f>
        <v>#NAME?</v>
      </c>
    </row>
    <row r="1548" spans="2:5" x14ac:dyDescent="0.25">
      <c r="B1548" t="e">
        <f t="shared" ca="1" si="49"/>
        <v>#NAME?</v>
      </c>
      <c r="C1548">
        <v>1505</v>
      </c>
      <c r="D1548" t="e">
        <f t="shared" ca="1" si="48"/>
        <v>#NAME?</v>
      </c>
      <c r="E1548" s="115" t="e">
        <f t="array" aca="1" ref="E1548" ca="1">IF(OR(C1547=0,AND(B1549=0,C1549=0)),"",IFERROR(INDEX($F$27:$F$36,MATCH(C1548,($F$27:$F$36)*($D$27:$D$36&lt;&gt;0),0)),IF(OR(AND(D1548=0,B1548=0,B1549&lt;&gt;0),AND(D1548*D1547&lt;0,B1548&lt;&gt;0)),IF(D1548=0,C1548,C1548*(1-ABS(D1548)/(ABS(D1548)+ABS(D1547)))+C1547*(1-ABS(D1547)/(ABS(D1548)+ABS(D1547)))),"")))</f>
        <v>#NAME?</v>
      </c>
    </row>
    <row r="1549" spans="2:5" x14ac:dyDescent="0.25">
      <c r="B1549" t="e">
        <f t="shared" ca="1" si="49"/>
        <v>#NAME?</v>
      </c>
      <c r="C1549">
        <v>1506</v>
      </c>
      <c r="D1549" t="e">
        <f t="shared" ca="1" si="48"/>
        <v>#NAME?</v>
      </c>
      <c r="E1549" s="115" t="e">
        <f t="array" aca="1" ref="E1549" ca="1">IF(OR(C1548=0,AND(B1550=0,C1550=0)),"",IFERROR(INDEX($F$27:$F$36,MATCH(C1549,($F$27:$F$36)*($D$27:$D$36&lt;&gt;0),0)),IF(OR(AND(D1549=0,B1549=0,B1550&lt;&gt;0),AND(D1549*D1548&lt;0,B1549&lt;&gt;0)),IF(D1549=0,C1549,C1549*(1-ABS(D1549)/(ABS(D1549)+ABS(D1548)))+C1548*(1-ABS(D1548)/(ABS(D1549)+ABS(D1548)))),"")))</f>
        <v>#NAME?</v>
      </c>
    </row>
    <row r="1550" spans="2:5" x14ac:dyDescent="0.25">
      <c r="B1550" t="e">
        <f t="shared" ca="1" si="49"/>
        <v>#NAME?</v>
      </c>
      <c r="C1550">
        <v>1507</v>
      </c>
      <c r="D1550" t="e">
        <f t="shared" ca="1" si="48"/>
        <v>#NAME?</v>
      </c>
      <c r="E1550" s="115" t="e">
        <f t="array" aca="1" ref="E1550" ca="1">IF(OR(C1549=0,AND(B1551=0,C1551=0)),"",IFERROR(INDEX($F$27:$F$36,MATCH(C1550,($F$27:$F$36)*($D$27:$D$36&lt;&gt;0),0)),IF(OR(AND(D1550=0,B1550=0,B1551&lt;&gt;0),AND(D1550*D1549&lt;0,B1550&lt;&gt;0)),IF(D1550=0,C1550,C1550*(1-ABS(D1550)/(ABS(D1550)+ABS(D1549)))+C1549*(1-ABS(D1549)/(ABS(D1550)+ABS(D1549)))),"")))</f>
        <v>#NAME?</v>
      </c>
    </row>
    <row r="1551" spans="2:5" x14ac:dyDescent="0.25">
      <c r="B1551" t="e">
        <f t="shared" ca="1" si="49"/>
        <v>#NAME?</v>
      </c>
      <c r="C1551">
        <v>1508</v>
      </c>
      <c r="D1551" t="e">
        <f t="shared" ca="1" si="48"/>
        <v>#NAME?</v>
      </c>
      <c r="E1551" s="115" t="e">
        <f t="array" aca="1" ref="E1551" ca="1">IF(OR(C1550=0,AND(B1552=0,C1552=0)),"",IFERROR(INDEX($F$27:$F$36,MATCH(C1551,($F$27:$F$36)*($D$27:$D$36&lt;&gt;0),0)),IF(OR(AND(D1551=0,B1551=0,B1552&lt;&gt;0),AND(D1551*D1550&lt;0,B1551&lt;&gt;0)),IF(D1551=0,C1551,C1551*(1-ABS(D1551)/(ABS(D1551)+ABS(D1550)))+C1550*(1-ABS(D1550)/(ABS(D1551)+ABS(D1550)))),"")))</f>
        <v>#NAME?</v>
      </c>
    </row>
    <row r="1552" spans="2:5" x14ac:dyDescent="0.25">
      <c r="B1552" t="e">
        <f t="shared" ca="1" si="49"/>
        <v>#NAME?</v>
      </c>
      <c r="C1552">
        <v>1509</v>
      </c>
      <c r="D1552" t="e">
        <f t="shared" ca="1" si="48"/>
        <v>#NAME?</v>
      </c>
      <c r="E1552" s="115" t="e">
        <f t="array" aca="1" ref="E1552" ca="1">IF(OR(C1551=0,AND(B1553=0,C1553=0)),"",IFERROR(INDEX($F$27:$F$36,MATCH(C1552,($F$27:$F$36)*($D$27:$D$36&lt;&gt;0),0)),IF(OR(AND(D1552=0,B1552=0,B1553&lt;&gt;0),AND(D1552*D1551&lt;0,B1552&lt;&gt;0)),IF(D1552=0,C1552,C1552*(1-ABS(D1552)/(ABS(D1552)+ABS(D1551)))+C1551*(1-ABS(D1551)/(ABS(D1552)+ABS(D1551)))),"")))</f>
        <v>#NAME?</v>
      </c>
    </row>
    <row r="1553" spans="2:5" x14ac:dyDescent="0.25">
      <c r="B1553" t="e">
        <f t="shared" ca="1" si="49"/>
        <v>#NAME?</v>
      </c>
      <c r="C1553">
        <v>1510</v>
      </c>
      <c r="D1553" t="e">
        <f t="shared" ca="1" si="48"/>
        <v>#NAME?</v>
      </c>
      <c r="E1553" s="115" t="e">
        <f t="array" aca="1" ref="E1553" ca="1">IF(OR(C1552=0,AND(B1554=0,C1554=0)),"",IFERROR(INDEX($F$27:$F$36,MATCH(C1553,($F$27:$F$36)*($D$27:$D$36&lt;&gt;0),0)),IF(OR(AND(D1553=0,B1553=0,B1554&lt;&gt;0),AND(D1553*D1552&lt;0,B1553&lt;&gt;0)),IF(D1553=0,C1553,C1553*(1-ABS(D1553)/(ABS(D1553)+ABS(D1552)))+C1552*(1-ABS(D1552)/(ABS(D1553)+ABS(D1552)))),"")))</f>
        <v>#NAME?</v>
      </c>
    </row>
    <row r="1554" spans="2:5" x14ac:dyDescent="0.25">
      <c r="B1554" t="e">
        <f t="shared" ca="1" si="49"/>
        <v>#NAME?</v>
      </c>
      <c r="C1554">
        <v>1511</v>
      </c>
      <c r="D1554" t="e">
        <f t="shared" ca="1" si="48"/>
        <v>#NAME?</v>
      </c>
      <c r="E1554" s="115" t="e">
        <f t="array" aca="1" ref="E1554" ca="1">IF(OR(C1553=0,AND(B1555=0,C1555=0)),"",IFERROR(INDEX($F$27:$F$36,MATCH(C1554,($F$27:$F$36)*($D$27:$D$36&lt;&gt;0),0)),IF(OR(AND(D1554=0,B1554=0,B1555&lt;&gt;0),AND(D1554*D1553&lt;0,B1554&lt;&gt;0)),IF(D1554=0,C1554,C1554*(1-ABS(D1554)/(ABS(D1554)+ABS(D1553)))+C1553*(1-ABS(D1553)/(ABS(D1554)+ABS(D1553)))),"")))</f>
        <v>#NAME?</v>
      </c>
    </row>
    <row r="1555" spans="2:5" x14ac:dyDescent="0.25">
      <c r="B1555" t="e">
        <f t="shared" ca="1" si="49"/>
        <v>#NAME?</v>
      </c>
      <c r="C1555">
        <v>1512</v>
      </c>
      <c r="D1555" t="e">
        <f t="shared" ca="1" si="48"/>
        <v>#NAME?</v>
      </c>
      <c r="E1555" s="115" t="e">
        <f t="array" aca="1" ref="E1555" ca="1">IF(OR(C1554=0,AND(B1556=0,C1556=0)),"",IFERROR(INDEX($F$27:$F$36,MATCH(C1555,($F$27:$F$36)*($D$27:$D$36&lt;&gt;0),0)),IF(OR(AND(D1555=0,B1555=0,B1556&lt;&gt;0),AND(D1555*D1554&lt;0,B1555&lt;&gt;0)),IF(D1555=0,C1555,C1555*(1-ABS(D1555)/(ABS(D1555)+ABS(D1554)))+C1554*(1-ABS(D1554)/(ABS(D1555)+ABS(D1554)))),"")))</f>
        <v>#NAME?</v>
      </c>
    </row>
    <row r="1556" spans="2:5" x14ac:dyDescent="0.25">
      <c r="B1556" t="e">
        <f t="shared" ca="1" si="49"/>
        <v>#NAME?</v>
      </c>
      <c r="C1556">
        <v>1513</v>
      </c>
      <c r="D1556" t="e">
        <f t="shared" ca="1" si="48"/>
        <v>#NAME?</v>
      </c>
      <c r="E1556" s="115" t="e">
        <f t="array" aca="1" ref="E1556" ca="1">IF(OR(C1555=0,AND(B1557=0,C1557=0)),"",IFERROR(INDEX($F$27:$F$36,MATCH(C1556,($F$27:$F$36)*($D$27:$D$36&lt;&gt;0),0)),IF(OR(AND(D1556=0,B1556=0,B1557&lt;&gt;0),AND(D1556*D1555&lt;0,B1556&lt;&gt;0)),IF(D1556=0,C1556,C1556*(1-ABS(D1556)/(ABS(D1556)+ABS(D1555)))+C1555*(1-ABS(D1555)/(ABS(D1556)+ABS(D1555)))),"")))</f>
        <v>#NAME?</v>
      </c>
    </row>
    <row r="1557" spans="2:5" x14ac:dyDescent="0.25">
      <c r="B1557" t="e">
        <f t="shared" ca="1" si="49"/>
        <v>#NAME?</v>
      </c>
      <c r="C1557">
        <v>1514</v>
      </c>
      <c r="D1557" t="e">
        <f t="shared" ca="1" si="48"/>
        <v>#NAME?</v>
      </c>
      <c r="E1557" s="115" t="e">
        <f t="array" aca="1" ref="E1557" ca="1">IF(OR(C1556=0,AND(B1558=0,C1558=0)),"",IFERROR(INDEX($F$27:$F$36,MATCH(C1557,($F$27:$F$36)*($D$27:$D$36&lt;&gt;0),0)),IF(OR(AND(D1557=0,B1557=0,B1558&lt;&gt;0),AND(D1557*D1556&lt;0,B1557&lt;&gt;0)),IF(D1557=0,C1557,C1557*(1-ABS(D1557)/(ABS(D1557)+ABS(D1556)))+C1556*(1-ABS(D1556)/(ABS(D1557)+ABS(D1556)))),"")))</f>
        <v>#NAME?</v>
      </c>
    </row>
    <row r="1558" spans="2:5" x14ac:dyDescent="0.25">
      <c r="B1558" t="e">
        <f t="shared" ca="1" si="49"/>
        <v>#NAME?</v>
      </c>
      <c r="C1558">
        <v>1515</v>
      </c>
      <c r="D1558" t="e">
        <f t="shared" ca="1" si="48"/>
        <v>#NAME?</v>
      </c>
      <c r="E1558" s="115" t="e">
        <f t="array" aca="1" ref="E1558" ca="1">IF(OR(C1557=0,AND(B1559=0,C1559=0)),"",IFERROR(INDEX($F$27:$F$36,MATCH(C1558,($F$27:$F$36)*($D$27:$D$36&lt;&gt;0),0)),IF(OR(AND(D1558=0,B1558=0,B1559&lt;&gt;0),AND(D1558*D1557&lt;0,B1558&lt;&gt;0)),IF(D1558=0,C1558,C1558*(1-ABS(D1558)/(ABS(D1558)+ABS(D1557)))+C1557*(1-ABS(D1557)/(ABS(D1558)+ABS(D1557)))),"")))</f>
        <v>#NAME?</v>
      </c>
    </row>
    <row r="1559" spans="2:5" x14ac:dyDescent="0.25">
      <c r="B1559" t="e">
        <f t="shared" ca="1" si="49"/>
        <v>#NAME?</v>
      </c>
      <c r="C1559">
        <v>1516</v>
      </c>
      <c r="D1559" t="e">
        <f t="shared" ca="1" si="48"/>
        <v>#NAME?</v>
      </c>
      <c r="E1559" s="115" t="e">
        <f t="array" aca="1" ref="E1559" ca="1">IF(OR(C1558=0,AND(B1560=0,C1560=0)),"",IFERROR(INDEX($F$27:$F$36,MATCH(C1559,($F$27:$F$36)*($D$27:$D$36&lt;&gt;0),0)),IF(OR(AND(D1559=0,B1559=0,B1560&lt;&gt;0),AND(D1559*D1558&lt;0,B1559&lt;&gt;0)),IF(D1559=0,C1559,C1559*(1-ABS(D1559)/(ABS(D1559)+ABS(D1558)))+C1558*(1-ABS(D1558)/(ABS(D1559)+ABS(D1558)))),"")))</f>
        <v>#NAME?</v>
      </c>
    </row>
    <row r="1560" spans="2:5" x14ac:dyDescent="0.25">
      <c r="B1560" t="e">
        <f t="shared" ca="1" si="49"/>
        <v>#NAME?</v>
      </c>
      <c r="C1560">
        <v>1517</v>
      </c>
      <c r="D1560" t="e">
        <f t="shared" ca="1" si="48"/>
        <v>#NAME?</v>
      </c>
      <c r="E1560" s="115" t="e">
        <f t="array" aca="1" ref="E1560" ca="1">IF(OR(C1559=0,AND(B1561=0,C1561=0)),"",IFERROR(INDEX($F$27:$F$36,MATCH(C1560,($F$27:$F$36)*($D$27:$D$36&lt;&gt;0),0)),IF(OR(AND(D1560=0,B1560=0,B1561&lt;&gt;0),AND(D1560*D1559&lt;0,B1560&lt;&gt;0)),IF(D1560=0,C1560,C1560*(1-ABS(D1560)/(ABS(D1560)+ABS(D1559)))+C1559*(1-ABS(D1559)/(ABS(D1560)+ABS(D1559)))),"")))</f>
        <v>#NAME?</v>
      </c>
    </row>
    <row r="1561" spans="2:5" x14ac:dyDescent="0.25">
      <c r="B1561" t="e">
        <f t="shared" ca="1" si="49"/>
        <v>#NAME?</v>
      </c>
      <c r="C1561">
        <v>1518</v>
      </c>
      <c r="D1561" t="e">
        <f t="shared" ca="1" si="48"/>
        <v>#NAME?</v>
      </c>
      <c r="E1561" s="115" t="e">
        <f t="array" aca="1" ref="E1561" ca="1">IF(OR(C1560=0,AND(B1562=0,C1562=0)),"",IFERROR(INDEX($F$27:$F$36,MATCH(C1561,($F$27:$F$36)*($D$27:$D$36&lt;&gt;0),0)),IF(OR(AND(D1561=0,B1561=0,B1562&lt;&gt;0),AND(D1561*D1560&lt;0,B1561&lt;&gt;0)),IF(D1561=0,C1561,C1561*(1-ABS(D1561)/(ABS(D1561)+ABS(D1560)))+C1560*(1-ABS(D1560)/(ABS(D1561)+ABS(D1560)))),"")))</f>
        <v>#NAME?</v>
      </c>
    </row>
    <row r="1562" spans="2:5" x14ac:dyDescent="0.25">
      <c r="B1562" t="e">
        <f t="shared" ca="1" si="49"/>
        <v>#NAME?</v>
      </c>
      <c r="C1562">
        <v>1519</v>
      </c>
      <c r="D1562" t="e">
        <f t="shared" ca="1" si="48"/>
        <v>#NAME?</v>
      </c>
      <c r="E1562" s="115" t="e">
        <f t="array" aca="1" ref="E1562" ca="1">IF(OR(C1561=0,AND(B1563=0,C1563=0)),"",IFERROR(INDEX($F$27:$F$36,MATCH(C1562,($F$27:$F$36)*($D$27:$D$36&lt;&gt;0),0)),IF(OR(AND(D1562=0,B1562=0,B1563&lt;&gt;0),AND(D1562*D1561&lt;0,B1562&lt;&gt;0)),IF(D1562=0,C1562,C1562*(1-ABS(D1562)/(ABS(D1562)+ABS(D1561)))+C1561*(1-ABS(D1561)/(ABS(D1562)+ABS(D1561)))),"")))</f>
        <v>#NAME?</v>
      </c>
    </row>
    <row r="1563" spans="2:5" x14ac:dyDescent="0.25">
      <c r="B1563" t="e">
        <f t="shared" ca="1" si="49"/>
        <v>#NAME?</v>
      </c>
      <c r="C1563">
        <v>1520</v>
      </c>
      <c r="D1563" t="e">
        <f t="shared" ca="1" si="48"/>
        <v>#NAME?</v>
      </c>
      <c r="E1563" s="115" t="e">
        <f t="array" aca="1" ref="E1563" ca="1">IF(OR(C1562=0,AND(B1564=0,C1564=0)),"",IFERROR(INDEX($F$27:$F$36,MATCH(C1563,($F$27:$F$36)*($D$27:$D$36&lt;&gt;0),0)),IF(OR(AND(D1563=0,B1563=0,B1564&lt;&gt;0),AND(D1563*D1562&lt;0,B1563&lt;&gt;0)),IF(D1563=0,C1563,C1563*(1-ABS(D1563)/(ABS(D1563)+ABS(D1562)))+C1562*(1-ABS(D1562)/(ABS(D1563)+ABS(D1562)))),"")))</f>
        <v>#NAME?</v>
      </c>
    </row>
    <row r="1564" spans="2:5" x14ac:dyDescent="0.25">
      <c r="B1564" t="e">
        <f t="shared" ca="1" si="49"/>
        <v>#NAME?</v>
      </c>
      <c r="C1564">
        <v>1521</v>
      </c>
      <c r="D1564" t="e">
        <f t="shared" ca="1" si="48"/>
        <v>#NAME?</v>
      </c>
      <c r="E1564" s="115" t="e">
        <f t="array" aca="1" ref="E1564" ca="1">IF(OR(C1563=0,AND(B1565=0,C1565=0)),"",IFERROR(INDEX($F$27:$F$36,MATCH(C1564,($F$27:$F$36)*($D$27:$D$36&lt;&gt;0),0)),IF(OR(AND(D1564=0,B1564=0,B1565&lt;&gt;0),AND(D1564*D1563&lt;0,B1564&lt;&gt;0)),IF(D1564=0,C1564,C1564*(1-ABS(D1564)/(ABS(D1564)+ABS(D1563)))+C1563*(1-ABS(D1563)/(ABS(D1564)+ABS(D1563)))),"")))</f>
        <v>#NAME?</v>
      </c>
    </row>
    <row r="1565" spans="2:5" x14ac:dyDescent="0.25">
      <c r="B1565" t="e">
        <f t="shared" ca="1" si="49"/>
        <v>#NAME?</v>
      </c>
      <c r="C1565">
        <v>1522</v>
      </c>
      <c r="D1565" t="e">
        <f t="shared" ca="1" si="48"/>
        <v>#NAME?</v>
      </c>
      <c r="E1565" s="115" t="e">
        <f t="array" aca="1" ref="E1565" ca="1">IF(OR(C1564=0,AND(B1566=0,C1566=0)),"",IFERROR(INDEX($F$27:$F$36,MATCH(C1565,($F$27:$F$36)*($D$27:$D$36&lt;&gt;0),0)),IF(OR(AND(D1565=0,B1565=0,B1566&lt;&gt;0),AND(D1565*D1564&lt;0,B1565&lt;&gt;0)),IF(D1565=0,C1565,C1565*(1-ABS(D1565)/(ABS(D1565)+ABS(D1564)))+C1564*(1-ABS(D1564)/(ABS(D1565)+ABS(D1564)))),"")))</f>
        <v>#NAME?</v>
      </c>
    </row>
    <row r="1566" spans="2:5" x14ac:dyDescent="0.25">
      <c r="B1566" t="e">
        <f t="shared" ca="1" si="49"/>
        <v>#NAME?</v>
      </c>
      <c r="C1566">
        <v>1523</v>
      </c>
      <c r="D1566" t="e">
        <f t="shared" ca="1" si="48"/>
        <v>#NAME?</v>
      </c>
      <c r="E1566" s="115" t="e">
        <f t="array" aca="1" ref="E1566" ca="1">IF(OR(C1565=0,AND(B1567=0,C1567=0)),"",IFERROR(INDEX($F$27:$F$36,MATCH(C1566,($F$27:$F$36)*($D$27:$D$36&lt;&gt;0),0)),IF(OR(AND(D1566=0,B1566=0,B1567&lt;&gt;0),AND(D1566*D1565&lt;0,B1566&lt;&gt;0)),IF(D1566=0,C1566,C1566*(1-ABS(D1566)/(ABS(D1566)+ABS(D1565)))+C1565*(1-ABS(D1565)/(ABS(D1566)+ABS(D1565)))),"")))</f>
        <v>#NAME?</v>
      </c>
    </row>
    <row r="1567" spans="2:5" x14ac:dyDescent="0.25">
      <c r="B1567" t="e">
        <f t="shared" ca="1" si="49"/>
        <v>#NAME?</v>
      </c>
      <c r="C1567">
        <v>1524</v>
      </c>
      <c r="D1567" t="e">
        <f t="shared" ca="1" si="48"/>
        <v>#NAME?</v>
      </c>
      <c r="E1567" s="115" t="e">
        <f t="array" aca="1" ref="E1567" ca="1">IF(OR(C1566=0,AND(B1568=0,C1568=0)),"",IFERROR(INDEX($F$27:$F$36,MATCH(C1567,($F$27:$F$36)*($D$27:$D$36&lt;&gt;0),0)),IF(OR(AND(D1567=0,B1567=0,B1568&lt;&gt;0),AND(D1567*D1566&lt;0,B1567&lt;&gt;0)),IF(D1567=0,C1567,C1567*(1-ABS(D1567)/(ABS(D1567)+ABS(D1566)))+C1566*(1-ABS(D1566)/(ABS(D1567)+ABS(D1566)))),"")))</f>
        <v>#NAME?</v>
      </c>
    </row>
    <row r="1568" spans="2:5" x14ac:dyDescent="0.25">
      <c r="B1568" t="e">
        <f t="shared" ca="1" si="49"/>
        <v>#NAME?</v>
      </c>
      <c r="C1568">
        <v>1525</v>
      </c>
      <c r="D1568" t="e">
        <f t="shared" ca="1" si="48"/>
        <v>#NAME?</v>
      </c>
      <c r="E1568" s="115" t="e">
        <f t="array" aca="1" ref="E1568" ca="1">IF(OR(C1567=0,AND(B1569=0,C1569=0)),"",IFERROR(INDEX($F$27:$F$36,MATCH(C1568,($F$27:$F$36)*($D$27:$D$36&lt;&gt;0),0)),IF(OR(AND(D1568=0,B1568=0,B1569&lt;&gt;0),AND(D1568*D1567&lt;0,B1568&lt;&gt;0)),IF(D1568=0,C1568,C1568*(1-ABS(D1568)/(ABS(D1568)+ABS(D1567)))+C1567*(1-ABS(D1567)/(ABS(D1568)+ABS(D1567)))),"")))</f>
        <v>#NAME?</v>
      </c>
    </row>
    <row r="1569" spans="2:5" x14ac:dyDescent="0.25">
      <c r="B1569" t="e">
        <f t="shared" ca="1" si="49"/>
        <v>#NAME?</v>
      </c>
      <c r="C1569">
        <v>1526</v>
      </c>
      <c r="D1569" t="e">
        <f t="shared" ca="1" si="48"/>
        <v>#NAME?</v>
      </c>
      <c r="E1569" s="115" t="e">
        <f t="array" aca="1" ref="E1569" ca="1">IF(OR(C1568=0,AND(B1570=0,C1570=0)),"",IFERROR(INDEX($F$27:$F$36,MATCH(C1569,($F$27:$F$36)*($D$27:$D$36&lt;&gt;0),0)),IF(OR(AND(D1569=0,B1569=0,B1570&lt;&gt;0),AND(D1569*D1568&lt;0,B1569&lt;&gt;0)),IF(D1569=0,C1569,C1569*(1-ABS(D1569)/(ABS(D1569)+ABS(D1568)))+C1568*(1-ABS(D1568)/(ABS(D1569)+ABS(D1568)))),"")))</f>
        <v>#NAME?</v>
      </c>
    </row>
    <row r="1570" spans="2:5" x14ac:dyDescent="0.25">
      <c r="B1570" t="e">
        <f t="shared" ca="1" si="49"/>
        <v>#NAME?</v>
      </c>
      <c r="C1570">
        <v>1527</v>
      </c>
      <c r="D1570" t="e">
        <f t="shared" ca="1" si="48"/>
        <v>#NAME?</v>
      </c>
      <c r="E1570" s="115" t="e">
        <f t="array" aca="1" ref="E1570" ca="1">IF(OR(C1569=0,AND(B1571=0,C1571=0)),"",IFERROR(INDEX($F$27:$F$36,MATCH(C1570,($F$27:$F$36)*($D$27:$D$36&lt;&gt;0),0)),IF(OR(AND(D1570=0,B1570=0,B1571&lt;&gt;0),AND(D1570*D1569&lt;0,B1570&lt;&gt;0)),IF(D1570=0,C1570,C1570*(1-ABS(D1570)/(ABS(D1570)+ABS(D1569)))+C1569*(1-ABS(D1569)/(ABS(D1570)+ABS(D1569)))),"")))</f>
        <v>#NAME?</v>
      </c>
    </row>
    <row r="1571" spans="2:5" x14ac:dyDescent="0.25">
      <c r="B1571" t="e">
        <f t="shared" ca="1" si="49"/>
        <v>#NAME?</v>
      </c>
      <c r="C1571">
        <v>1528</v>
      </c>
      <c r="D1571" t="e">
        <f t="shared" ca="1" si="48"/>
        <v>#NAME?</v>
      </c>
      <c r="E1571" s="115" t="e">
        <f t="array" aca="1" ref="E1571" ca="1">IF(OR(C1570=0,AND(B1572=0,C1572=0)),"",IFERROR(INDEX($F$27:$F$36,MATCH(C1571,($F$27:$F$36)*($D$27:$D$36&lt;&gt;0),0)),IF(OR(AND(D1571=0,B1571=0,B1572&lt;&gt;0),AND(D1571*D1570&lt;0,B1571&lt;&gt;0)),IF(D1571=0,C1571,C1571*(1-ABS(D1571)/(ABS(D1571)+ABS(D1570)))+C1570*(1-ABS(D1570)/(ABS(D1571)+ABS(D1570)))),"")))</f>
        <v>#NAME?</v>
      </c>
    </row>
    <row r="1572" spans="2:5" x14ac:dyDescent="0.25">
      <c r="B1572" t="e">
        <f t="shared" ca="1" si="49"/>
        <v>#NAME?</v>
      </c>
      <c r="C1572">
        <v>1529</v>
      </c>
      <c r="D1572" t="e">
        <f t="shared" ca="1" si="48"/>
        <v>#NAME?</v>
      </c>
      <c r="E1572" s="115" t="e">
        <f t="array" aca="1" ref="E1572" ca="1">IF(OR(C1571=0,AND(B1573=0,C1573=0)),"",IFERROR(INDEX($F$27:$F$36,MATCH(C1572,($F$27:$F$36)*($D$27:$D$36&lt;&gt;0),0)),IF(OR(AND(D1572=0,B1572=0,B1573&lt;&gt;0),AND(D1572*D1571&lt;0,B1572&lt;&gt;0)),IF(D1572=0,C1572,C1572*(1-ABS(D1572)/(ABS(D1572)+ABS(D1571)))+C1571*(1-ABS(D1571)/(ABS(D1572)+ABS(D1571)))),"")))</f>
        <v>#NAME?</v>
      </c>
    </row>
    <row r="1573" spans="2:5" x14ac:dyDescent="0.25">
      <c r="B1573" t="e">
        <f t="shared" ca="1" si="49"/>
        <v>#NAME?</v>
      </c>
      <c r="C1573">
        <v>1530</v>
      </c>
      <c r="D1573" t="e">
        <f t="shared" ca="1" si="48"/>
        <v>#NAME?</v>
      </c>
      <c r="E1573" s="115" t="e">
        <f t="array" aca="1" ref="E1573" ca="1">IF(OR(C1572=0,AND(B1574=0,C1574=0)),"",IFERROR(INDEX($F$27:$F$36,MATCH(C1573,($F$27:$F$36)*($D$27:$D$36&lt;&gt;0),0)),IF(OR(AND(D1573=0,B1573=0,B1574&lt;&gt;0),AND(D1573*D1572&lt;0,B1573&lt;&gt;0)),IF(D1573=0,C1573,C1573*(1-ABS(D1573)/(ABS(D1573)+ABS(D1572)))+C1572*(1-ABS(D1572)/(ABS(D1573)+ABS(D1572)))),"")))</f>
        <v>#NAME?</v>
      </c>
    </row>
    <row r="1574" spans="2:5" x14ac:dyDescent="0.25">
      <c r="B1574" t="e">
        <f t="shared" ca="1" si="49"/>
        <v>#NAME?</v>
      </c>
      <c r="C1574">
        <v>1531</v>
      </c>
      <c r="D1574" t="e">
        <f t="shared" ca="1" si="48"/>
        <v>#NAME?</v>
      </c>
      <c r="E1574" s="115" t="e">
        <f t="array" aca="1" ref="E1574" ca="1">IF(OR(C1573=0,AND(B1575=0,C1575=0)),"",IFERROR(INDEX($F$27:$F$36,MATCH(C1574,($F$27:$F$36)*($D$27:$D$36&lt;&gt;0),0)),IF(OR(AND(D1574=0,B1574=0,B1575&lt;&gt;0),AND(D1574*D1573&lt;0,B1574&lt;&gt;0)),IF(D1574=0,C1574,C1574*(1-ABS(D1574)/(ABS(D1574)+ABS(D1573)))+C1573*(1-ABS(D1573)/(ABS(D1574)+ABS(D1573)))),"")))</f>
        <v>#NAME?</v>
      </c>
    </row>
    <row r="1575" spans="2:5" x14ac:dyDescent="0.25">
      <c r="B1575" t="e">
        <f t="shared" ca="1" si="49"/>
        <v>#NAME?</v>
      </c>
      <c r="C1575">
        <v>1532</v>
      </c>
      <c r="D1575" t="e">
        <f t="shared" ca="1" si="48"/>
        <v>#NAME?</v>
      </c>
      <c r="E1575" s="115" t="e">
        <f t="array" aca="1" ref="E1575" ca="1">IF(OR(C1574=0,AND(B1576=0,C1576=0)),"",IFERROR(INDEX($F$27:$F$36,MATCH(C1575,($F$27:$F$36)*($D$27:$D$36&lt;&gt;0),0)),IF(OR(AND(D1575=0,B1575=0,B1576&lt;&gt;0),AND(D1575*D1574&lt;0,B1575&lt;&gt;0)),IF(D1575=0,C1575,C1575*(1-ABS(D1575)/(ABS(D1575)+ABS(D1574)))+C1574*(1-ABS(D1574)/(ABS(D1575)+ABS(D1574)))),"")))</f>
        <v>#NAME?</v>
      </c>
    </row>
    <row r="1576" spans="2:5" x14ac:dyDescent="0.25">
      <c r="B1576" t="e">
        <f t="shared" ca="1" si="49"/>
        <v>#NAME?</v>
      </c>
      <c r="C1576">
        <v>1533</v>
      </c>
      <c r="D1576" t="e">
        <f t="shared" ca="1" si="48"/>
        <v>#NAME?</v>
      </c>
      <c r="E1576" s="115" t="e">
        <f t="array" aca="1" ref="E1576" ca="1">IF(OR(C1575=0,AND(B1577=0,C1577=0)),"",IFERROR(INDEX($F$27:$F$36,MATCH(C1576,($F$27:$F$36)*($D$27:$D$36&lt;&gt;0),0)),IF(OR(AND(D1576=0,B1576=0,B1577&lt;&gt;0),AND(D1576*D1575&lt;0,B1576&lt;&gt;0)),IF(D1576=0,C1576,C1576*(1-ABS(D1576)/(ABS(D1576)+ABS(D1575)))+C1575*(1-ABS(D1575)/(ABS(D1576)+ABS(D1575)))),"")))</f>
        <v>#NAME?</v>
      </c>
    </row>
    <row r="1577" spans="2:5" x14ac:dyDescent="0.25">
      <c r="B1577" t="e">
        <f t="shared" ca="1" si="49"/>
        <v>#NAME?</v>
      </c>
      <c r="C1577">
        <v>1534</v>
      </c>
      <c r="D1577" t="e">
        <f t="shared" ca="1" si="48"/>
        <v>#NAME?</v>
      </c>
      <c r="E1577" s="115" t="e">
        <f t="array" aca="1" ref="E1577" ca="1">IF(OR(C1576=0,AND(B1578=0,C1578=0)),"",IFERROR(INDEX($F$27:$F$36,MATCH(C1577,($F$27:$F$36)*($D$27:$D$36&lt;&gt;0),0)),IF(OR(AND(D1577=0,B1577=0,B1578&lt;&gt;0),AND(D1577*D1576&lt;0,B1577&lt;&gt;0)),IF(D1577=0,C1577,C1577*(1-ABS(D1577)/(ABS(D1577)+ABS(D1576)))+C1576*(1-ABS(D1576)/(ABS(D1577)+ABS(D1576)))),"")))</f>
        <v>#NAME?</v>
      </c>
    </row>
    <row r="1578" spans="2:5" x14ac:dyDescent="0.25">
      <c r="B1578" t="e">
        <f t="shared" ca="1" si="49"/>
        <v>#NAME?</v>
      </c>
      <c r="C1578">
        <v>1535</v>
      </c>
      <c r="D1578" t="e">
        <f t="shared" ca="1" si="48"/>
        <v>#NAME?</v>
      </c>
      <c r="E1578" s="115" t="e">
        <f t="array" aca="1" ref="E1578" ca="1">IF(OR(C1577=0,AND(B1579=0,C1579=0)),"",IFERROR(INDEX($F$27:$F$36,MATCH(C1578,($F$27:$F$36)*($D$27:$D$36&lt;&gt;0),0)),IF(OR(AND(D1578=0,B1578=0,B1579&lt;&gt;0),AND(D1578*D1577&lt;0,B1578&lt;&gt;0)),IF(D1578=0,C1578,C1578*(1-ABS(D1578)/(ABS(D1578)+ABS(D1577)))+C1577*(1-ABS(D1577)/(ABS(D1578)+ABS(D1577)))),"")))</f>
        <v>#NAME?</v>
      </c>
    </row>
    <row r="1579" spans="2:5" x14ac:dyDescent="0.25">
      <c r="B1579" t="e">
        <f t="shared" ca="1" si="49"/>
        <v>#NAME?</v>
      </c>
      <c r="C1579">
        <v>1536</v>
      </c>
      <c r="D1579" t="e">
        <f t="shared" ref="D1579:D1642" ca="1" si="50">SUMPRODUCT(--($J$27:$J$37&gt;0),--($C1579-$F$27:$F$37&gt;0),($D$27:$D$37),($C1579-$F$27:$F$37))+SUMPRODUCT(--($J$27:$J$37&lt;0),--($F$27:$F$37-$C1579&gt;0),($D$27:$D$37),($F$27:$F$37-$C1579))-SUMPRODUCT($D$27:$D$37,$E$27:$E$37)</f>
        <v>#NAME?</v>
      </c>
      <c r="E1579" s="115" t="e">
        <f t="array" aca="1" ref="E1579" ca="1">IF(OR(C1578=0,AND(B1580=0,C1580=0)),"",IFERROR(INDEX($F$27:$F$36,MATCH(C1579,($F$27:$F$36)*($D$27:$D$36&lt;&gt;0),0)),IF(OR(AND(D1579=0,B1579=0,B1580&lt;&gt;0),AND(D1579*D1578&lt;0,B1579&lt;&gt;0)),IF(D1579=0,C1579,C1579*(1-ABS(D1579)/(ABS(D1579)+ABS(D1578)))+C1578*(1-ABS(D1578)/(ABS(D1579)+ABS(D1578)))),"")))</f>
        <v>#NAME?</v>
      </c>
    </row>
    <row r="1580" spans="2:5" x14ac:dyDescent="0.25">
      <c r="B1580" t="e">
        <f t="shared" ref="B1580:B1643" ca="1" si="51">ROUND((D1580-D1579)/(C1580-C1579),12)</f>
        <v>#NAME?</v>
      </c>
      <c r="C1580">
        <v>1537</v>
      </c>
      <c r="D1580" t="e">
        <f t="shared" ca="1" si="50"/>
        <v>#NAME?</v>
      </c>
      <c r="E1580" s="115" t="e">
        <f t="array" aca="1" ref="E1580" ca="1">IF(OR(C1579=0,AND(B1581=0,C1581=0)),"",IFERROR(INDEX($F$27:$F$36,MATCH(C1580,($F$27:$F$36)*($D$27:$D$36&lt;&gt;0),0)),IF(OR(AND(D1580=0,B1580=0,B1581&lt;&gt;0),AND(D1580*D1579&lt;0,B1580&lt;&gt;0)),IF(D1580=0,C1580,C1580*(1-ABS(D1580)/(ABS(D1580)+ABS(D1579)))+C1579*(1-ABS(D1579)/(ABS(D1580)+ABS(D1579)))),"")))</f>
        <v>#NAME?</v>
      </c>
    </row>
    <row r="1581" spans="2:5" x14ac:dyDescent="0.25">
      <c r="B1581" t="e">
        <f t="shared" ca="1" si="51"/>
        <v>#NAME?</v>
      </c>
      <c r="C1581">
        <v>1538</v>
      </c>
      <c r="D1581" t="e">
        <f t="shared" ca="1" si="50"/>
        <v>#NAME?</v>
      </c>
      <c r="E1581" s="115" t="e">
        <f t="array" aca="1" ref="E1581" ca="1">IF(OR(C1580=0,AND(B1582=0,C1582=0)),"",IFERROR(INDEX($F$27:$F$36,MATCH(C1581,($F$27:$F$36)*($D$27:$D$36&lt;&gt;0),0)),IF(OR(AND(D1581=0,B1581=0,B1582&lt;&gt;0),AND(D1581*D1580&lt;0,B1581&lt;&gt;0)),IF(D1581=0,C1581,C1581*(1-ABS(D1581)/(ABS(D1581)+ABS(D1580)))+C1580*(1-ABS(D1580)/(ABS(D1581)+ABS(D1580)))),"")))</f>
        <v>#NAME?</v>
      </c>
    </row>
    <row r="1582" spans="2:5" x14ac:dyDescent="0.25">
      <c r="B1582" t="e">
        <f t="shared" ca="1" si="51"/>
        <v>#NAME?</v>
      </c>
      <c r="C1582">
        <v>1539</v>
      </c>
      <c r="D1582" t="e">
        <f t="shared" ca="1" si="50"/>
        <v>#NAME?</v>
      </c>
      <c r="E1582" s="115" t="e">
        <f t="array" aca="1" ref="E1582" ca="1">IF(OR(C1581=0,AND(B1583=0,C1583=0)),"",IFERROR(INDEX($F$27:$F$36,MATCH(C1582,($F$27:$F$36)*($D$27:$D$36&lt;&gt;0),0)),IF(OR(AND(D1582=0,B1582=0,B1583&lt;&gt;0),AND(D1582*D1581&lt;0,B1582&lt;&gt;0)),IF(D1582=0,C1582,C1582*(1-ABS(D1582)/(ABS(D1582)+ABS(D1581)))+C1581*(1-ABS(D1581)/(ABS(D1582)+ABS(D1581)))),"")))</f>
        <v>#NAME?</v>
      </c>
    </row>
    <row r="1583" spans="2:5" x14ac:dyDescent="0.25">
      <c r="B1583" t="e">
        <f t="shared" ca="1" si="51"/>
        <v>#NAME?</v>
      </c>
      <c r="C1583">
        <v>1540</v>
      </c>
      <c r="D1583" t="e">
        <f t="shared" ca="1" si="50"/>
        <v>#NAME?</v>
      </c>
      <c r="E1583" s="115" t="e">
        <f t="array" aca="1" ref="E1583" ca="1">IF(OR(C1582=0,AND(B1584=0,C1584=0)),"",IFERROR(INDEX($F$27:$F$36,MATCH(C1583,($F$27:$F$36)*($D$27:$D$36&lt;&gt;0),0)),IF(OR(AND(D1583=0,B1583=0,B1584&lt;&gt;0),AND(D1583*D1582&lt;0,B1583&lt;&gt;0)),IF(D1583=0,C1583,C1583*(1-ABS(D1583)/(ABS(D1583)+ABS(D1582)))+C1582*(1-ABS(D1582)/(ABS(D1583)+ABS(D1582)))),"")))</f>
        <v>#NAME?</v>
      </c>
    </row>
    <row r="1584" spans="2:5" x14ac:dyDescent="0.25">
      <c r="B1584" t="e">
        <f t="shared" ca="1" si="51"/>
        <v>#NAME?</v>
      </c>
      <c r="C1584">
        <v>1541</v>
      </c>
      <c r="D1584" t="e">
        <f t="shared" ca="1" si="50"/>
        <v>#NAME?</v>
      </c>
      <c r="E1584" s="115" t="e">
        <f t="array" aca="1" ref="E1584" ca="1">IF(OR(C1583=0,AND(B1585=0,C1585=0)),"",IFERROR(INDEX($F$27:$F$36,MATCH(C1584,($F$27:$F$36)*($D$27:$D$36&lt;&gt;0),0)),IF(OR(AND(D1584=0,B1584=0,B1585&lt;&gt;0),AND(D1584*D1583&lt;0,B1584&lt;&gt;0)),IF(D1584=0,C1584,C1584*(1-ABS(D1584)/(ABS(D1584)+ABS(D1583)))+C1583*(1-ABS(D1583)/(ABS(D1584)+ABS(D1583)))),"")))</f>
        <v>#NAME?</v>
      </c>
    </row>
    <row r="1585" spans="2:5" x14ac:dyDescent="0.25">
      <c r="B1585" t="e">
        <f t="shared" ca="1" si="51"/>
        <v>#NAME?</v>
      </c>
      <c r="C1585">
        <v>1542</v>
      </c>
      <c r="D1585" t="e">
        <f t="shared" ca="1" si="50"/>
        <v>#NAME?</v>
      </c>
      <c r="E1585" s="115" t="e">
        <f t="array" aca="1" ref="E1585" ca="1">IF(OR(C1584=0,AND(B1586=0,C1586=0)),"",IFERROR(INDEX($F$27:$F$36,MATCH(C1585,($F$27:$F$36)*($D$27:$D$36&lt;&gt;0),0)),IF(OR(AND(D1585=0,B1585=0,B1586&lt;&gt;0),AND(D1585*D1584&lt;0,B1585&lt;&gt;0)),IF(D1585=0,C1585,C1585*(1-ABS(D1585)/(ABS(D1585)+ABS(D1584)))+C1584*(1-ABS(D1584)/(ABS(D1585)+ABS(D1584)))),"")))</f>
        <v>#NAME?</v>
      </c>
    </row>
    <row r="1586" spans="2:5" x14ac:dyDescent="0.25">
      <c r="B1586" t="e">
        <f t="shared" ca="1" si="51"/>
        <v>#NAME?</v>
      </c>
      <c r="C1586">
        <v>1543</v>
      </c>
      <c r="D1586" t="e">
        <f t="shared" ca="1" si="50"/>
        <v>#NAME?</v>
      </c>
      <c r="E1586" s="115" t="e">
        <f t="array" aca="1" ref="E1586" ca="1">IF(OR(C1585=0,AND(B1587=0,C1587=0)),"",IFERROR(INDEX($F$27:$F$36,MATCH(C1586,($F$27:$F$36)*($D$27:$D$36&lt;&gt;0),0)),IF(OR(AND(D1586=0,B1586=0,B1587&lt;&gt;0),AND(D1586*D1585&lt;0,B1586&lt;&gt;0)),IF(D1586=0,C1586,C1586*(1-ABS(D1586)/(ABS(D1586)+ABS(D1585)))+C1585*(1-ABS(D1585)/(ABS(D1586)+ABS(D1585)))),"")))</f>
        <v>#NAME?</v>
      </c>
    </row>
    <row r="1587" spans="2:5" x14ac:dyDescent="0.25">
      <c r="B1587" t="e">
        <f t="shared" ca="1" si="51"/>
        <v>#NAME?</v>
      </c>
      <c r="C1587">
        <v>1544</v>
      </c>
      <c r="D1587" t="e">
        <f t="shared" ca="1" si="50"/>
        <v>#NAME?</v>
      </c>
      <c r="E1587" s="115" t="e">
        <f t="array" aca="1" ref="E1587" ca="1">IF(OR(C1586=0,AND(B1588=0,C1588=0)),"",IFERROR(INDEX($F$27:$F$36,MATCH(C1587,($F$27:$F$36)*($D$27:$D$36&lt;&gt;0),0)),IF(OR(AND(D1587=0,B1587=0,B1588&lt;&gt;0),AND(D1587*D1586&lt;0,B1587&lt;&gt;0)),IF(D1587=0,C1587,C1587*(1-ABS(D1587)/(ABS(D1587)+ABS(D1586)))+C1586*(1-ABS(D1586)/(ABS(D1587)+ABS(D1586)))),"")))</f>
        <v>#NAME?</v>
      </c>
    </row>
    <row r="1588" spans="2:5" x14ac:dyDescent="0.25">
      <c r="B1588" t="e">
        <f t="shared" ca="1" si="51"/>
        <v>#NAME?</v>
      </c>
      <c r="C1588">
        <v>1545</v>
      </c>
      <c r="D1588" t="e">
        <f t="shared" ca="1" si="50"/>
        <v>#NAME?</v>
      </c>
      <c r="E1588" s="115" t="e">
        <f t="array" aca="1" ref="E1588" ca="1">IF(OR(C1587=0,AND(B1589=0,C1589=0)),"",IFERROR(INDEX($F$27:$F$36,MATCH(C1588,($F$27:$F$36)*($D$27:$D$36&lt;&gt;0),0)),IF(OR(AND(D1588=0,B1588=0,B1589&lt;&gt;0),AND(D1588*D1587&lt;0,B1588&lt;&gt;0)),IF(D1588=0,C1588,C1588*(1-ABS(D1588)/(ABS(D1588)+ABS(D1587)))+C1587*(1-ABS(D1587)/(ABS(D1588)+ABS(D1587)))),"")))</f>
        <v>#NAME?</v>
      </c>
    </row>
    <row r="1589" spans="2:5" x14ac:dyDescent="0.25">
      <c r="B1589" t="e">
        <f t="shared" ca="1" si="51"/>
        <v>#NAME?</v>
      </c>
      <c r="C1589">
        <v>1546</v>
      </c>
      <c r="D1589" t="e">
        <f t="shared" ca="1" si="50"/>
        <v>#NAME?</v>
      </c>
      <c r="E1589" s="115" t="e">
        <f t="array" aca="1" ref="E1589" ca="1">IF(OR(C1588=0,AND(B1590=0,C1590=0)),"",IFERROR(INDEX($F$27:$F$36,MATCH(C1589,($F$27:$F$36)*($D$27:$D$36&lt;&gt;0),0)),IF(OR(AND(D1589=0,B1589=0,B1590&lt;&gt;0),AND(D1589*D1588&lt;0,B1589&lt;&gt;0)),IF(D1589=0,C1589,C1589*(1-ABS(D1589)/(ABS(D1589)+ABS(D1588)))+C1588*(1-ABS(D1588)/(ABS(D1589)+ABS(D1588)))),"")))</f>
        <v>#NAME?</v>
      </c>
    </row>
    <row r="1590" spans="2:5" x14ac:dyDescent="0.25">
      <c r="B1590" t="e">
        <f t="shared" ca="1" si="51"/>
        <v>#NAME?</v>
      </c>
      <c r="C1590">
        <v>1547</v>
      </c>
      <c r="D1590" t="e">
        <f t="shared" ca="1" si="50"/>
        <v>#NAME?</v>
      </c>
      <c r="E1590" s="115" t="e">
        <f t="array" aca="1" ref="E1590" ca="1">IF(OR(C1589=0,AND(B1591=0,C1591=0)),"",IFERROR(INDEX($F$27:$F$36,MATCH(C1590,($F$27:$F$36)*($D$27:$D$36&lt;&gt;0),0)),IF(OR(AND(D1590=0,B1590=0,B1591&lt;&gt;0),AND(D1590*D1589&lt;0,B1590&lt;&gt;0)),IF(D1590=0,C1590,C1590*(1-ABS(D1590)/(ABS(D1590)+ABS(D1589)))+C1589*(1-ABS(D1589)/(ABS(D1590)+ABS(D1589)))),"")))</f>
        <v>#NAME?</v>
      </c>
    </row>
    <row r="1591" spans="2:5" x14ac:dyDescent="0.25">
      <c r="B1591" t="e">
        <f t="shared" ca="1" si="51"/>
        <v>#NAME?</v>
      </c>
      <c r="C1591">
        <v>1548</v>
      </c>
      <c r="D1591" t="e">
        <f t="shared" ca="1" si="50"/>
        <v>#NAME?</v>
      </c>
      <c r="E1591" s="115" t="e">
        <f t="array" aca="1" ref="E1591" ca="1">IF(OR(C1590=0,AND(B1592=0,C1592=0)),"",IFERROR(INDEX($F$27:$F$36,MATCH(C1591,($F$27:$F$36)*($D$27:$D$36&lt;&gt;0),0)),IF(OR(AND(D1591=0,B1591=0,B1592&lt;&gt;0),AND(D1591*D1590&lt;0,B1591&lt;&gt;0)),IF(D1591=0,C1591,C1591*(1-ABS(D1591)/(ABS(D1591)+ABS(D1590)))+C1590*(1-ABS(D1590)/(ABS(D1591)+ABS(D1590)))),"")))</f>
        <v>#NAME?</v>
      </c>
    </row>
    <row r="1592" spans="2:5" x14ac:dyDescent="0.25">
      <c r="B1592" t="e">
        <f t="shared" ca="1" si="51"/>
        <v>#NAME?</v>
      </c>
      <c r="C1592">
        <v>1549</v>
      </c>
      <c r="D1592" t="e">
        <f t="shared" ca="1" si="50"/>
        <v>#NAME?</v>
      </c>
      <c r="E1592" s="115" t="e">
        <f t="array" aca="1" ref="E1592" ca="1">IF(OR(C1591=0,AND(B1593=0,C1593=0)),"",IFERROR(INDEX($F$27:$F$36,MATCH(C1592,($F$27:$F$36)*($D$27:$D$36&lt;&gt;0),0)),IF(OR(AND(D1592=0,B1592=0,B1593&lt;&gt;0),AND(D1592*D1591&lt;0,B1592&lt;&gt;0)),IF(D1592=0,C1592,C1592*(1-ABS(D1592)/(ABS(D1592)+ABS(D1591)))+C1591*(1-ABS(D1591)/(ABS(D1592)+ABS(D1591)))),"")))</f>
        <v>#NAME?</v>
      </c>
    </row>
    <row r="1593" spans="2:5" x14ac:dyDescent="0.25">
      <c r="B1593" t="e">
        <f t="shared" ca="1" si="51"/>
        <v>#NAME?</v>
      </c>
      <c r="C1593">
        <v>1550</v>
      </c>
      <c r="D1593" t="e">
        <f t="shared" ca="1" si="50"/>
        <v>#NAME?</v>
      </c>
      <c r="E1593" s="115" t="e">
        <f t="array" aca="1" ref="E1593" ca="1">IF(OR(C1592=0,AND(B1594=0,C1594=0)),"",IFERROR(INDEX($F$27:$F$36,MATCH(C1593,($F$27:$F$36)*($D$27:$D$36&lt;&gt;0),0)),IF(OR(AND(D1593=0,B1593=0,B1594&lt;&gt;0),AND(D1593*D1592&lt;0,B1593&lt;&gt;0)),IF(D1593=0,C1593,C1593*(1-ABS(D1593)/(ABS(D1593)+ABS(D1592)))+C1592*(1-ABS(D1592)/(ABS(D1593)+ABS(D1592)))),"")))</f>
        <v>#NAME?</v>
      </c>
    </row>
    <row r="1594" spans="2:5" x14ac:dyDescent="0.25">
      <c r="B1594" t="e">
        <f t="shared" ca="1" si="51"/>
        <v>#NAME?</v>
      </c>
      <c r="C1594">
        <v>1551</v>
      </c>
      <c r="D1594" t="e">
        <f t="shared" ca="1" si="50"/>
        <v>#NAME?</v>
      </c>
      <c r="E1594" s="115" t="e">
        <f t="array" aca="1" ref="E1594" ca="1">IF(OR(C1593=0,AND(B1595=0,C1595=0)),"",IFERROR(INDEX($F$27:$F$36,MATCH(C1594,($F$27:$F$36)*($D$27:$D$36&lt;&gt;0),0)),IF(OR(AND(D1594=0,B1594=0,B1595&lt;&gt;0),AND(D1594*D1593&lt;0,B1594&lt;&gt;0)),IF(D1594=0,C1594,C1594*(1-ABS(D1594)/(ABS(D1594)+ABS(D1593)))+C1593*(1-ABS(D1593)/(ABS(D1594)+ABS(D1593)))),"")))</f>
        <v>#NAME?</v>
      </c>
    </row>
    <row r="1595" spans="2:5" x14ac:dyDescent="0.25">
      <c r="B1595" t="e">
        <f t="shared" ca="1" si="51"/>
        <v>#NAME?</v>
      </c>
      <c r="C1595">
        <v>1552</v>
      </c>
      <c r="D1595" t="e">
        <f t="shared" ca="1" si="50"/>
        <v>#NAME?</v>
      </c>
      <c r="E1595" s="115" t="e">
        <f t="array" aca="1" ref="E1595" ca="1">IF(OR(C1594=0,AND(B1596=0,C1596=0)),"",IFERROR(INDEX($F$27:$F$36,MATCH(C1595,($F$27:$F$36)*($D$27:$D$36&lt;&gt;0),0)),IF(OR(AND(D1595=0,B1595=0,B1596&lt;&gt;0),AND(D1595*D1594&lt;0,B1595&lt;&gt;0)),IF(D1595=0,C1595,C1595*(1-ABS(D1595)/(ABS(D1595)+ABS(D1594)))+C1594*(1-ABS(D1594)/(ABS(D1595)+ABS(D1594)))),"")))</f>
        <v>#NAME?</v>
      </c>
    </row>
    <row r="1596" spans="2:5" x14ac:dyDescent="0.25">
      <c r="B1596" t="e">
        <f t="shared" ca="1" si="51"/>
        <v>#NAME?</v>
      </c>
      <c r="C1596">
        <v>1553</v>
      </c>
      <c r="D1596" t="e">
        <f t="shared" ca="1" si="50"/>
        <v>#NAME?</v>
      </c>
      <c r="E1596" s="115" t="e">
        <f t="array" aca="1" ref="E1596" ca="1">IF(OR(C1595=0,AND(B1597=0,C1597=0)),"",IFERROR(INDEX($F$27:$F$36,MATCH(C1596,($F$27:$F$36)*($D$27:$D$36&lt;&gt;0),0)),IF(OR(AND(D1596=0,B1596=0,B1597&lt;&gt;0),AND(D1596*D1595&lt;0,B1596&lt;&gt;0)),IF(D1596=0,C1596,C1596*(1-ABS(D1596)/(ABS(D1596)+ABS(D1595)))+C1595*(1-ABS(D1595)/(ABS(D1596)+ABS(D1595)))),"")))</f>
        <v>#NAME?</v>
      </c>
    </row>
    <row r="1597" spans="2:5" x14ac:dyDescent="0.25">
      <c r="B1597" t="e">
        <f t="shared" ca="1" si="51"/>
        <v>#NAME?</v>
      </c>
      <c r="C1597">
        <v>1554</v>
      </c>
      <c r="D1597" t="e">
        <f t="shared" ca="1" si="50"/>
        <v>#NAME?</v>
      </c>
      <c r="E1597" s="115" t="e">
        <f t="array" aca="1" ref="E1597" ca="1">IF(OR(C1596=0,AND(B1598=0,C1598=0)),"",IFERROR(INDEX($F$27:$F$36,MATCH(C1597,($F$27:$F$36)*($D$27:$D$36&lt;&gt;0),0)),IF(OR(AND(D1597=0,B1597=0,B1598&lt;&gt;0),AND(D1597*D1596&lt;0,B1597&lt;&gt;0)),IF(D1597=0,C1597,C1597*(1-ABS(D1597)/(ABS(D1597)+ABS(D1596)))+C1596*(1-ABS(D1596)/(ABS(D1597)+ABS(D1596)))),"")))</f>
        <v>#NAME?</v>
      </c>
    </row>
    <row r="1598" spans="2:5" x14ac:dyDescent="0.25">
      <c r="B1598" t="e">
        <f t="shared" ca="1" si="51"/>
        <v>#NAME?</v>
      </c>
      <c r="C1598">
        <v>1555</v>
      </c>
      <c r="D1598" t="e">
        <f t="shared" ca="1" si="50"/>
        <v>#NAME?</v>
      </c>
      <c r="E1598" s="115" t="e">
        <f t="array" aca="1" ref="E1598" ca="1">IF(OR(C1597=0,AND(B1599=0,C1599=0)),"",IFERROR(INDEX($F$27:$F$36,MATCH(C1598,($F$27:$F$36)*($D$27:$D$36&lt;&gt;0),0)),IF(OR(AND(D1598=0,B1598=0,B1599&lt;&gt;0),AND(D1598*D1597&lt;0,B1598&lt;&gt;0)),IF(D1598=0,C1598,C1598*(1-ABS(D1598)/(ABS(D1598)+ABS(D1597)))+C1597*(1-ABS(D1597)/(ABS(D1598)+ABS(D1597)))),"")))</f>
        <v>#NAME?</v>
      </c>
    </row>
    <row r="1599" spans="2:5" x14ac:dyDescent="0.25">
      <c r="B1599" t="e">
        <f t="shared" ca="1" si="51"/>
        <v>#NAME?</v>
      </c>
      <c r="C1599">
        <v>1556</v>
      </c>
      <c r="D1599" t="e">
        <f t="shared" ca="1" si="50"/>
        <v>#NAME?</v>
      </c>
      <c r="E1599" s="115" t="e">
        <f t="array" aca="1" ref="E1599" ca="1">IF(OR(C1598=0,AND(B1600=0,C1600=0)),"",IFERROR(INDEX($F$27:$F$36,MATCH(C1599,($F$27:$F$36)*($D$27:$D$36&lt;&gt;0),0)),IF(OR(AND(D1599=0,B1599=0,B1600&lt;&gt;0),AND(D1599*D1598&lt;0,B1599&lt;&gt;0)),IF(D1599=0,C1599,C1599*(1-ABS(D1599)/(ABS(D1599)+ABS(D1598)))+C1598*(1-ABS(D1598)/(ABS(D1599)+ABS(D1598)))),"")))</f>
        <v>#NAME?</v>
      </c>
    </row>
    <row r="1600" spans="2:5" x14ac:dyDescent="0.25">
      <c r="B1600" t="e">
        <f t="shared" ca="1" si="51"/>
        <v>#NAME?</v>
      </c>
      <c r="C1600">
        <v>1557</v>
      </c>
      <c r="D1600" t="e">
        <f t="shared" ca="1" si="50"/>
        <v>#NAME?</v>
      </c>
      <c r="E1600" s="115" t="e">
        <f t="array" aca="1" ref="E1600" ca="1">IF(OR(C1599=0,AND(B1601=0,C1601=0)),"",IFERROR(INDEX($F$27:$F$36,MATCH(C1600,($F$27:$F$36)*($D$27:$D$36&lt;&gt;0),0)),IF(OR(AND(D1600=0,B1600=0,B1601&lt;&gt;0),AND(D1600*D1599&lt;0,B1600&lt;&gt;0)),IF(D1600=0,C1600,C1600*(1-ABS(D1600)/(ABS(D1600)+ABS(D1599)))+C1599*(1-ABS(D1599)/(ABS(D1600)+ABS(D1599)))),"")))</f>
        <v>#NAME?</v>
      </c>
    </row>
    <row r="1601" spans="2:5" x14ac:dyDescent="0.25">
      <c r="B1601" t="e">
        <f t="shared" ca="1" si="51"/>
        <v>#NAME?</v>
      </c>
      <c r="C1601">
        <v>1558</v>
      </c>
      <c r="D1601" t="e">
        <f t="shared" ca="1" si="50"/>
        <v>#NAME?</v>
      </c>
      <c r="E1601" s="115" t="e">
        <f t="array" aca="1" ref="E1601" ca="1">IF(OR(C1600=0,AND(B1602=0,C1602=0)),"",IFERROR(INDEX($F$27:$F$36,MATCH(C1601,($F$27:$F$36)*($D$27:$D$36&lt;&gt;0),0)),IF(OR(AND(D1601=0,B1601=0,B1602&lt;&gt;0),AND(D1601*D1600&lt;0,B1601&lt;&gt;0)),IF(D1601=0,C1601,C1601*(1-ABS(D1601)/(ABS(D1601)+ABS(D1600)))+C1600*(1-ABS(D1600)/(ABS(D1601)+ABS(D1600)))),"")))</f>
        <v>#NAME?</v>
      </c>
    </row>
    <row r="1602" spans="2:5" x14ac:dyDescent="0.25">
      <c r="B1602" t="e">
        <f t="shared" ca="1" si="51"/>
        <v>#NAME?</v>
      </c>
      <c r="C1602">
        <v>1559</v>
      </c>
      <c r="D1602" t="e">
        <f t="shared" ca="1" si="50"/>
        <v>#NAME?</v>
      </c>
      <c r="E1602" s="115" t="e">
        <f t="array" aca="1" ref="E1602" ca="1">IF(OR(C1601=0,AND(B1603=0,C1603=0)),"",IFERROR(INDEX($F$27:$F$36,MATCH(C1602,($F$27:$F$36)*($D$27:$D$36&lt;&gt;0),0)),IF(OR(AND(D1602=0,B1602=0,B1603&lt;&gt;0),AND(D1602*D1601&lt;0,B1602&lt;&gt;0)),IF(D1602=0,C1602,C1602*(1-ABS(D1602)/(ABS(D1602)+ABS(D1601)))+C1601*(1-ABS(D1601)/(ABS(D1602)+ABS(D1601)))),"")))</f>
        <v>#NAME?</v>
      </c>
    </row>
    <row r="1603" spans="2:5" x14ac:dyDescent="0.25">
      <c r="B1603" t="e">
        <f t="shared" ca="1" si="51"/>
        <v>#NAME?</v>
      </c>
      <c r="C1603">
        <v>1560</v>
      </c>
      <c r="D1603" t="e">
        <f t="shared" ca="1" si="50"/>
        <v>#NAME?</v>
      </c>
      <c r="E1603" s="115" t="e">
        <f t="array" aca="1" ref="E1603" ca="1">IF(OR(C1602=0,AND(B1604=0,C1604=0)),"",IFERROR(INDEX($F$27:$F$36,MATCH(C1603,($F$27:$F$36)*($D$27:$D$36&lt;&gt;0),0)),IF(OR(AND(D1603=0,B1603=0,B1604&lt;&gt;0),AND(D1603*D1602&lt;0,B1603&lt;&gt;0)),IF(D1603=0,C1603,C1603*(1-ABS(D1603)/(ABS(D1603)+ABS(D1602)))+C1602*(1-ABS(D1602)/(ABS(D1603)+ABS(D1602)))),"")))</f>
        <v>#NAME?</v>
      </c>
    </row>
    <row r="1604" spans="2:5" x14ac:dyDescent="0.25">
      <c r="B1604" t="e">
        <f t="shared" ca="1" si="51"/>
        <v>#NAME?</v>
      </c>
      <c r="C1604">
        <v>1561</v>
      </c>
      <c r="D1604" t="e">
        <f t="shared" ca="1" si="50"/>
        <v>#NAME?</v>
      </c>
      <c r="E1604" s="115" t="e">
        <f t="array" aca="1" ref="E1604" ca="1">IF(OR(C1603=0,AND(B1605=0,C1605=0)),"",IFERROR(INDEX($F$27:$F$36,MATCH(C1604,($F$27:$F$36)*($D$27:$D$36&lt;&gt;0),0)),IF(OR(AND(D1604=0,B1604=0,B1605&lt;&gt;0),AND(D1604*D1603&lt;0,B1604&lt;&gt;0)),IF(D1604=0,C1604,C1604*(1-ABS(D1604)/(ABS(D1604)+ABS(D1603)))+C1603*(1-ABS(D1603)/(ABS(D1604)+ABS(D1603)))),"")))</f>
        <v>#NAME?</v>
      </c>
    </row>
    <row r="1605" spans="2:5" x14ac:dyDescent="0.25">
      <c r="B1605" t="e">
        <f t="shared" ca="1" si="51"/>
        <v>#NAME?</v>
      </c>
      <c r="C1605">
        <v>1562</v>
      </c>
      <c r="D1605" t="e">
        <f t="shared" ca="1" si="50"/>
        <v>#NAME?</v>
      </c>
      <c r="E1605" s="115" t="e">
        <f t="array" aca="1" ref="E1605" ca="1">IF(OR(C1604=0,AND(B1606=0,C1606=0)),"",IFERROR(INDEX($F$27:$F$36,MATCH(C1605,($F$27:$F$36)*($D$27:$D$36&lt;&gt;0),0)),IF(OR(AND(D1605=0,B1605=0,B1606&lt;&gt;0),AND(D1605*D1604&lt;0,B1605&lt;&gt;0)),IF(D1605=0,C1605,C1605*(1-ABS(D1605)/(ABS(D1605)+ABS(D1604)))+C1604*(1-ABS(D1604)/(ABS(D1605)+ABS(D1604)))),"")))</f>
        <v>#NAME?</v>
      </c>
    </row>
    <row r="1606" spans="2:5" x14ac:dyDescent="0.25">
      <c r="B1606" t="e">
        <f t="shared" ca="1" si="51"/>
        <v>#NAME?</v>
      </c>
      <c r="C1606">
        <v>1563</v>
      </c>
      <c r="D1606" t="e">
        <f t="shared" ca="1" si="50"/>
        <v>#NAME?</v>
      </c>
      <c r="E1606" s="115" t="e">
        <f t="array" aca="1" ref="E1606" ca="1">IF(OR(C1605=0,AND(B1607=0,C1607=0)),"",IFERROR(INDEX($F$27:$F$36,MATCH(C1606,($F$27:$F$36)*($D$27:$D$36&lt;&gt;0),0)),IF(OR(AND(D1606=0,B1606=0,B1607&lt;&gt;0),AND(D1606*D1605&lt;0,B1606&lt;&gt;0)),IF(D1606=0,C1606,C1606*(1-ABS(D1606)/(ABS(D1606)+ABS(D1605)))+C1605*(1-ABS(D1605)/(ABS(D1606)+ABS(D1605)))),"")))</f>
        <v>#NAME?</v>
      </c>
    </row>
    <row r="1607" spans="2:5" x14ac:dyDescent="0.25">
      <c r="B1607" t="e">
        <f t="shared" ca="1" si="51"/>
        <v>#NAME?</v>
      </c>
      <c r="C1607">
        <v>1564</v>
      </c>
      <c r="D1607" t="e">
        <f t="shared" ca="1" si="50"/>
        <v>#NAME?</v>
      </c>
      <c r="E1607" s="115" t="e">
        <f t="array" aca="1" ref="E1607" ca="1">IF(OR(C1606=0,AND(B1608=0,C1608=0)),"",IFERROR(INDEX($F$27:$F$36,MATCH(C1607,($F$27:$F$36)*($D$27:$D$36&lt;&gt;0),0)),IF(OR(AND(D1607=0,B1607=0,B1608&lt;&gt;0),AND(D1607*D1606&lt;0,B1607&lt;&gt;0)),IF(D1607=0,C1607,C1607*(1-ABS(D1607)/(ABS(D1607)+ABS(D1606)))+C1606*(1-ABS(D1606)/(ABS(D1607)+ABS(D1606)))),"")))</f>
        <v>#NAME?</v>
      </c>
    </row>
    <row r="1608" spans="2:5" x14ac:dyDescent="0.25">
      <c r="B1608" t="e">
        <f t="shared" ca="1" si="51"/>
        <v>#NAME?</v>
      </c>
      <c r="C1608">
        <v>1565</v>
      </c>
      <c r="D1608" t="e">
        <f t="shared" ca="1" si="50"/>
        <v>#NAME?</v>
      </c>
      <c r="E1608" s="115" t="e">
        <f t="array" aca="1" ref="E1608" ca="1">IF(OR(C1607=0,AND(B1609=0,C1609=0)),"",IFERROR(INDEX($F$27:$F$36,MATCH(C1608,($F$27:$F$36)*($D$27:$D$36&lt;&gt;0),0)),IF(OR(AND(D1608=0,B1608=0,B1609&lt;&gt;0),AND(D1608*D1607&lt;0,B1608&lt;&gt;0)),IF(D1608=0,C1608,C1608*(1-ABS(D1608)/(ABS(D1608)+ABS(D1607)))+C1607*(1-ABS(D1607)/(ABS(D1608)+ABS(D1607)))),"")))</f>
        <v>#NAME?</v>
      </c>
    </row>
    <row r="1609" spans="2:5" x14ac:dyDescent="0.25">
      <c r="B1609" t="e">
        <f t="shared" ca="1" si="51"/>
        <v>#NAME?</v>
      </c>
      <c r="C1609">
        <v>1566</v>
      </c>
      <c r="D1609" t="e">
        <f t="shared" ca="1" si="50"/>
        <v>#NAME?</v>
      </c>
      <c r="E1609" s="115" t="e">
        <f t="array" aca="1" ref="E1609" ca="1">IF(OR(C1608=0,AND(B1610=0,C1610=0)),"",IFERROR(INDEX($F$27:$F$36,MATCH(C1609,($F$27:$F$36)*($D$27:$D$36&lt;&gt;0),0)),IF(OR(AND(D1609=0,B1609=0,B1610&lt;&gt;0),AND(D1609*D1608&lt;0,B1609&lt;&gt;0)),IF(D1609=0,C1609,C1609*(1-ABS(D1609)/(ABS(D1609)+ABS(D1608)))+C1608*(1-ABS(D1608)/(ABS(D1609)+ABS(D1608)))),"")))</f>
        <v>#NAME?</v>
      </c>
    </row>
    <row r="1610" spans="2:5" x14ac:dyDescent="0.25">
      <c r="B1610" t="e">
        <f t="shared" ca="1" si="51"/>
        <v>#NAME?</v>
      </c>
      <c r="C1610">
        <v>1567</v>
      </c>
      <c r="D1610" t="e">
        <f t="shared" ca="1" si="50"/>
        <v>#NAME?</v>
      </c>
      <c r="E1610" s="115" t="e">
        <f t="array" aca="1" ref="E1610" ca="1">IF(OR(C1609=0,AND(B1611=0,C1611=0)),"",IFERROR(INDEX($F$27:$F$36,MATCH(C1610,($F$27:$F$36)*($D$27:$D$36&lt;&gt;0),0)),IF(OR(AND(D1610=0,B1610=0,B1611&lt;&gt;0),AND(D1610*D1609&lt;0,B1610&lt;&gt;0)),IF(D1610=0,C1610,C1610*(1-ABS(D1610)/(ABS(D1610)+ABS(D1609)))+C1609*(1-ABS(D1609)/(ABS(D1610)+ABS(D1609)))),"")))</f>
        <v>#NAME?</v>
      </c>
    </row>
    <row r="1611" spans="2:5" x14ac:dyDescent="0.25">
      <c r="B1611" t="e">
        <f t="shared" ca="1" si="51"/>
        <v>#NAME?</v>
      </c>
      <c r="C1611">
        <v>1568</v>
      </c>
      <c r="D1611" t="e">
        <f t="shared" ca="1" si="50"/>
        <v>#NAME?</v>
      </c>
      <c r="E1611" s="115" t="e">
        <f t="array" aca="1" ref="E1611" ca="1">IF(OR(C1610=0,AND(B1612=0,C1612=0)),"",IFERROR(INDEX($F$27:$F$36,MATCH(C1611,($F$27:$F$36)*($D$27:$D$36&lt;&gt;0),0)),IF(OR(AND(D1611=0,B1611=0,B1612&lt;&gt;0),AND(D1611*D1610&lt;0,B1611&lt;&gt;0)),IF(D1611=0,C1611,C1611*(1-ABS(D1611)/(ABS(D1611)+ABS(D1610)))+C1610*(1-ABS(D1610)/(ABS(D1611)+ABS(D1610)))),"")))</f>
        <v>#NAME?</v>
      </c>
    </row>
    <row r="1612" spans="2:5" x14ac:dyDescent="0.25">
      <c r="B1612" t="e">
        <f t="shared" ca="1" si="51"/>
        <v>#NAME?</v>
      </c>
      <c r="C1612">
        <v>1569</v>
      </c>
      <c r="D1612" t="e">
        <f t="shared" ca="1" si="50"/>
        <v>#NAME?</v>
      </c>
      <c r="E1612" s="115" t="e">
        <f t="array" aca="1" ref="E1612" ca="1">IF(OR(C1611=0,AND(B1613=0,C1613=0)),"",IFERROR(INDEX($F$27:$F$36,MATCH(C1612,($F$27:$F$36)*($D$27:$D$36&lt;&gt;0),0)),IF(OR(AND(D1612=0,B1612=0,B1613&lt;&gt;0),AND(D1612*D1611&lt;0,B1612&lt;&gt;0)),IF(D1612=0,C1612,C1612*(1-ABS(D1612)/(ABS(D1612)+ABS(D1611)))+C1611*(1-ABS(D1611)/(ABS(D1612)+ABS(D1611)))),"")))</f>
        <v>#NAME?</v>
      </c>
    </row>
    <row r="1613" spans="2:5" x14ac:dyDescent="0.25">
      <c r="B1613" t="e">
        <f t="shared" ca="1" si="51"/>
        <v>#NAME?</v>
      </c>
      <c r="C1613">
        <v>1570</v>
      </c>
      <c r="D1613" t="e">
        <f t="shared" ca="1" si="50"/>
        <v>#NAME?</v>
      </c>
      <c r="E1613" s="115" t="e">
        <f t="array" aca="1" ref="E1613" ca="1">IF(OR(C1612=0,AND(B1614=0,C1614=0)),"",IFERROR(INDEX($F$27:$F$36,MATCH(C1613,($F$27:$F$36)*($D$27:$D$36&lt;&gt;0),0)),IF(OR(AND(D1613=0,B1613=0,B1614&lt;&gt;0),AND(D1613*D1612&lt;0,B1613&lt;&gt;0)),IF(D1613=0,C1613,C1613*(1-ABS(D1613)/(ABS(D1613)+ABS(D1612)))+C1612*(1-ABS(D1612)/(ABS(D1613)+ABS(D1612)))),"")))</f>
        <v>#NAME?</v>
      </c>
    </row>
    <row r="1614" spans="2:5" x14ac:dyDescent="0.25">
      <c r="B1614" t="e">
        <f t="shared" ca="1" si="51"/>
        <v>#NAME?</v>
      </c>
      <c r="C1614">
        <v>1571</v>
      </c>
      <c r="D1614" t="e">
        <f t="shared" ca="1" si="50"/>
        <v>#NAME?</v>
      </c>
      <c r="E1614" s="115" t="e">
        <f t="array" aca="1" ref="E1614" ca="1">IF(OR(C1613=0,AND(B1615=0,C1615=0)),"",IFERROR(INDEX($F$27:$F$36,MATCH(C1614,($F$27:$F$36)*($D$27:$D$36&lt;&gt;0),0)),IF(OR(AND(D1614=0,B1614=0,B1615&lt;&gt;0),AND(D1614*D1613&lt;0,B1614&lt;&gt;0)),IF(D1614=0,C1614,C1614*(1-ABS(D1614)/(ABS(D1614)+ABS(D1613)))+C1613*(1-ABS(D1613)/(ABS(D1614)+ABS(D1613)))),"")))</f>
        <v>#NAME?</v>
      </c>
    </row>
    <row r="1615" spans="2:5" x14ac:dyDescent="0.25">
      <c r="B1615" t="e">
        <f t="shared" ca="1" si="51"/>
        <v>#NAME?</v>
      </c>
      <c r="C1615">
        <v>1572</v>
      </c>
      <c r="D1615" t="e">
        <f t="shared" ca="1" si="50"/>
        <v>#NAME?</v>
      </c>
      <c r="E1615" s="115" t="e">
        <f t="array" aca="1" ref="E1615" ca="1">IF(OR(C1614=0,AND(B1616=0,C1616=0)),"",IFERROR(INDEX($F$27:$F$36,MATCH(C1615,($F$27:$F$36)*($D$27:$D$36&lt;&gt;0),0)),IF(OR(AND(D1615=0,B1615=0,B1616&lt;&gt;0),AND(D1615*D1614&lt;0,B1615&lt;&gt;0)),IF(D1615=0,C1615,C1615*(1-ABS(D1615)/(ABS(D1615)+ABS(D1614)))+C1614*(1-ABS(D1614)/(ABS(D1615)+ABS(D1614)))),"")))</f>
        <v>#NAME?</v>
      </c>
    </row>
    <row r="1616" spans="2:5" x14ac:dyDescent="0.25">
      <c r="B1616" t="e">
        <f t="shared" ca="1" si="51"/>
        <v>#NAME?</v>
      </c>
      <c r="C1616">
        <v>1573</v>
      </c>
      <c r="D1616" t="e">
        <f t="shared" ca="1" si="50"/>
        <v>#NAME?</v>
      </c>
      <c r="E1616" s="115" t="e">
        <f t="array" aca="1" ref="E1616" ca="1">IF(OR(C1615=0,AND(B1617=0,C1617=0)),"",IFERROR(INDEX($F$27:$F$36,MATCH(C1616,($F$27:$F$36)*($D$27:$D$36&lt;&gt;0),0)),IF(OR(AND(D1616=0,B1616=0,B1617&lt;&gt;0),AND(D1616*D1615&lt;0,B1616&lt;&gt;0)),IF(D1616=0,C1616,C1616*(1-ABS(D1616)/(ABS(D1616)+ABS(D1615)))+C1615*(1-ABS(D1615)/(ABS(D1616)+ABS(D1615)))),"")))</f>
        <v>#NAME?</v>
      </c>
    </row>
    <row r="1617" spans="2:5" x14ac:dyDescent="0.25">
      <c r="B1617" t="e">
        <f t="shared" ca="1" si="51"/>
        <v>#NAME?</v>
      </c>
      <c r="C1617">
        <v>1574</v>
      </c>
      <c r="D1617" t="e">
        <f t="shared" ca="1" si="50"/>
        <v>#NAME?</v>
      </c>
      <c r="E1617" s="115" t="e">
        <f t="array" aca="1" ref="E1617" ca="1">IF(OR(C1616=0,AND(B1618=0,C1618=0)),"",IFERROR(INDEX($F$27:$F$36,MATCH(C1617,($F$27:$F$36)*($D$27:$D$36&lt;&gt;0),0)),IF(OR(AND(D1617=0,B1617=0,B1618&lt;&gt;0),AND(D1617*D1616&lt;0,B1617&lt;&gt;0)),IF(D1617=0,C1617,C1617*(1-ABS(D1617)/(ABS(D1617)+ABS(D1616)))+C1616*(1-ABS(D1616)/(ABS(D1617)+ABS(D1616)))),"")))</f>
        <v>#NAME?</v>
      </c>
    </row>
    <row r="1618" spans="2:5" x14ac:dyDescent="0.25">
      <c r="B1618" t="e">
        <f t="shared" ca="1" si="51"/>
        <v>#NAME?</v>
      </c>
      <c r="C1618">
        <v>1575</v>
      </c>
      <c r="D1618" t="e">
        <f t="shared" ca="1" si="50"/>
        <v>#NAME?</v>
      </c>
      <c r="E1618" s="115" t="e">
        <f t="array" aca="1" ref="E1618" ca="1">IF(OR(C1617=0,AND(B1619=0,C1619=0)),"",IFERROR(INDEX($F$27:$F$36,MATCH(C1618,($F$27:$F$36)*($D$27:$D$36&lt;&gt;0),0)),IF(OR(AND(D1618=0,B1618=0,B1619&lt;&gt;0),AND(D1618*D1617&lt;0,B1618&lt;&gt;0)),IF(D1618=0,C1618,C1618*(1-ABS(D1618)/(ABS(D1618)+ABS(D1617)))+C1617*(1-ABS(D1617)/(ABS(D1618)+ABS(D1617)))),"")))</f>
        <v>#NAME?</v>
      </c>
    </row>
    <row r="1619" spans="2:5" x14ac:dyDescent="0.25">
      <c r="B1619" t="e">
        <f t="shared" ca="1" si="51"/>
        <v>#NAME?</v>
      </c>
      <c r="C1619">
        <v>1576</v>
      </c>
      <c r="D1619" t="e">
        <f t="shared" ca="1" si="50"/>
        <v>#NAME?</v>
      </c>
      <c r="E1619" s="115" t="e">
        <f t="array" aca="1" ref="E1619" ca="1">IF(OR(C1618=0,AND(B1620=0,C1620=0)),"",IFERROR(INDEX($F$27:$F$36,MATCH(C1619,($F$27:$F$36)*($D$27:$D$36&lt;&gt;0),0)),IF(OR(AND(D1619=0,B1619=0,B1620&lt;&gt;0),AND(D1619*D1618&lt;0,B1619&lt;&gt;0)),IF(D1619=0,C1619,C1619*(1-ABS(D1619)/(ABS(D1619)+ABS(D1618)))+C1618*(1-ABS(D1618)/(ABS(D1619)+ABS(D1618)))),"")))</f>
        <v>#NAME?</v>
      </c>
    </row>
    <row r="1620" spans="2:5" x14ac:dyDescent="0.25">
      <c r="B1620" t="e">
        <f t="shared" ca="1" si="51"/>
        <v>#NAME?</v>
      </c>
      <c r="C1620">
        <v>1577</v>
      </c>
      <c r="D1620" t="e">
        <f t="shared" ca="1" si="50"/>
        <v>#NAME?</v>
      </c>
      <c r="E1620" s="115" t="e">
        <f t="array" aca="1" ref="E1620" ca="1">IF(OR(C1619=0,AND(B1621=0,C1621=0)),"",IFERROR(INDEX($F$27:$F$36,MATCH(C1620,($F$27:$F$36)*($D$27:$D$36&lt;&gt;0),0)),IF(OR(AND(D1620=0,B1620=0,B1621&lt;&gt;0),AND(D1620*D1619&lt;0,B1620&lt;&gt;0)),IF(D1620=0,C1620,C1620*(1-ABS(D1620)/(ABS(D1620)+ABS(D1619)))+C1619*(1-ABS(D1619)/(ABS(D1620)+ABS(D1619)))),"")))</f>
        <v>#NAME?</v>
      </c>
    </row>
    <row r="1621" spans="2:5" x14ac:dyDescent="0.25">
      <c r="B1621" t="e">
        <f t="shared" ca="1" si="51"/>
        <v>#NAME?</v>
      </c>
      <c r="C1621">
        <v>1578</v>
      </c>
      <c r="D1621" t="e">
        <f t="shared" ca="1" si="50"/>
        <v>#NAME?</v>
      </c>
      <c r="E1621" s="115" t="e">
        <f t="array" aca="1" ref="E1621" ca="1">IF(OR(C1620=0,AND(B1622=0,C1622=0)),"",IFERROR(INDEX($F$27:$F$36,MATCH(C1621,($F$27:$F$36)*($D$27:$D$36&lt;&gt;0),0)),IF(OR(AND(D1621=0,B1621=0,B1622&lt;&gt;0),AND(D1621*D1620&lt;0,B1621&lt;&gt;0)),IF(D1621=0,C1621,C1621*(1-ABS(D1621)/(ABS(D1621)+ABS(D1620)))+C1620*(1-ABS(D1620)/(ABS(D1621)+ABS(D1620)))),"")))</f>
        <v>#NAME?</v>
      </c>
    </row>
    <row r="1622" spans="2:5" x14ac:dyDescent="0.25">
      <c r="B1622" t="e">
        <f t="shared" ca="1" si="51"/>
        <v>#NAME?</v>
      </c>
      <c r="C1622">
        <v>1579</v>
      </c>
      <c r="D1622" t="e">
        <f t="shared" ca="1" si="50"/>
        <v>#NAME?</v>
      </c>
      <c r="E1622" s="115" t="e">
        <f t="array" aca="1" ref="E1622" ca="1">IF(OR(C1621=0,AND(B1623=0,C1623=0)),"",IFERROR(INDEX($F$27:$F$36,MATCH(C1622,($F$27:$F$36)*($D$27:$D$36&lt;&gt;0),0)),IF(OR(AND(D1622=0,B1622=0,B1623&lt;&gt;0),AND(D1622*D1621&lt;0,B1622&lt;&gt;0)),IF(D1622=0,C1622,C1622*(1-ABS(D1622)/(ABS(D1622)+ABS(D1621)))+C1621*(1-ABS(D1621)/(ABS(D1622)+ABS(D1621)))),"")))</f>
        <v>#NAME?</v>
      </c>
    </row>
    <row r="1623" spans="2:5" x14ac:dyDescent="0.25">
      <c r="B1623" t="e">
        <f t="shared" ca="1" si="51"/>
        <v>#NAME?</v>
      </c>
      <c r="C1623">
        <v>1580</v>
      </c>
      <c r="D1623" t="e">
        <f t="shared" ca="1" si="50"/>
        <v>#NAME?</v>
      </c>
      <c r="E1623" s="115" t="e">
        <f t="array" aca="1" ref="E1623" ca="1">IF(OR(C1622=0,AND(B1624=0,C1624=0)),"",IFERROR(INDEX($F$27:$F$36,MATCH(C1623,($F$27:$F$36)*($D$27:$D$36&lt;&gt;0),0)),IF(OR(AND(D1623=0,B1623=0,B1624&lt;&gt;0),AND(D1623*D1622&lt;0,B1623&lt;&gt;0)),IF(D1623=0,C1623,C1623*(1-ABS(D1623)/(ABS(D1623)+ABS(D1622)))+C1622*(1-ABS(D1622)/(ABS(D1623)+ABS(D1622)))),"")))</f>
        <v>#NAME?</v>
      </c>
    </row>
    <row r="1624" spans="2:5" x14ac:dyDescent="0.25">
      <c r="B1624" t="e">
        <f t="shared" ca="1" si="51"/>
        <v>#NAME?</v>
      </c>
      <c r="C1624">
        <v>1581</v>
      </c>
      <c r="D1624" t="e">
        <f t="shared" ca="1" si="50"/>
        <v>#NAME?</v>
      </c>
      <c r="E1624" s="115" t="e">
        <f t="array" aca="1" ref="E1624" ca="1">IF(OR(C1623=0,AND(B1625=0,C1625=0)),"",IFERROR(INDEX($F$27:$F$36,MATCH(C1624,($F$27:$F$36)*($D$27:$D$36&lt;&gt;0),0)),IF(OR(AND(D1624=0,B1624=0,B1625&lt;&gt;0),AND(D1624*D1623&lt;0,B1624&lt;&gt;0)),IF(D1624=0,C1624,C1624*(1-ABS(D1624)/(ABS(D1624)+ABS(D1623)))+C1623*(1-ABS(D1623)/(ABS(D1624)+ABS(D1623)))),"")))</f>
        <v>#NAME?</v>
      </c>
    </row>
    <row r="1625" spans="2:5" x14ac:dyDescent="0.25">
      <c r="B1625" t="e">
        <f t="shared" ca="1" si="51"/>
        <v>#NAME?</v>
      </c>
      <c r="C1625">
        <v>1582</v>
      </c>
      <c r="D1625" t="e">
        <f t="shared" ca="1" si="50"/>
        <v>#NAME?</v>
      </c>
      <c r="E1625" s="115" t="e">
        <f t="array" aca="1" ref="E1625" ca="1">IF(OR(C1624=0,AND(B1626=0,C1626=0)),"",IFERROR(INDEX($F$27:$F$36,MATCH(C1625,($F$27:$F$36)*($D$27:$D$36&lt;&gt;0),0)),IF(OR(AND(D1625=0,B1625=0,B1626&lt;&gt;0),AND(D1625*D1624&lt;0,B1625&lt;&gt;0)),IF(D1625=0,C1625,C1625*(1-ABS(D1625)/(ABS(D1625)+ABS(D1624)))+C1624*(1-ABS(D1624)/(ABS(D1625)+ABS(D1624)))),"")))</f>
        <v>#NAME?</v>
      </c>
    </row>
    <row r="1626" spans="2:5" x14ac:dyDescent="0.25">
      <c r="B1626" t="e">
        <f t="shared" ca="1" si="51"/>
        <v>#NAME?</v>
      </c>
      <c r="C1626">
        <v>1583</v>
      </c>
      <c r="D1626" t="e">
        <f t="shared" ca="1" si="50"/>
        <v>#NAME?</v>
      </c>
      <c r="E1626" s="115" t="e">
        <f t="array" aca="1" ref="E1626" ca="1">IF(OR(C1625=0,AND(B1627=0,C1627=0)),"",IFERROR(INDEX($F$27:$F$36,MATCH(C1626,($F$27:$F$36)*($D$27:$D$36&lt;&gt;0),0)),IF(OR(AND(D1626=0,B1626=0,B1627&lt;&gt;0),AND(D1626*D1625&lt;0,B1626&lt;&gt;0)),IF(D1626=0,C1626,C1626*(1-ABS(D1626)/(ABS(D1626)+ABS(D1625)))+C1625*(1-ABS(D1625)/(ABS(D1626)+ABS(D1625)))),"")))</f>
        <v>#NAME?</v>
      </c>
    </row>
    <row r="1627" spans="2:5" x14ac:dyDescent="0.25">
      <c r="B1627" t="e">
        <f t="shared" ca="1" si="51"/>
        <v>#NAME?</v>
      </c>
      <c r="C1627">
        <v>1584</v>
      </c>
      <c r="D1627" t="e">
        <f t="shared" ca="1" si="50"/>
        <v>#NAME?</v>
      </c>
      <c r="E1627" s="115" t="e">
        <f t="array" aca="1" ref="E1627" ca="1">IF(OR(C1626=0,AND(B1628=0,C1628=0)),"",IFERROR(INDEX($F$27:$F$36,MATCH(C1627,($F$27:$F$36)*($D$27:$D$36&lt;&gt;0),0)),IF(OR(AND(D1627=0,B1627=0,B1628&lt;&gt;0),AND(D1627*D1626&lt;0,B1627&lt;&gt;0)),IF(D1627=0,C1627,C1627*(1-ABS(D1627)/(ABS(D1627)+ABS(D1626)))+C1626*(1-ABS(D1626)/(ABS(D1627)+ABS(D1626)))),"")))</f>
        <v>#NAME?</v>
      </c>
    </row>
    <row r="1628" spans="2:5" x14ac:dyDescent="0.25">
      <c r="B1628" t="e">
        <f t="shared" ca="1" si="51"/>
        <v>#NAME?</v>
      </c>
      <c r="C1628">
        <v>1585</v>
      </c>
      <c r="D1628" t="e">
        <f t="shared" ca="1" si="50"/>
        <v>#NAME?</v>
      </c>
      <c r="E1628" s="115" t="e">
        <f t="array" aca="1" ref="E1628" ca="1">IF(OR(C1627=0,AND(B1629=0,C1629=0)),"",IFERROR(INDEX($F$27:$F$36,MATCH(C1628,($F$27:$F$36)*($D$27:$D$36&lt;&gt;0),0)),IF(OR(AND(D1628=0,B1628=0,B1629&lt;&gt;0),AND(D1628*D1627&lt;0,B1628&lt;&gt;0)),IF(D1628=0,C1628,C1628*(1-ABS(D1628)/(ABS(D1628)+ABS(D1627)))+C1627*(1-ABS(D1627)/(ABS(D1628)+ABS(D1627)))),"")))</f>
        <v>#NAME?</v>
      </c>
    </row>
    <row r="1629" spans="2:5" x14ac:dyDescent="0.25">
      <c r="B1629" t="e">
        <f t="shared" ca="1" si="51"/>
        <v>#NAME?</v>
      </c>
      <c r="C1629">
        <v>1586</v>
      </c>
      <c r="D1629" t="e">
        <f t="shared" ca="1" si="50"/>
        <v>#NAME?</v>
      </c>
      <c r="E1629" s="115" t="e">
        <f t="array" aca="1" ref="E1629" ca="1">IF(OR(C1628=0,AND(B1630=0,C1630=0)),"",IFERROR(INDEX($F$27:$F$36,MATCH(C1629,($F$27:$F$36)*($D$27:$D$36&lt;&gt;0),0)),IF(OR(AND(D1629=0,B1629=0,B1630&lt;&gt;0),AND(D1629*D1628&lt;0,B1629&lt;&gt;0)),IF(D1629=0,C1629,C1629*(1-ABS(D1629)/(ABS(D1629)+ABS(D1628)))+C1628*(1-ABS(D1628)/(ABS(D1629)+ABS(D1628)))),"")))</f>
        <v>#NAME?</v>
      </c>
    </row>
    <row r="1630" spans="2:5" x14ac:dyDescent="0.25">
      <c r="B1630" t="e">
        <f t="shared" ca="1" si="51"/>
        <v>#NAME?</v>
      </c>
      <c r="C1630">
        <v>1587</v>
      </c>
      <c r="D1630" t="e">
        <f t="shared" ca="1" si="50"/>
        <v>#NAME?</v>
      </c>
      <c r="E1630" s="115" t="e">
        <f t="array" aca="1" ref="E1630" ca="1">IF(OR(C1629=0,AND(B1631=0,C1631=0)),"",IFERROR(INDEX($F$27:$F$36,MATCH(C1630,($F$27:$F$36)*($D$27:$D$36&lt;&gt;0),0)),IF(OR(AND(D1630=0,B1630=0,B1631&lt;&gt;0),AND(D1630*D1629&lt;0,B1630&lt;&gt;0)),IF(D1630=0,C1630,C1630*(1-ABS(D1630)/(ABS(D1630)+ABS(D1629)))+C1629*(1-ABS(D1629)/(ABS(D1630)+ABS(D1629)))),"")))</f>
        <v>#NAME?</v>
      </c>
    </row>
    <row r="1631" spans="2:5" x14ac:dyDescent="0.25">
      <c r="B1631" t="e">
        <f t="shared" ca="1" si="51"/>
        <v>#NAME?</v>
      </c>
      <c r="C1631">
        <v>1588</v>
      </c>
      <c r="D1631" t="e">
        <f t="shared" ca="1" si="50"/>
        <v>#NAME?</v>
      </c>
      <c r="E1631" s="115" t="e">
        <f t="array" aca="1" ref="E1631" ca="1">IF(OR(C1630=0,AND(B1632=0,C1632=0)),"",IFERROR(INDEX($F$27:$F$36,MATCH(C1631,($F$27:$F$36)*($D$27:$D$36&lt;&gt;0),0)),IF(OR(AND(D1631=0,B1631=0,B1632&lt;&gt;0),AND(D1631*D1630&lt;0,B1631&lt;&gt;0)),IF(D1631=0,C1631,C1631*(1-ABS(D1631)/(ABS(D1631)+ABS(D1630)))+C1630*(1-ABS(D1630)/(ABS(D1631)+ABS(D1630)))),"")))</f>
        <v>#NAME?</v>
      </c>
    </row>
    <row r="1632" spans="2:5" x14ac:dyDescent="0.25">
      <c r="B1632" t="e">
        <f t="shared" ca="1" si="51"/>
        <v>#NAME?</v>
      </c>
      <c r="C1632">
        <v>1589</v>
      </c>
      <c r="D1632" t="e">
        <f t="shared" ca="1" si="50"/>
        <v>#NAME?</v>
      </c>
      <c r="E1632" s="115" t="e">
        <f t="array" aca="1" ref="E1632" ca="1">IF(OR(C1631=0,AND(B1633=0,C1633=0)),"",IFERROR(INDEX($F$27:$F$36,MATCH(C1632,($F$27:$F$36)*($D$27:$D$36&lt;&gt;0),0)),IF(OR(AND(D1632=0,B1632=0,B1633&lt;&gt;0),AND(D1632*D1631&lt;0,B1632&lt;&gt;0)),IF(D1632=0,C1632,C1632*(1-ABS(D1632)/(ABS(D1632)+ABS(D1631)))+C1631*(1-ABS(D1631)/(ABS(D1632)+ABS(D1631)))),"")))</f>
        <v>#NAME?</v>
      </c>
    </row>
    <row r="1633" spans="2:5" x14ac:dyDescent="0.25">
      <c r="B1633" t="e">
        <f t="shared" ca="1" si="51"/>
        <v>#NAME?</v>
      </c>
      <c r="C1633">
        <v>1590</v>
      </c>
      <c r="D1633" t="e">
        <f t="shared" ca="1" si="50"/>
        <v>#NAME?</v>
      </c>
      <c r="E1633" s="115" t="e">
        <f t="array" aca="1" ref="E1633" ca="1">IF(OR(C1632=0,AND(B1634=0,C1634=0)),"",IFERROR(INDEX($F$27:$F$36,MATCH(C1633,($F$27:$F$36)*($D$27:$D$36&lt;&gt;0),0)),IF(OR(AND(D1633=0,B1633=0,B1634&lt;&gt;0),AND(D1633*D1632&lt;0,B1633&lt;&gt;0)),IF(D1633=0,C1633,C1633*(1-ABS(D1633)/(ABS(D1633)+ABS(D1632)))+C1632*(1-ABS(D1632)/(ABS(D1633)+ABS(D1632)))),"")))</f>
        <v>#NAME?</v>
      </c>
    </row>
    <row r="1634" spans="2:5" x14ac:dyDescent="0.25">
      <c r="B1634" t="e">
        <f t="shared" ca="1" si="51"/>
        <v>#NAME?</v>
      </c>
      <c r="C1634">
        <v>1591</v>
      </c>
      <c r="D1634" t="e">
        <f t="shared" ca="1" si="50"/>
        <v>#NAME?</v>
      </c>
      <c r="E1634" s="115" t="e">
        <f t="array" aca="1" ref="E1634" ca="1">IF(OR(C1633=0,AND(B1635=0,C1635=0)),"",IFERROR(INDEX($F$27:$F$36,MATCH(C1634,($F$27:$F$36)*($D$27:$D$36&lt;&gt;0),0)),IF(OR(AND(D1634=0,B1634=0,B1635&lt;&gt;0),AND(D1634*D1633&lt;0,B1634&lt;&gt;0)),IF(D1634=0,C1634,C1634*(1-ABS(D1634)/(ABS(D1634)+ABS(D1633)))+C1633*(1-ABS(D1633)/(ABS(D1634)+ABS(D1633)))),"")))</f>
        <v>#NAME?</v>
      </c>
    </row>
    <row r="1635" spans="2:5" x14ac:dyDescent="0.25">
      <c r="B1635" t="e">
        <f t="shared" ca="1" si="51"/>
        <v>#NAME?</v>
      </c>
      <c r="C1635">
        <v>1592</v>
      </c>
      <c r="D1635" t="e">
        <f t="shared" ca="1" si="50"/>
        <v>#NAME?</v>
      </c>
      <c r="E1635" s="115" t="e">
        <f t="array" aca="1" ref="E1635" ca="1">IF(OR(C1634=0,AND(B1636=0,C1636=0)),"",IFERROR(INDEX($F$27:$F$36,MATCH(C1635,($F$27:$F$36)*($D$27:$D$36&lt;&gt;0),0)),IF(OR(AND(D1635=0,B1635=0,B1636&lt;&gt;0),AND(D1635*D1634&lt;0,B1635&lt;&gt;0)),IF(D1635=0,C1635,C1635*(1-ABS(D1635)/(ABS(D1635)+ABS(D1634)))+C1634*(1-ABS(D1634)/(ABS(D1635)+ABS(D1634)))),"")))</f>
        <v>#NAME?</v>
      </c>
    </row>
    <row r="1636" spans="2:5" x14ac:dyDescent="0.25">
      <c r="B1636" t="e">
        <f t="shared" ca="1" si="51"/>
        <v>#NAME?</v>
      </c>
      <c r="C1636">
        <v>1593</v>
      </c>
      <c r="D1636" t="e">
        <f t="shared" ca="1" si="50"/>
        <v>#NAME?</v>
      </c>
      <c r="E1636" s="115" t="e">
        <f t="array" aca="1" ref="E1636" ca="1">IF(OR(C1635=0,AND(B1637=0,C1637=0)),"",IFERROR(INDEX($F$27:$F$36,MATCH(C1636,($F$27:$F$36)*($D$27:$D$36&lt;&gt;0),0)),IF(OR(AND(D1636=0,B1636=0,B1637&lt;&gt;0),AND(D1636*D1635&lt;0,B1636&lt;&gt;0)),IF(D1636=0,C1636,C1636*(1-ABS(D1636)/(ABS(D1636)+ABS(D1635)))+C1635*(1-ABS(D1635)/(ABS(D1636)+ABS(D1635)))),"")))</f>
        <v>#NAME?</v>
      </c>
    </row>
    <row r="1637" spans="2:5" x14ac:dyDescent="0.25">
      <c r="B1637" t="e">
        <f t="shared" ca="1" si="51"/>
        <v>#NAME?</v>
      </c>
      <c r="C1637">
        <v>1594</v>
      </c>
      <c r="D1637" t="e">
        <f t="shared" ca="1" si="50"/>
        <v>#NAME?</v>
      </c>
      <c r="E1637" s="115" t="e">
        <f t="array" aca="1" ref="E1637" ca="1">IF(OR(C1636=0,AND(B1638=0,C1638=0)),"",IFERROR(INDEX($F$27:$F$36,MATCH(C1637,($F$27:$F$36)*($D$27:$D$36&lt;&gt;0),0)),IF(OR(AND(D1637=0,B1637=0,B1638&lt;&gt;0),AND(D1637*D1636&lt;0,B1637&lt;&gt;0)),IF(D1637=0,C1637,C1637*(1-ABS(D1637)/(ABS(D1637)+ABS(D1636)))+C1636*(1-ABS(D1636)/(ABS(D1637)+ABS(D1636)))),"")))</f>
        <v>#NAME?</v>
      </c>
    </row>
    <row r="1638" spans="2:5" x14ac:dyDescent="0.25">
      <c r="B1638" t="e">
        <f t="shared" ca="1" si="51"/>
        <v>#NAME?</v>
      </c>
      <c r="C1638">
        <v>1595</v>
      </c>
      <c r="D1638" t="e">
        <f t="shared" ca="1" si="50"/>
        <v>#NAME?</v>
      </c>
      <c r="E1638" s="115" t="e">
        <f t="array" aca="1" ref="E1638" ca="1">IF(OR(C1637=0,AND(B1639=0,C1639=0)),"",IFERROR(INDEX($F$27:$F$36,MATCH(C1638,($F$27:$F$36)*($D$27:$D$36&lt;&gt;0),0)),IF(OR(AND(D1638=0,B1638=0,B1639&lt;&gt;0),AND(D1638*D1637&lt;0,B1638&lt;&gt;0)),IF(D1638=0,C1638,C1638*(1-ABS(D1638)/(ABS(D1638)+ABS(D1637)))+C1637*(1-ABS(D1637)/(ABS(D1638)+ABS(D1637)))),"")))</f>
        <v>#NAME?</v>
      </c>
    </row>
    <row r="1639" spans="2:5" x14ac:dyDescent="0.25">
      <c r="B1639" t="e">
        <f t="shared" ca="1" si="51"/>
        <v>#NAME?</v>
      </c>
      <c r="C1639">
        <v>1596</v>
      </c>
      <c r="D1639" t="e">
        <f t="shared" ca="1" si="50"/>
        <v>#NAME?</v>
      </c>
      <c r="E1639" s="115" t="e">
        <f t="array" aca="1" ref="E1639" ca="1">IF(OR(C1638=0,AND(B1640=0,C1640=0)),"",IFERROR(INDEX($F$27:$F$36,MATCH(C1639,($F$27:$F$36)*($D$27:$D$36&lt;&gt;0),0)),IF(OR(AND(D1639=0,B1639=0,B1640&lt;&gt;0),AND(D1639*D1638&lt;0,B1639&lt;&gt;0)),IF(D1639=0,C1639,C1639*(1-ABS(D1639)/(ABS(D1639)+ABS(D1638)))+C1638*(1-ABS(D1638)/(ABS(D1639)+ABS(D1638)))),"")))</f>
        <v>#NAME?</v>
      </c>
    </row>
    <row r="1640" spans="2:5" x14ac:dyDescent="0.25">
      <c r="B1640" t="e">
        <f t="shared" ca="1" si="51"/>
        <v>#NAME?</v>
      </c>
      <c r="C1640">
        <v>1597</v>
      </c>
      <c r="D1640" t="e">
        <f t="shared" ca="1" si="50"/>
        <v>#NAME?</v>
      </c>
      <c r="E1640" s="115" t="e">
        <f t="array" aca="1" ref="E1640" ca="1">IF(OR(C1639=0,AND(B1641=0,C1641=0)),"",IFERROR(INDEX($F$27:$F$36,MATCH(C1640,($F$27:$F$36)*($D$27:$D$36&lt;&gt;0),0)),IF(OR(AND(D1640=0,B1640=0,B1641&lt;&gt;0),AND(D1640*D1639&lt;0,B1640&lt;&gt;0)),IF(D1640=0,C1640,C1640*(1-ABS(D1640)/(ABS(D1640)+ABS(D1639)))+C1639*(1-ABS(D1639)/(ABS(D1640)+ABS(D1639)))),"")))</f>
        <v>#NAME?</v>
      </c>
    </row>
    <row r="1641" spans="2:5" x14ac:dyDescent="0.25">
      <c r="B1641" t="e">
        <f t="shared" ca="1" si="51"/>
        <v>#NAME?</v>
      </c>
      <c r="C1641">
        <v>1598</v>
      </c>
      <c r="D1641" t="e">
        <f t="shared" ca="1" si="50"/>
        <v>#NAME?</v>
      </c>
      <c r="E1641" s="115" t="e">
        <f t="array" aca="1" ref="E1641" ca="1">IF(OR(C1640=0,AND(B1642=0,C1642=0)),"",IFERROR(INDEX($F$27:$F$36,MATCH(C1641,($F$27:$F$36)*($D$27:$D$36&lt;&gt;0),0)),IF(OR(AND(D1641=0,B1641=0,B1642&lt;&gt;0),AND(D1641*D1640&lt;0,B1641&lt;&gt;0)),IF(D1641=0,C1641,C1641*(1-ABS(D1641)/(ABS(D1641)+ABS(D1640)))+C1640*(1-ABS(D1640)/(ABS(D1641)+ABS(D1640)))),"")))</f>
        <v>#NAME?</v>
      </c>
    </row>
    <row r="1642" spans="2:5" x14ac:dyDescent="0.25">
      <c r="B1642" t="e">
        <f t="shared" ca="1" si="51"/>
        <v>#NAME?</v>
      </c>
      <c r="C1642">
        <v>1599</v>
      </c>
      <c r="D1642" t="e">
        <f t="shared" ca="1" si="50"/>
        <v>#NAME?</v>
      </c>
      <c r="E1642" s="115" t="e">
        <f t="array" aca="1" ref="E1642" ca="1">IF(OR(C1641=0,AND(B1643=0,C1643=0)),"",IFERROR(INDEX($F$27:$F$36,MATCH(C1642,($F$27:$F$36)*($D$27:$D$36&lt;&gt;0),0)),IF(OR(AND(D1642=0,B1642=0,B1643&lt;&gt;0),AND(D1642*D1641&lt;0,B1642&lt;&gt;0)),IF(D1642=0,C1642,C1642*(1-ABS(D1642)/(ABS(D1642)+ABS(D1641)))+C1641*(1-ABS(D1641)/(ABS(D1642)+ABS(D1641)))),"")))</f>
        <v>#NAME?</v>
      </c>
    </row>
    <row r="1643" spans="2:5" x14ac:dyDescent="0.25">
      <c r="B1643" t="e">
        <f t="shared" ca="1" si="51"/>
        <v>#NAME?</v>
      </c>
      <c r="C1643">
        <v>1600</v>
      </c>
      <c r="D1643" t="e">
        <f t="shared" ref="D1643:D1706" ca="1" si="52">SUMPRODUCT(--($J$27:$J$37&gt;0),--($C1643-$F$27:$F$37&gt;0),($D$27:$D$37),($C1643-$F$27:$F$37))+SUMPRODUCT(--($J$27:$J$37&lt;0),--($F$27:$F$37-$C1643&gt;0),($D$27:$D$37),($F$27:$F$37-$C1643))-SUMPRODUCT($D$27:$D$37,$E$27:$E$37)</f>
        <v>#NAME?</v>
      </c>
      <c r="E1643" s="115" t="e">
        <f t="array" aca="1" ref="E1643" ca="1">IF(OR(C1642=0,AND(B1644=0,C1644=0)),"",IFERROR(INDEX($F$27:$F$36,MATCH(C1643,($F$27:$F$36)*($D$27:$D$36&lt;&gt;0),0)),IF(OR(AND(D1643=0,B1643=0,B1644&lt;&gt;0),AND(D1643*D1642&lt;0,B1643&lt;&gt;0)),IF(D1643=0,C1643,C1643*(1-ABS(D1643)/(ABS(D1643)+ABS(D1642)))+C1642*(1-ABS(D1642)/(ABS(D1643)+ABS(D1642)))),"")))</f>
        <v>#NAME?</v>
      </c>
    </row>
    <row r="1644" spans="2:5" x14ac:dyDescent="0.25">
      <c r="B1644" t="e">
        <f t="shared" ref="B1644:B1707" ca="1" si="53">ROUND((D1644-D1643)/(C1644-C1643),12)</f>
        <v>#NAME?</v>
      </c>
      <c r="C1644">
        <v>1601</v>
      </c>
      <c r="D1644" t="e">
        <f t="shared" ca="1" si="52"/>
        <v>#NAME?</v>
      </c>
      <c r="E1644" s="115" t="e">
        <f t="array" aca="1" ref="E1644" ca="1">IF(OR(C1643=0,AND(B1645=0,C1645=0)),"",IFERROR(INDEX($F$27:$F$36,MATCH(C1644,($F$27:$F$36)*($D$27:$D$36&lt;&gt;0),0)),IF(OR(AND(D1644=0,B1644=0,B1645&lt;&gt;0),AND(D1644*D1643&lt;0,B1644&lt;&gt;0)),IF(D1644=0,C1644,C1644*(1-ABS(D1644)/(ABS(D1644)+ABS(D1643)))+C1643*(1-ABS(D1643)/(ABS(D1644)+ABS(D1643)))),"")))</f>
        <v>#NAME?</v>
      </c>
    </row>
    <row r="1645" spans="2:5" x14ac:dyDescent="0.25">
      <c r="B1645" t="e">
        <f t="shared" ca="1" si="53"/>
        <v>#NAME?</v>
      </c>
      <c r="C1645">
        <v>1602</v>
      </c>
      <c r="D1645" t="e">
        <f t="shared" ca="1" si="52"/>
        <v>#NAME?</v>
      </c>
      <c r="E1645" s="115" t="e">
        <f t="array" aca="1" ref="E1645" ca="1">IF(OR(C1644=0,AND(B1646=0,C1646=0)),"",IFERROR(INDEX($F$27:$F$36,MATCH(C1645,($F$27:$F$36)*($D$27:$D$36&lt;&gt;0),0)),IF(OR(AND(D1645=0,B1645=0,B1646&lt;&gt;0),AND(D1645*D1644&lt;0,B1645&lt;&gt;0)),IF(D1645=0,C1645,C1645*(1-ABS(D1645)/(ABS(D1645)+ABS(D1644)))+C1644*(1-ABS(D1644)/(ABS(D1645)+ABS(D1644)))),"")))</f>
        <v>#NAME?</v>
      </c>
    </row>
    <row r="1646" spans="2:5" x14ac:dyDescent="0.25">
      <c r="B1646" t="e">
        <f t="shared" ca="1" si="53"/>
        <v>#NAME?</v>
      </c>
      <c r="C1646">
        <v>1603</v>
      </c>
      <c r="D1646" t="e">
        <f t="shared" ca="1" si="52"/>
        <v>#NAME?</v>
      </c>
      <c r="E1646" s="115" t="e">
        <f t="array" aca="1" ref="E1646" ca="1">IF(OR(C1645=0,AND(B1647=0,C1647=0)),"",IFERROR(INDEX($F$27:$F$36,MATCH(C1646,($F$27:$F$36)*($D$27:$D$36&lt;&gt;0),0)),IF(OR(AND(D1646=0,B1646=0,B1647&lt;&gt;0),AND(D1646*D1645&lt;0,B1646&lt;&gt;0)),IF(D1646=0,C1646,C1646*(1-ABS(D1646)/(ABS(D1646)+ABS(D1645)))+C1645*(1-ABS(D1645)/(ABS(D1646)+ABS(D1645)))),"")))</f>
        <v>#NAME?</v>
      </c>
    </row>
    <row r="1647" spans="2:5" x14ac:dyDescent="0.25">
      <c r="B1647" t="e">
        <f t="shared" ca="1" si="53"/>
        <v>#NAME?</v>
      </c>
      <c r="C1647">
        <v>1604</v>
      </c>
      <c r="D1647" t="e">
        <f t="shared" ca="1" si="52"/>
        <v>#NAME?</v>
      </c>
      <c r="E1647" s="115" t="e">
        <f t="array" aca="1" ref="E1647" ca="1">IF(OR(C1646=0,AND(B1648=0,C1648=0)),"",IFERROR(INDEX($F$27:$F$36,MATCH(C1647,($F$27:$F$36)*($D$27:$D$36&lt;&gt;0),0)),IF(OR(AND(D1647=0,B1647=0,B1648&lt;&gt;0),AND(D1647*D1646&lt;0,B1647&lt;&gt;0)),IF(D1647=0,C1647,C1647*(1-ABS(D1647)/(ABS(D1647)+ABS(D1646)))+C1646*(1-ABS(D1646)/(ABS(D1647)+ABS(D1646)))),"")))</f>
        <v>#NAME?</v>
      </c>
    </row>
    <row r="1648" spans="2:5" x14ac:dyDescent="0.25">
      <c r="B1648" t="e">
        <f t="shared" ca="1" si="53"/>
        <v>#NAME?</v>
      </c>
      <c r="C1648">
        <v>1605</v>
      </c>
      <c r="D1648" t="e">
        <f t="shared" ca="1" si="52"/>
        <v>#NAME?</v>
      </c>
      <c r="E1648" s="115" t="e">
        <f t="array" aca="1" ref="E1648" ca="1">IF(OR(C1647=0,AND(B1649=0,C1649=0)),"",IFERROR(INDEX($F$27:$F$36,MATCH(C1648,($F$27:$F$36)*($D$27:$D$36&lt;&gt;0),0)),IF(OR(AND(D1648=0,B1648=0,B1649&lt;&gt;0),AND(D1648*D1647&lt;0,B1648&lt;&gt;0)),IF(D1648=0,C1648,C1648*(1-ABS(D1648)/(ABS(D1648)+ABS(D1647)))+C1647*(1-ABS(D1647)/(ABS(D1648)+ABS(D1647)))),"")))</f>
        <v>#NAME?</v>
      </c>
    </row>
    <row r="1649" spans="2:5" x14ac:dyDescent="0.25">
      <c r="B1649" t="e">
        <f t="shared" ca="1" si="53"/>
        <v>#NAME?</v>
      </c>
      <c r="C1649">
        <v>1606</v>
      </c>
      <c r="D1649" t="e">
        <f t="shared" ca="1" si="52"/>
        <v>#NAME?</v>
      </c>
      <c r="E1649" s="115" t="e">
        <f t="array" aca="1" ref="E1649" ca="1">IF(OR(C1648=0,AND(B1650=0,C1650=0)),"",IFERROR(INDEX($F$27:$F$36,MATCH(C1649,($F$27:$F$36)*($D$27:$D$36&lt;&gt;0),0)),IF(OR(AND(D1649=0,B1649=0,B1650&lt;&gt;0),AND(D1649*D1648&lt;0,B1649&lt;&gt;0)),IF(D1649=0,C1649,C1649*(1-ABS(D1649)/(ABS(D1649)+ABS(D1648)))+C1648*(1-ABS(D1648)/(ABS(D1649)+ABS(D1648)))),"")))</f>
        <v>#NAME?</v>
      </c>
    </row>
    <row r="1650" spans="2:5" x14ac:dyDescent="0.25">
      <c r="B1650" t="e">
        <f t="shared" ca="1" si="53"/>
        <v>#NAME?</v>
      </c>
      <c r="C1650">
        <v>1607</v>
      </c>
      <c r="D1650" t="e">
        <f t="shared" ca="1" si="52"/>
        <v>#NAME?</v>
      </c>
      <c r="E1650" s="115" t="e">
        <f t="array" aca="1" ref="E1650" ca="1">IF(OR(C1649=0,AND(B1651=0,C1651=0)),"",IFERROR(INDEX($F$27:$F$36,MATCH(C1650,($F$27:$F$36)*($D$27:$D$36&lt;&gt;0),0)),IF(OR(AND(D1650=0,B1650=0,B1651&lt;&gt;0),AND(D1650*D1649&lt;0,B1650&lt;&gt;0)),IF(D1650=0,C1650,C1650*(1-ABS(D1650)/(ABS(D1650)+ABS(D1649)))+C1649*(1-ABS(D1649)/(ABS(D1650)+ABS(D1649)))),"")))</f>
        <v>#NAME?</v>
      </c>
    </row>
    <row r="1651" spans="2:5" x14ac:dyDescent="0.25">
      <c r="B1651" t="e">
        <f t="shared" ca="1" si="53"/>
        <v>#NAME?</v>
      </c>
      <c r="C1651">
        <v>1608</v>
      </c>
      <c r="D1651" t="e">
        <f t="shared" ca="1" si="52"/>
        <v>#NAME?</v>
      </c>
      <c r="E1651" s="115" t="e">
        <f t="array" aca="1" ref="E1651" ca="1">IF(OR(C1650=0,AND(B1652=0,C1652=0)),"",IFERROR(INDEX($F$27:$F$36,MATCH(C1651,($F$27:$F$36)*($D$27:$D$36&lt;&gt;0),0)),IF(OR(AND(D1651=0,B1651=0,B1652&lt;&gt;0),AND(D1651*D1650&lt;0,B1651&lt;&gt;0)),IF(D1651=0,C1651,C1651*(1-ABS(D1651)/(ABS(D1651)+ABS(D1650)))+C1650*(1-ABS(D1650)/(ABS(D1651)+ABS(D1650)))),"")))</f>
        <v>#NAME?</v>
      </c>
    </row>
    <row r="1652" spans="2:5" x14ac:dyDescent="0.25">
      <c r="B1652" t="e">
        <f t="shared" ca="1" si="53"/>
        <v>#NAME?</v>
      </c>
      <c r="C1652">
        <v>1609</v>
      </c>
      <c r="D1652" t="e">
        <f t="shared" ca="1" si="52"/>
        <v>#NAME?</v>
      </c>
      <c r="E1652" s="115" t="e">
        <f t="array" aca="1" ref="E1652" ca="1">IF(OR(C1651=0,AND(B1653=0,C1653=0)),"",IFERROR(INDEX($F$27:$F$36,MATCH(C1652,($F$27:$F$36)*($D$27:$D$36&lt;&gt;0),0)),IF(OR(AND(D1652=0,B1652=0,B1653&lt;&gt;0),AND(D1652*D1651&lt;0,B1652&lt;&gt;0)),IF(D1652=0,C1652,C1652*(1-ABS(D1652)/(ABS(D1652)+ABS(D1651)))+C1651*(1-ABS(D1651)/(ABS(D1652)+ABS(D1651)))),"")))</f>
        <v>#NAME?</v>
      </c>
    </row>
    <row r="1653" spans="2:5" x14ac:dyDescent="0.25">
      <c r="B1653" t="e">
        <f t="shared" ca="1" si="53"/>
        <v>#NAME?</v>
      </c>
      <c r="C1653">
        <v>1610</v>
      </c>
      <c r="D1653" t="e">
        <f t="shared" ca="1" si="52"/>
        <v>#NAME?</v>
      </c>
      <c r="E1653" s="115" t="e">
        <f t="array" aca="1" ref="E1653" ca="1">IF(OR(C1652=0,AND(B1654=0,C1654=0)),"",IFERROR(INDEX($F$27:$F$36,MATCH(C1653,($F$27:$F$36)*($D$27:$D$36&lt;&gt;0),0)),IF(OR(AND(D1653=0,B1653=0,B1654&lt;&gt;0),AND(D1653*D1652&lt;0,B1653&lt;&gt;0)),IF(D1653=0,C1653,C1653*(1-ABS(D1653)/(ABS(D1653)+ABS(D1652)))+C1652*(1-ABS(D1652)/(ABS(D1653)+ABS(D1652)))),"")))</f>
        <v>#NAME?</v>
      </c>
    </row>
    <row r="1654" spans="2:5" x14ac:dyDescent="0.25">
      <c r="B1654" t="e">
        <f t="shared" ca="1" si="53"/>
        <v>#NAME?</v>
      </c>
      <c r="C1654">
        <v>1611</v>
      </c>
      <c r="D1654" t="e">
        <f t="shared" ca="1" si="52"/>
        <v>#NAME?</v>
      </c>
      <c r="E1654" s="115" t="e">
        <f t="array" aca="1" ref="E1654" ca="1">IF(OR(C1653=0,AND(B1655=0,C1655=0)),"",IFERROR(INDEX($F$27:$F$36,MATCH(C1654,($F$27:$F$36)*($D$27:$D$36&lt;&gt;0),0)),IF(OR(AND(D1654=0,B1654=0,B1655&lt;&gt;0),AND(D1654*D1653&lt;0,B1654&lt;&gt;0)),IF(D1654=0,C1654,C1654*(1-ABS(D1654)/(ABS(D1654)+ABS(D1653)))+C1653*(1-ABS(D1653)/(ABS(D1654)+ABS(D1653)))),"")))</f>
        <v>#NAME?</v>
      </c>
    </row>
    <row r="1655" spans="2:5" x14ac:dyDescent="0.25">
      <c r="B1655" t="e">
        <f t="shared" ca="1" si="53"/>
        <v>#NAME?</v>
      </c>
      <c r="C1655">
        <v>1612</v>
      </c>
      <c r="D1655" t="e">
        <f t="shared" ca="1" si="52"/>
        <v>#NAME?</v>
      </c>
      <c r="E1655" s="115" t="e">
        <f t="array" aca="1" ref="E1655" ca="1">IF(OR(C1654=0,AND(B1656=0,C1656=0)),"",IFERROR(INDEX($F$27:$F$36,MATCH(C1655,($F$27:$F$36)*($D$27:$D$36&lt;&gt;0),0)),IF(OR(AND(D1655=0,B1655=0,B1656&lt;&gt;0),AND(D1655*D1654&lt;0,B1655&lt;&gt;0)),IF(D1655=0,C1655,C1655*(1-ABS(D1655)/(ABS(D1655)+ABS(D1654)))+C1654*(1-ABS(D1654)/(ABS(D1655)+ABS(D1654)))),"")))</f>
        <v>#NAME?</v>
      </c>
    </row>
    <row r="1656" spans="2:5" x14ac:dyDescent="0.25">
      <c r="B1656" t="e">
        <f t="shared" ca="1" si="53"/>
        <v>#NAME?</v>
      </c>
      <c r="C1656">
        <v>1613</v>
      </c>
      <c r="D1656" t="e">
        <f t="shared" ca="1" si="52"/>
        <v>#NAME?</v>
      </c>
      <c r="E1656" s="115" t="e">
        <f t="array" aca="1" ref="E1656" ca="1">IF(OR(C1655=0,AND(B1657=0,C1657=0)),"",IFERROR(INDEX($F$27:$F$36,MATCH(C1656,($F$27:$F$36)*($D$27:$D$36&lt;&gt;0),0)),IF(OR(AND(D1656=0,B1656=0,B1657&lt;&gt;0),AND(D1656*D1655&lt;0,B1656&lt;&gt;0)),IF(D1656=0,C1656,C1656*(1-ABS(D1656)/(ABS(D1656)+ABS(D1655)))+C1655*(1-ABS(D1655)/(ABS(D1656)+ABS(D1655)))),"")))</f>
        <v>#NAME?</v>
      </c>
    </row>
    <row r="1657" spans="2:5" x14ac:dyDescent="0.25">
      <c r="B1657" t="e">
        <f t="shared" ca="1" si="53"/>
        <v>#NAME?</v>
      </c>
      <c r="C1657">
        <v>1614</v>
      </c>
      <c r="D1657" t="e">
        <f t="shared" ca="1" si="52"/>
        <v>#NAME?</v>
      </c>
      <c r="E1657" s="115" t="e">
        <f t="array" aca="1" ref="E1657" ca="1">IF(OR(C1656=0,AND(B1658=0,C1658=0)),"",IFERROR(INDEX($F$27:$F$36,MATCH(C1657,($F$27:$F$36)*($D$27:$D$36&lt;&gt;0),0)),IF(OR(AND(D1657=0,B1657=0,B1658&lt;&gt;0),AND(D1657*D1656&lt;0,B1657&lt;&gt;0)),IF(D1657=0,C1657,C1657*(1-ABS(D1657)/(ABS(D1657)+ABS(D1656)))+C1656*(1-ABS(D1656)/(ABS(D1657)+ABS(D1656)))),"")))</f>
        <v>#NAME?</v>
      </c>
    </row>
    <row r="1658" spans="2:5" x14ac:dyDescent="0.25">
      <c r="B1658" t="e">
        <f t="shared" ca="1" si="53"/>
        <v>#NAME?</v>
      </c>
      <c r="C1658">
        <v>1615</v>
      </c>
      <c r="D1658" t="e">
        <f t="shared" ca="1" si="52"/>
        <v>#NAME?</v>
      </c>
      <c r="E1658" s="115" t="e">
        <f t="array" aca="1" ref="E1658" ca="1">IF(OR(C1657=0,AND(B1659=0,C1659=0)),"",IFERROR(INDEX($F$27:$F$36,MATCH(C1658,($F$27:$F$36)*($D$27:$D$36&lt;&gt;0),0)),IF(OR(AND(D1658=0,B1658=0,B1659&lt;&gt;0),AND(D1658*D1657&lt;0,B1658&lt;&gt;0)),IF(D1658=0,C1658,C1658*(1-ABS(D1658)/(ABS(D1658)+ABS(D1657)))+C1657*(1-ABS(D1657)/(ABS(D1658)+ABS(D1657)))),"")))</f>
        <v>#NAME?</v>
      </c>
    </row>
    <row r="1659" spans="2:5" x14ac:dyDescent="0.25">
      <c r="B1659" t="e">
        <f t="shared" ca="1" si="53"/>
        <v>#NAME?</v>
      </c>
      <c r="C1659">
        <v>1616</v>
      </c>
      <c r="D1659" t="e">
        <f t="shared" ca="1" si="52"/>
        <v>#NAME?</v>
      </c>
      <c r="E1659" s="115" t="e">
        <f t="array" aca="1" ref="E1659" ca="1">IF(OR(C1658=0,AND(B1660=0,C1660=0)),"",IFERROR(INDEX($F$27:$F$36,MATCH(C1659,($F$27:$F$36)*($D$27:$D$36&lt;&gt;0),0)),IF(OR(AND(D1659=0,B1659=0,B1660&lt;&gt;0),AND(D1659*D1658&lt;0,B1659&lt;&gt;0)),IF(D1659=0,C1659,C1659*(1-ABS(D1659)/(ABS(D1659)+ABS(D1658)))+C1658*(1-ABS(D1658)/(ABS(D1659)+ABS(D1658)))),"")))</f>
        <v>#NAME?</v>
      </c>
    </row>
    <row r="1660" spans="2:5" x14ac:dyDescent="0.25">
      <c r="B1660" t="e">
        <f t="shared" ca="1" si="53"/>
        <v>#NAME?</v>
      </c>
      <c r="C1660">
        <v>1617</v>
      </c>
      <c r="D1660" t="e">
        <f t="shared" ca="1" si="52"/>
        <v>#NAME?</v>
      </c>
      <c r="E1660" s="115" t="e">
        <f t="array" aca="1" ref="E1660" ca="1">IF(OR(C1659=0,AND(B1661=0,C1661=0)),"",IFERROR(INDEX($F$27:$F$36,MATCH(C1660,($F$27:$F$36)*($D$27:$D$36&lt;&gt;0),0)),IF(OR(AND(D1660=0,B1660=0,B1661&lt;&gt;0),AND(D1660*D1659&lt;0,B1660&lt;&gt;0)),IF(D1660=0,C1660,C1660*(1-ABS(D1660)/(ABS(D1660)+ABS(D1659)))+C1659*(1-ABS(D1659)/(ABS(D1660)+ABS(D1659)))),"")))</f>
        <v>#NAME?</v>
      </c>
    </row>
    <row r="1661" spans="2:5" x14ac:dyDescent="0.25">
      <c r="B1661" t="e">
        <f t="shared" ca="1" si="53"/>
        <v>#NAME?</v>
      </c>
      <c r="C1661">
        <v>1618</v>
      </c>
      <c r="D1661" t="e">
        <f t="shared" ca="1" si="52"/>
        <v>#NAME?</v>
      </c>
      <c r="E1661" s="115" t="e">
        <f t="array" aca="1" ref="E1661" ca="1">IF(OR(C1660=0,AND(B1662=0,C1662=0)),"",IFERROR(INDEX($F$27:$F$36,MATCH(C1661,($F$27:$F$36)*($D$27:$D$36&lt;&gt;0),0)),IF(OR(AND(D1661=0,B1661=0,B1662&lt;&gt;0),AND(D1661*D1660&lt;0,B1661&lt;&gt;0)),IF(D1661=0,C1661,C1661*(1-ABS(D1661)/(ABS(D1661)+ABS(D1660)))+C1660*(1-ABS(D1660)/(ABS(D1661)+ABS(D1660)))),"")))</f>
        <v>#NAME?</v>
      </c>
    </row>
    <row r="1662" spans="2:5" x14ac:dyDescent="0.25">
      <c r="B1662" t="e">
        <f t="shared" ca="1" si="53"/>
        <v>#NAME?</v>
      </c>
      <c r="C1662">
        <v>1619</v>
      </c>
      <c r="D1662" t="e">
        <f t="shared" ca="1" si="52"/>
        <v>#NAME?</v>
      </c>
      <c r="E1662" s="115" t="e">
        <f t="array" aca="1" ref="E1662" ca="1">IF(OR(C1661=0,AND(B1663=0,C1663=0)),"",IFERROR(INDEX($F$27:$F$36,MATCH(C1662,($F$27:$F$36)*($D$27:$D$36&lt;&gt;0),0)),IF(OR(AND(D1662=0,B1662=0,B1663&lt;&gt;0),AND(D1662*D1661&lt;0,B1662&lt;&gt;0)),IF(D1662=0,C1662,C1662*(1-ABS(D1662)/(ABS(D1662)+ABS(D1661)))+C1661*(1-ABS(D1661)/(ABS(D1662)+ABS(D1661)))),"")))</f>
        <v>#NAME?</v>
      </c>
    </row>
    <row r="1663" spans="2:5" x14ac:dyDescent="0.25">
      <c r="B1663" t="e">
        <f t="shared" ca="1" si="53"/>
        <v>#NAME?</v>
      </c>
      <c r="C1663">
        <v>1620</v>
      </c>
      <c r="D1663" t="e">
        <f t="shared" ca="1" si="52"/>
        <v>#NAME?</v>
      </c>
      <c r="E1663" s="115" t="e">
        <f t="array" aca="1" ref="E1663" ca="1">IF(OR(C1662=0,AND(B1664=0,C1664=0)),"",IFERROR(INDEX($F$27:$F$36,MATCH(C1663,($F$27:$F$36)*($D$27:$D$36&lt;&gt;0),0)),IF(OR(AND(D1663=0,B1663=0,B1664&lt;&gt;0),AND(D1663*D1662&lt;0,B1663&lt;&gt;0)),IF(D1663=0,C1663,C1663*(1-ABS(D1663)/(ABS(D1663)+ABS(D1662)))+C1662*(1-ABS(D1662)/(ABS(D1663)+ABS(D1662)))),"")))</f>
        <v>#NAME?</v>
      </c>
    </row>
    <row r="1664" spans="2:5" x14ac:dyDescent="0.25">
      <c r="B1664" t="e">
        <f t="shared" ca="1" si="53"/>
        <v>#NAME?</v>
      </c>
      <c r="C1664">
        <v>1621</v>
      </c>
      <c r="D1664" t="e">
        <f t="shared" ca="1" si="52"/>
        <v>#NAME?</v>
      </c>
      <c r="E1664" s="115" t="e">
        <f t="array" aca="1" ref="E1664" ca="1">IF(OR(C1663=0,AND(B1665=0,C1665=0)),"",IFERROR(INDEX($F$27:$F$36,MATCH(C1664,($F$27:$F$36)*($D$27:$D$36&lt;&gt;0),0)),IF(OR(AND(D1664=0,B1664=0,B1665&lt;&gt;0),AND(D1664*D1663&lt;0,B1664&lt;&gt;0)),IF(D1664=0,C1664,C1664*(1-ABS(D1664)/(ABS(D1664)+ABS(D1663)))+C1663*(1-ABS(D1663)/(ABS(D1664)+ABS(D1663)))),"")))</f>
        <v>#NAME?</v>
      </c>
    </row>
    <row r="1665" spans="2:5" x14ac:dyDescent="0.25">
      <c r="B1665" t="e">
        <f t="shared" ca="1" si="53"/>
        <v>#NAME?</v>
      </c>
      <c r="C1665">
        <v>1622</v>
      </c>
      <c r="D1665" t="e">
        <f t="shared" ca="1" si="52"/>
        <v>#NAME?</v>
      </c>
      <c r="E1665" s="115" t="e">
        <f t="array" aca="1" ref="E1665" ca="1">IF(OR(C1664=0,AND(B1666=0,C1666=0)),"",IFERROR(INDEX($F$27:$F$36,MATCH(C1665,($F$27:$F$36)*($D$27:$D$36&lt;&gt;0),0)),IF(OR(AND(D1665=0,B1665=0,B1666&lt;&gt;0),AND(D1665*D1664&lt;0,B1665&lt;&gt;0)),IF(D1665=0,C1665,C1665*(1-ABS(D1665)/(ABS(D1665)+ABS(D1664)))+C1664*(1-ABS(D1664)/(ABS(D1665)+ABS(D1664)))),"")))</f>
        <v>#NAME?</v>
      </c>
    </row>
    <row r="1666" spans="2:5" x14ac:dyDescent="0.25">
      <c r="B1666" t="e">
        <f t="shared" ca="1" si="53"/>
        <v>#NAME?</v>
      </c>
      <c r="C1666">
        <v>1623</v>
      </c>
      <c r="D1666" t="e">
        <f t="shared" ca="1" si="52"/>
        <v>#NAME?</v>
      </c>
      <c r="E1666" s="115" t="e">
        <f t="array" aca="1" ref="E1666" ca="1">IF(OR(C1665=0,AND(B1667=0,C1667=0)),"",IFERROR(INDEX($F$27:$F$36,MATCH(C1666,($F$27:$F$36)*($D$27:$D$36&lt;&gt;0),0)),IF(OR(AND(D1666=0,B1666=0,B1667&lt;&gt;0),AND(D1666*D1665&lt;0,B1666&lt;&gt;0)),IF(D1666=0,C1666,C1666*(1-ABS(D1666)/(ABS(D1666)+ABS(D1665)))+C1665*(1-ABS(D1665)/(ABS(D1666)+ABS(D1665)))),"")))</f>
        <v>#NAME?</v>
      </c>
    </row>
    <row r="1667" spans="2:5" x14ac:dyDescent="0.25">
      <c r="B1667" t="e">
        <f t="shared" ca="1" si="53"/>
        <v>#NAME?</v>
      </c>
      <c r="C1667">
        <v>1624</v>
      </c>
      <c r="D1667" t="e">
        <f t="shared" ca="1" si="52"/>
        <v>#NAME?</v>
      </c>
      <c r="E1667" s="115" t="e">
        <f t="array" aca="1" ref="E1667" ca="1">IF(OR(C1666=0,AND(B1668=0,C1668=0)),"",IFERROR(INDEX($F$27:$F$36,MATCH(C1667,($F$27:$F$36)*($D$27:$D$36&lt;&gt;0),0)),IF(OR(AND(D1667=0,B1667=0,B1668&lt;&gt;0),AND(D1667*D1666&lt;0,B1667&lt;&gt;0)),IF(D1667=0,C1667,C1667*(1-ABS(D1667)/(ABS(D1667)+ABS(D1666)))+C1666*(1-ABS(D1666)/(ABS(D1667)+ABS(D1666)))),"")))</f>
        <v>#NAME?</v>
      </c>
    </row>
    <row r="1668" spans="2:5" x14ac:dyDescent="0.25">
      <c r="B1668" t="e">
        <f t="shared" ca="1" si="53"/>
        <v>#NAME?</v>
      </c>
      <c r="C1668">
        <v>1625</v>
      </c>
      <c r="D1668" t="e">
        <f t="shared" ca="1" si="52"/>
        <v>#NAME?</v>
      </c>
      <c r="E1668" s="115" t="e">
        <f t="array" aca="1" ref="E1668" ca="1">IF(OR(C1667=0,AND(B1669=0,C1669=0)),"",IFERROR(INDEX($F$27:$F$36,MATCH(C1668,($F$27:$F$36)*($D$27:$D$36&lt;&gt;0),0)),IF(OR(AND(D1668=0,B1668=0,B1669&lt;&gt;0),AND(D1668*D1667&lt;0,B1668&lt;&gt;0)),IF(D1668=0,C1668,C1668*(1-ABS(D1668)/(ABS(D1668)+ABS(D1667)))+C1667*(1-ABS(D1667)/(ABS(D1668)+ABS(D1667)))),"")))</f>
        <v>#NAME?</v>
      </c>
    </row>
    <row r="1669" spans="2:5" x14ac:dyDescent="0.25">
      <c r="B1669" t="e">
        <f t="shared" ca="1" si="53"/>
        <v>#NAME?</v>
      </c>
      <c r="C1669">
        <v>1626</v>
      </c>
      <c r="D1669" t="e">
        <f t="shared" ca="1" si="52"/>
        <v>#NAME?</v>
      </c>
      <c r="E1669" s="115" t="e">
        <f t="array" aca="1" ref="E1669" ca="1">IF(OR(C1668=0,AND(B1670=0,C1670=0)),"",IFERROR(INDEX($F$27:$F$36,MATCH(C1669,($F$27:$F$36)*($D$27:$D$36&lt;&gt;0),0)),IF(OR(AND(D1669=0,B1669=0,B1670&lt;&gt;0),AND(D1669*D1668&lt;0,B1669&lt;&gt;0)),IF(D1669=0,C1669,C1669*(1-ABS(D1669)/(ABS(D1669)+ABS(D1668)))+C1668*(1-ABS(D1668)/(ABS(D1669)+ABS(D1668)))),"")))</f>
        <v>#NAME?</v>
      </c>
    </row>
    <row r="1670" spans="2:5" x14ac:dyDescent="0.25">
      <c r="B1670" t="e">
        <f t="shared" ca="1" si="53"/>
        <v>#NAME?</v>
      </c>
      <c r="C1670">
        <v>1627</v>
      </c>
      <c r="D1670" t="e">
        <f t="shared" ca="1" si="52"/>
        <v>#NAME?</v>
      </c>
      <c r="E1670" s="115" t="e">
        <f t="array" aca="1" ref="E1670" ca="1">IF(OR(C1669=0,AND(B1671=0,C1671=0)),"",IFERROR(INDEX($F$27:$F$36,MATCH(C1670,($F$27:$F$36)*($D$27:$D$36&lt;&gt;0),0)),IF(OR(AND(D1670=0,B1670=0,B1671&lt;&gt;0),AND(D1670*D1669&lt;0,B1670&lt;&gt;0)),IF(D1670=0,C1670,C1670*(1-ABS(D1670)/(ABS(D1670)+ABS(D1669)))+C1669*(1-ABS(D1669)/(ABS(D1670)+ABS(D1669)))),"")))</f>
        <v>#NAME?</v>
      </c>
    </row>
    <row r="1671" spans="2:5" x14ac:dyDescent="0.25">
      <c r="B1671" t="e">
        <f t="shared" ca="1" si="53"/>
        <v>#NAME?</v>
      </c>
      <c r="C1671">
        <v>1628</v>
      </c>
      <c r="D1671" t="e">
        <f t="shared" ca="1" si="52"/>
        <v>#NAME?</v>
      </c>
      <c r="E1671" s="115" t="e">
        <f t="array" aca="1" ref="E1671" ca="1">IF(OR(C1670=0,AND(B1672=0,C1672=0)),"",IFERROR(INDEX($F$27:$F$36,MATCH(C1671,($F$27:$F$36)*($D$27:$D$36&lt;&gt;0),0)),IF(OR(AND(D1671=0,B1671=0,B1672&lt;&gt;0),AND(D1671*D1670&lt;0,B1671&lt;&gt;0)),IF(D1671=0,C1671,C1671*(1-ABS(D1671)/(ABS(D1671)+ABS(D1670)))+C1670*(1-ABS(D1670)/(ABS(D1671)+ABS(D1670)))),"")))</f>
        <v>#NAME?</v>
      </c>
    </row>
    <row r="1672" spans="2:5" x14ac:dyDescent="0.25">
      <c r="B1672" t="e">
        <f t="shared" ca="1" si="53"/>
        <v>#NAME?</v>
      </c>
      <c r="C1672">
        <v>1629</v>
      </c>
      <c r="D1672" t="e">
        <f t="shared" ca="1" si="52"/>
        <v>#NAME?</v>
      </c>
      <c r="E1672" s="115" t="e">
        <f t="array" aca="1" ref="E1672" ca="1">IF(OR(C1671=0,AND(B1673=0,C1673=0)),"",IFERROR(INDEX($F$27:$F$36,MATCH(C1672,($F$27:$F$36)*($D$27:$D$36&lt;&gt;0),0)),IF(OR(AND(D1672=0,B1672=0,B1673&lt;&gt;0),AND(D1672*D1671&lt;0,B1672&lt;&gt;0)),IF(D1672=0,C1672,C1672*(1-ABS(D1672)/(ABS(D1672)+ABS(D1671)))+C1671*(1-ABS(D1671)/(ABS(D1672)+ABS(D1671)))),"")))</f>
        <v>#NAME?</v>
      </c>
    </row>
    <row r="1673" spans="2:5" x14ac:dyDescent="0.25">
      <c r="B1673" t="e">
        <f t="shared" ca="1" si="53"/>
        <v>#NAME?</v>
      </c>
      <c r="C1673">
        <v>1630</v>
      </c>
      <c r="D1673" t="e">
        <f t="shared" ca="1" si="52"/>
        <v>#NAME?</v>
      </c>
      <c r="E1673" s="115" t="e">
        <f t="array" aca="1" ref="E1673" ca="1">IF(OR(C1672=0,AND(B1674=0,C1674=0)),"",IFERROR(INDEX($F$27:$F$36,MATCH(C1673,($F$27:$F$36)*($D$27:$D$36&lt;&gt;0),0)),IF(OR(AND(D1673=0,B1673=0,B1674&lt;&gt;0),AND(D1673*D1672&lt;0,B1673&lt;&gt;0)),IF(D1673=0,C1673,C1673*(1-ABS(D1673)/(ABS(D1673)+ABS(D1672)))+C1672*(1-ABS(D1672)/(ABS(D1673)+ABS(D1672)))),"")))</f>
        <v>#NAME?</v>
      </c>
    </row>
    <row r="1674" spans="2:5" x14ac:dyDescent="0.25">
      <c r="B1674" t="e">
        <f t="shared" ca="1" si="53"/>
        <v>#NAME?</v>
      </c>
      <c r="C1674">
        <v>1631</v>
      </c>
      <c r="D1674" t="e">
        <f t="shared" ca="1" si="52"/>
        <v>#NAME?</v>
      </c>
      <c r="E1674" s="115" t="e">
        <f t="array" aca="1" ref="E1674" ca="1">IF(OR(C1673=0,AND(B1675=0,C1675=0)),"",IFERROR(INDEX($F$27:$F$36,MATCH(C1674,($F$27:$F$36)*($D$27:$D$36&lt;&gt;0),0)),IF(OR(AND(D1674=0,B1674=0,B1675&lt;&gt;0),AND(D1674*D1673&lt;0,B1674&lt;&gt;0)),IF(D1674=0,C1674,C1674*(1-ABS(D1674)/(ABS(D1674)+ABS(D1673)))+C1673*(1-ABS(D1673)/(ABS(D1674)+ABS(D1673)))),"")))</f>
        <v>#NAME?</v>
      </c>
    </row>
    <row r="1675" spans="2:5" x14ac:dyDescent="0.25">
      <c r="B1675" t="e">
        <f t="shared" ca="1" si="53"/>
        <v>#NAME?</v>
      </c>
      <c r="C1675">
        <v>1632</v>
      </c>
      <c r="D1675" t="e">
        <f t="shared" ca="1" si="52"/>
        <v>#NAME?</v>
      </c>
      <c r="E1675" s="115" t="e">
        <f t="array" aca="1" ref="E1675" ca="1">IF(OR(C1674=0,AND(B1676=0,C1676=0)),"",IFERROR(INDEX($F$27:$F$36,MATCH(C1675,($F$27:$F$36)*($D$27:$D$36&lt;&gt;0),0)),IF(OR(AND(D1675=0,B1675=0,B1676&lt;&gt;0),AND(D1675*D1674&lt;0,B1675&lt;&gt;0)),IF(D1675=0,C1675,C1675*(1-ABS(D1675)/(ABS(D1675)+ABS(D1674)))+C1674*(1-ABS(D1674)/(ABS(D1675)+ABS(D1674)))),"")))</f>
        <v>#NAME?</v>
      </c>
    </row>
    <row r="1676" spans="2:5" x14ac:dyDescent="0.25">
      <c r="B1676" t="e">
        <f t="shared" ca="1" si="53"/>
        <v>#NAME?</v>
      </c>
      <c r="C1676">
        <v>1633</v>
      </c>
      <c r="D1676" t="e">
        <f t="shared" ca="1" si="52"/>
        <v>#NAME?</v>
      </c>
      <c r="E1676" s="115" t="e">
        <f t="array" aca="1" ref="E1676" ca="1">IF(OR(C1675=0,AND(B1677=0,C1677=0)),"",IFERROR(INDEX($F$27:$F$36,MATCH(C1676,($F$27:$F$36)*($D$27:$D$36&lt;&gt;0),0)),IF(OR(AND(D1676=0,B1676=0,B1677&lt;&gt;0),AND(D1676*D1675&lt;0,B1676&lt;&gt;0)),IF(D1676=0,C1676,C1676*(1-ABS(D1676)/(ABS(D1676)+ABS(D1675)))+C1675*(1-ABS(D1675)/(ABS(D1676)+ABS(D1675)))),"")))</f>
        <v>#NAME?</v>
      </c>
    </row>
    <row r="1677" spans="2:5" x14ac:dyDescent="0.25">
      <c r="B1677" t="e">
        <f t="shared" ca="1" si="53"/>
        <v>#NAME?</v>
      </c>
      <c r="C1677">
        <v>1634</v>
      </c>
      <c r="D1677" t="e">
        <f t="shared" ca="1" si="52"/>
        <v>#NAME?</v>
      </c>
      <c r="E1677" s="115" t="e">
        <f t="array" aca="1" ref="E1677" ca="1">IF(OR(C1676=0,AND(B1678=0,C1678=0)),"",IFERROR(INDEX($F$27:$F$36,MATCH(C1677,($F$27:$F$36)*($D$27:$D$36&lt;&gt;0),0)),IF(OR(AND(D1677=0,B1677=0,B1678&lt;&gt;0),AND(D1677*D1676&lt;0,B1677&lt;&gt;0)),IF(D1677=0,C1677,C1677*(1-ABS(D1677)/(ABS(D1677)+ABS(D1676)))+C1676*(1-ABS(D1676)/(ABS(D1677)+ABS(D1676)))),"")))</f>
        <v>#NAME?</v>
      </c>
    </row>
    <row r="1678" spans="2:5" x14ac:dyDescent="0.25">
      <c r="B1678" t="e">
        <f t="shared" ca="1" si="53"/>
        <v>#NAME?</v>
      </c>
      <c r="C1678">
        <v>1635</v>
      </c>
      <c r="D1678" t="e">
        <f t="shared" ca="1" si="52"/>
        <v>#NAME?</v>
      </c>
      <c r="E1678" s="115" t="e">
        <f t="array" aca="1" ref="E1678" ca="1">IF(OR(C1677=0,AND(B1679=0,C1679=0)),"",IFERROR(INDEX($F$27:$F$36,MATCH(C1678,($F$27:$F$36)*($D$27:$D$36&lt;&gt;0),0)),IF(OR(AND(D1678=0,B1678=0,B1679&lt;&gt;0),AND(D1678*D1677&lt;0,B1678&lt;&gt;0)),IF(D1678=0,C1678,C1678*(1-ABS(D1678)/(ABS(D1678)+ABS(D1677)))+C1677*(1-ABS(D1677)/(ABS(D1678)+ABS(D1677)))),"")))</f>
        <v>#NAME?</v>
      </c>
    </row>
    <row r="1679" spans="2:5" x14ac:dyDescent="0.25">
      <c r="B1679" t="e">
        <f t="shared" ca="1" si="53"/>
        <v>#NAME?</v>
      </c>
      <c r="C1679">
        <v>1636</v>
      </c>
      <c r="D1679" t="e">
        <f t="shared" ca="1" si="52"/>
        <v>#NAME?</v>
      </c>
      <c r="E1679" s="115" t="e">
        <f t="array" aca="1" ref="E1679" ca="1">IF(OR(C1678=0,AND(B1680=0,C1680=0)),"",IFERROR(INDEX($F$27:$F$36,MATCH(C1679,($F$27:$F$36)*($D$27:$D$36&lt;&gt;0),0)),IF(OR(AND(D1679=0,B1679=0,B1680&lt;&gt;0),AND(D1679*D1678&lt;0,B1679&lt;&gt;0)),IF(D1679=0,C1679,C1679*(1-ABS(D1679)/(ABS(D1679)+ABS(D1678)))+C1678*(1-ABS(D1678)/(ABS(D1679)+ABS(D1678)))),"")))</f>
        <v>#NAME?</v>
      </c>
    </row>
    <row r="1680" spans="2:5" x14ac:dyDescent="0.25">
      <c r="B1680" t="e">
        <f t="shared" ca="1" si="53"/>
        <v>#NAME?</v>
      </c>
      <c r="C1680">
        <v>1637</v>
      </c>
      <c r="D1680" t="e">
        <f t="shared" ca="1" si="52"/>
        <v>#NAME?</v>
      </c>
      <c r="E1680" s="115" t="e">
        <f t="array" aca="1" ref="E1680" ca="1">IF(OR(C1679=0,AND(B1681=0,C1681=0)),"",IFERROR(INDEX($F$27:$F$36,MATCH(C1680,($F$27:$F$36)*($D$27:$D$36&lt;&gt;0),0)),IF(OR(AND(D1680=0,B1680=0,B1681&lt;&gt;0),AND(D1680*D1679&lt;0,B1680&lt;&gt;0)),IF(D1680=0,C1680,C1680*(1-ABS(D1680)/(ABS(D1680)+ABS(D1679)))+C1679*(1-ABS(D1679)/(ABS(D1680)+ABS(D1679)))),"")))</f>
        <v>#NAME?</v>
      </c>
    </row>
    <row r="1681" spans="2:5" x14ac:dyDescent="0.25">
      <c r="B1681" t="e">
        <f t="shared" ca="1" si="53"/>
        <v>#NAME?</v>
      </c>
      <c r="C1681">
        <v>1638</v>
      </c>
      <c r="D1681" t="e">
        <f t="shared" ca="1" si="52"/>
        <v>#NAME?</v>
      </c>
      <c r="E1681" s="115" t="e">
        <f t="array" aca="1" ref="E1681" ca="1">IF(OR(C1680=0,AND(B1682=0,C1682=0)),"",IFERROR(INDEX($F$27:$F$36,MATCH(C1681,($F$27:$F$36)*($D$27:$D$36&lt;&gt;0),0)),IF(OR(AND(D1681=0,B1681=0,B1682&lt;&gt;0),AND(D1681*D1680&lt;0,B1681&lt;&gt;0)),IF(D1681=0,C1681,C1681*(1-ABS(D1681)/(ABS(D1681)+ABS(D1680)))+C1680*(1-ABS(D1680)/(ABS(D1681)+ABS(D1680)))),"")))</f>
        <v>#NAME?</v>
      </c>
    </row>
    <row r="1682" spans="2:5" x14ac:dyDescent="0.25">
      <c r="B1682" t="e">
        <f t="shared" ca="1" si="53"/>
        <v>#NAME?</v>
      </c>
      <c r="C1682">
        <v>1639</v>
      </c>
      <c r="D1682" t="e">
        <f t="shared" ca="1" si="52"/>
        <v>#NAME?</v>
      </c>
      <c r="E1682" s="115" t="e">
        <f t="array" aca="1" ref="E1682" ca="1">IF(OR(C1681=0,AND(B1683=0,C1683=0)),"",IFERROR(INDEX($F$27:$F$36,MATCH(C1682,($F$27:$F$36)*($D$27:$D$36&lt;&gt;0),0)),IF(OR(AND(D1682=0,B1682=0,B1683&lt;&gt;0),AND(D1682*D1681&lt;0,B1682&lt;&gt;0)),IF(D1682=0,C1682,C1682*(1-ABS(D1682)/(ABS(D1682)+ABS(D1681)))+C1681*(1-ABS(D1681)/(ABS(D1682)+ABS(D1681)))),"")))</f>
        <v>#NAME?</v>
      </c>
    </row>
    <row r="1683" spans="2:5" x14ac:dyDescent="0.25">
      <c r="B1683" t="e">
        <f t="shared" ca="1" si="53"/>
        <v>#NAME?</v>
      </c>
      <c r="C1683">
        <v>1640</v>
      </c>
      <c r="D1683" t="e">
        <f t="shared" ca="1" si="52"/>
        <v>#NAME?</v>
      </c>
      <c r="E1683" s="115" t="e">
        <f t="array" aca="1" ref="E1683" ca="1">IF(OR(C1682=0,AND(B1684=0,C1684=0)),"",IFERROR(INDEX($F$27:$F$36,MATCH(C1683,($F$27:$F$36)*($D$27:$D$36&lt;&gt;0),0)),IF(OR(AND(D1683=0,B1683=0,B1684&lt;&gt;0),AND(D1683*D1682&lt;0,B1683&lt;&gt;0)),IF(D1683=0,C1683,C1683*(1-ABS(D1683)/(ABS(D1683)+ABS(D1682)))+C1682*(1-ABS(D1682)/(ABS(D1683)+ABS(D1682)))),"")))</f>
        <v>#NAME?</v>
      </c>
    </row>
    <row r="1684" spans="2:5" x14ac:dyDescent="0.25">
      <c r="B1684" t="e">
        <f t="shared" ca="1" si="53"/>
        <v>#NAME?</v>
      </c>
      <c r="C1684">
        <v>1641</v>
      </c>
      <c r="D1684" t="e">
        <f t="shared" ca="1" si="52"/>
        <v>#NAME?</v>
      </c>
      <c r="E1684" s="115" t="e">
        <f t="array" aca="1" ref="E1684" ca="1">IF(OR(C1683=0,AND(B1685=0,C1685=0)),"",IFERROR(INDEX($F$27:$F$36,MATCH(C1684,($F$27:$F$36)*($D$27:$D$36&lt;&gt;0),0)),IF(OR(AND(D1684=0,B1684=0,B1685&lt;&gt;0),AND(D1684*D1683&lt;0,B1684&lt;&gt;0)),IF(D1684=0,C1684,C1684*(1-ABS(D1684)/(ABS(D1684)+ABS(D1683)))+C1683*(1-ABS(D1683)/(ABS(D1684)+ABS(D1683)))),"")))</f>
        <v>#NAME?</v>
      </c>
    </row>
    <row r="1685" spans="2:5" x14ac:dyDescent="0.25">
      <c r="B1685" t="e">
        <f t="shared" ca="1" si="53"/>
        <v>#NAME?</v>
      </c>
      <c r="C1685">
        <v>1642</v>
      </c>
      <c r="D1685" t="e">
        <f t="shared" ca="1" si="52"/>
        <v>#NAME?</v>
      </c>
      <c r="E1685" s="115" t="e">
        <f t="array" aca="1" ref="E1685" ca="1">IF(OR(C1684=0,AND(B1686=0,C1686=0)),"",IFERROR(INDEX($F$27:$F$36,MATCH(C1685,($F$27:$F$36)*($D$27:$D$36&lt;&gt;0),0)),IF(OR(AND(D1685=0,B1685=0,B1686&lt;&gt;0),AND(D1685*D1684&lt;0,B1685&lt;&gt;0)),IF(D1685=0,C1685,C1685*(1-ABS(D1685)/(ABS(D1685)+ABS(D1684)))+C1684*(1-ABS(D1684)/(ABS(D1685)+ABS(D1684)))),"")))</f>
        <v>#NAME?</v>
      </c>
    </row>
    <row r="1686" spans="2:5" x14ac:dyDescent="0.25">
      <c r="B1686" t="e">
        <f t="shared" ca="1" si="53"/>
        <v>#NAME?</v>
      </c>
      <c r="C1686">
        <v>1643</v>
      </c>
      <c r="D1686" t="e">
        <f t="shared" ca="1" si="52"/>
        <v>#NAME?</v>
      </c>
      <c r="E1686" s="115" t="e">
        <f t="array" aca="1" ref="E1686" ca="1">IF(OR(C1685=0,AND(B1687=0,C1687=0)),"",IFERROR(INDEX($F$27:$F$36,MATCH(C1686,($F$27:$F$36)*($D$27:$D$36&lt;&gt;0),0)),IF(OR(AND(D1686=0,B1686=0,B1687&lt;&gt;0),AND(D1686*D1685&lt;0,B1686&lt;&gt;0)),IF(D1686=0,C1686,C1686*(1-ABS(D1686)/(ABS(D1686)+ABS(D1685)))+C1685*(1-ABS(D1685)/(ABS(D1686)+ABS(D1685)))),"")))</f>
        <v>#NAME?</v>
      </c>
    </row>
    <row r="1687" spans="2:5" x14ac:dyDescent="0.25">
      <c r="B1687" t="e">
        <f t="shared" ca="1" si="53"/>
        <v>#NAME?</v>
      </c>
      <c r="C1687">
        <v>1644</v>
      </c>
      <c r="D1687" t="e">
        <f t="shared" ca="1" si="52"/>
        <v>#NAME?</v>
      </c>
      <c r="E1687" s="115" t="e">
        <f t="array" aca="1" ref="E1687" ca="1">IF(OR(C1686=0,AND(B1688=0,C1688=0)),"",IFERROR(INDEX($F$27:$F$36,MATCH(C1687,($F$27:$F$36)*($D$27:$D$36&lt;&gt;0),0)),IF(OR(AND(D1687=0,B1687=0,B1688&lt;&gt;0),AND(D1687*D1686&lt;0,B1687&lt;&gt;0)),IF(D1687=0,C1687,C1687*(1-ABS(D1687)/(ABS(D1687)+ABS(D1686)))+C1686*(1-ABS(D1686)/(ABS(D1687)+ABS(D1686)))),"")))</f>
        <v>#NAME?</v>
      </c>
    </row>
    <row r="1688" spans="2:5" x14ac:dyDescent="0.25">
      <c r="B1688" t="e">
        <f t="shared" ca="1" si="53"/>
        <v>#NAME?</v>
      </c>
      <c r="C1688">
        <v>1645</v>
      </c>
      <c r="D1688" t="e">
        <f t="shared" ca="1" si="52"/>
        <v>#NAME?</v>
      </c>
      <c r="E1688" s="115" t="e">
        <f t="array" aca="1" ref="E1688" ca="1">IF(OR(C1687=0,AND(B1689=0,C1689=0)),"",IFERROR(INDEX($F$27:$F$36,MATCH(C1688,($F$27:$F$36)*($D$27:$D$36&lt;&gt;0),0)),IF(OR(AND(D1688=0,B1688=0,B1689&lt;&gt;0),AND(D1688*D1687&lt;0,B1688&lt;&gt;0)),IF(D1688=0,C1688,C1688*(1-ABS(D1688)/(ABS(D1688)+ABS(D1687)))+C1687*(1-ABS(D1687)/(ABS(D1688)+ABS(D1687)))),"")))</f>
        <v>#NAME?</v>
      </c>
    </row>
    <row r="1689" spans="2:5" x14ac:dyDescent="0.25">
      <c r="B1689" t="e">
        <f t="shared" ca="1" si="53"/>
        <v>#NAME?</v>
      </c>
      <c r="C1689">
        <v>1646</v>
      </c>
      <c r="D1689" t="e">
        <f t="shared" ca="1" si="52"/>
        <v>#NAME?</v>
      </c>
      <c r="E1689" s="115" t="e">
        <f t="array" aca="1" ref="E1689" ca="1">IF(OR(C1688=0,AND(B1690=0,C1690=0)),"",IFERROR(INDEX($F$27:$F$36,MATCH(C1689,($F$27:$F$36)*($D$27:$D$36&lt;&gt;0),0)),IF(OR(AND(D1689=0,B1689=0,B1690&lt;&gt;0),AND(D1689*D1688&lt;0,B1689&lt;&gt;0)),IF(D1689=0,C1689,C1689*(1-ABS(D1689)/(ABS(D1689)+ABS(D1688)))+C1688*(1-ABS(D1688)/(ABS(D1689)+ABS(D1688)))),"")))</f>
        <v>#NAME?</v>
      </c>
    </row>
    <row r="1690" spans="2:5" x14ac:dyDescent="0.25">
      <c r="B1690" t="e">
        <f t="shared" ca="1" si="53"/>
        <v>#NAME?</v>
      </c>
      <c r="C1690">
        <v>1647</v>
      </c>
      <c r="D1690" t="e">
        <f t="shared" ca="1" si="52"/>
        <v>#NAME?</v>
      </c>
      <c r="E1690" s="115" t="e">
        <f t="array" aca="1" ref="E1690" ca="1">IF(OR(C1689=0,AND(B1691=0,C1691=0)),"",IFERROR(INDEX($F$27:$F$36,MATCH(C1690,($F$27:$F$36)*($D$27:$D$36&lt;&gt;0),0)),IF(OR(AND(D1690=0,B1690=0,B1691&lt;&gt;0),AND(D1690*D1689&lt;0,B1690&lt;&gt;0)),IF(D1690=0,C1690,C1690*(1-ABS(D1690)/(ABS(D1690)+ABS(D1689)))+C1689*(1-ABS(D1689)/(ABS(D1690)+ABS(D1689)))),"")))</f>
        <v>#NAME?</v>
      </c>
    </row>
    <row r="1691" spans="2:5" x14ac:dyDescent="0.25">
      <c r="B1691" t="e">
        <f t="shared" ca="1" si="53"/>
        <v>#NAME?</v>
      </c>
      <c r="C1691">
        <v>1648</v>
      </c>
      <c r="D1691" t="e">
        <f t="shared" ca="1" si="52"/>
        <v>#NAME?</v>
      </c>
      <c r="E1691" s="115" t="e">
        <f t="array" aca="1" ref="E1691" ca="1">IF(OR(C1690=0,AND(B1692=0,C1692=0)),"",IFERROR(INDEX($F$27:$F$36,MATCH(C1691,($F$27:$F$36)*($D$27:$D$36&lt;&gt;0),0)),IF(OR(AND(D1691=0,B1691=0,B1692&lt;&gt;0),AND(D1691*D1690&lt;0,B1691&lt;&gt;0)),IF(D1691=0,C1691,C1691*(1-ABS(D1691)/(ABS(D1691)+ABS(D1690)))+C1690*(1-ABS(D1690)/(ABS(D1691)+ABS(D1690)))),"")))</f>
        <v>#NAME?</v>
      </c>
    </row>
    <row r="1692" spans="2:5" x14ac:dyDescent="0.25">
      <c r="B1692" t="e">
        <f t="shared" ca="1" si="53"/>
        <v>#NAME?</v>
      </c>
      <c r="C1692">
        <v>1649</v>
      </c>
      <c r="D1692" t="e">
        <f t="shared" ca="1" si="52"/>
        <v>#NAME?</v>
      </c>
      <c r="E1692" s="115" t="e">
        <f t="array" aca="1" ref="E1692" ca="1">IF(OR(C1691=0,AND(B1693=0,C1693=0)),"",IFERROR(INDEX($F$27:$F$36,MATCH(C1692,($F$27:$F$36)*($D$27:$D$36&lt;&gt;0),0)),IF(OR(AND(D1692=0,B1692=0,B1693&lt;&gt;0),AND(D1692*D1691&lt;0,B1692&lt;&gt;0)),IF(D1692=0,C1692,C1692*(1-ABS(D1692)/(ABS(D1692)+ABS(D1691)))+C1691*(1-ABS(D1691)/(ABS(D1692)+ABS(D1691)))),"")))</f>
        <v>#NAME?</v>
      </c>
    </row>
    <row r="1693" spans="2:5" x14ac:dyDescent="0.25">
      <c r="B1693" t="e">
        <f t="shared" ca="1" si="53"/>
        <v>#NAME?</v>
      </c>
      <c r="C1693">
        <v>1650</v>
      </c>
      <c r="D1693" t="e">
        <f t="shared" ca="1" si="52"/>
        <v>#NAME?</v>
      </c>
      <c r="E1693" s="115" t="e">
        <f t="array" aca="1" ref="E1693" ca="1">IF(OR(C1692=0,AND(B1694=0,C1694=0)),"",IFERROR(INDEX($F$27:$F$36,MATCH(C1693,($F$27:$F$36)*($D$27:$D$36&lt;&gt;0),0)),IF(OR(AND(D1693=0,B1693=0,B1694&lt;&gt;0),AND(D1693*D1692&lt;0,B1693&lt;&gt;0)),IF(D1693=0,C1693,C1693*(1-ABS(D1693)/(ABS(D1693)+ABS(D1692)))+C1692*(1-ABS(D1692)/(ABS(D1693)+ABS(D1692)))),"")))</f>
        <v>#NAME?</v>
      </c>
    </row>
    <row r="1694" spans="2:5" x14ac:dyDescent="0.25">
      <c r="B1694" t="e">
        <f t="shared" ca="1" si="53"/>
        <v>#NAME?</v>
      </c>
      <c r="C1694">
        <v>1651</v>
      </c>
      <c r="D1694" t="e">
        <f t="shared" ca="1" si="52"/>
        <v>#NAME?</v>
      </c>
      <c r="E1694" s="115" t="e">
        <f t="array" aca="1" ref="E1694" ca="1">IF(OR(C1693=0,AND(B1695=0,C1695=0)),"",IFERROR(INDEX($F$27:$F$36,MATCH(C1694,($F$27:$F$36)*($D$27:$D$36&lt;&gt;0),0)),IF(OR(AND(D1694=0,B1694=0,B1695&lt;&gt;0),AND(D1694*D1693&lt;0,B1694&lt;&gt;0)),IF(D1694=0,C1694,C1694*(1-ABS(D1694)/(ABS(D1694)+ABS(D1693)))+C1693*(1-ABS(D1693)/(ABS(D1694)+ABS(D1693)))),"")))</f>
        <v>#NAME?</v>
      </c>
    </row>
    <row r="1695" spans="2:5" x14ac:dyDescent="0.25">
      <c r="B1695" t="e">
        <f t="shared" ca="1" si="53"/>
        <v>#NAME?</v>
      </c>
      <c r="C1695">
        <v>1652</v>
      </c>
      <c r="D1695" t="e">
        <f t="shared" ca="1" si="52"/>
        <v>#NAME?</v>
      </c>
      <c r="E1695" s="115" t="e">
        <f t="array" aca="1" ref="E1695" ca="1">IF(OR(C1694=0,AND(B1696=0,C1696=0)),"",IFERROR(INDEX($F$27:$F$36,MATCH(C1695,($F$27:$F$36)*($D$27:$D$36&lt;&gt;0),0)),IF(OR(AND(D1695=0,B1695=0,B1696&lt;&gt;0),AND(D1695*D1694&lt;0,B1695&lt;&gt;0)),IF(D1695=0,C1695,C1695*(1-ABS(D1695)/(ABS(D1695)+ABS(D1694)))+C1694*(1-ABS(D1694)/(ABS(D1695)+ABS(D1694)))),"")))</f>
        <v>#NAME?</v>
      </c>
    </row>
    <row r="1696" spans="2:5" x14ac:dyDescent="0.25">
      <c r="B1696" t="e">
        <f t="shared" ca="1" si="53"/>
        <v>#NAME?</v>
      </c>
      <c r="C1696">
        <v>1653</v>
      </c>
      <c r="D1696" t="e">
        <f t="shared" ca="1" si="52"/>
        <v>#NAME?</v>
      </c>
      <c r="E1696" s="115" t="e">
        <f t="array" aca="1" ref="E1696" ca="1">IF(OR(C1695=0,AND(B1697=0,C1697=0)),"",IFERROR(INDEX($F$27:$F$36,MATCH(C1696,($F$27:$F$36)*($D$27:$D$36&lt;&gt;0),0)),IF(OR(AND(D1696=0,B1696=0,B1697&lt;&gt;0),AND(D1696*D1695&lt;0,B1696&lt;&gt;0)),IF(D1696=0,C1696,C1696*(1-ABS(D1696)/(ABS(D1696)+ABS(D1695)))+C1695*(1-ABS(D1695)/(ABS(D1696)+ABS(D1695)))),"")))</f>
        <v>#NAME?</v>
      </c>
    </row>
    <row r="1697" spans="2:5" x14ac:dyDescent="0.25">
      <c r="B1697" t="e">
        <f t="shared" ca="1" si="53"/>
        <v>#NAME?</v>
      </c>
      <c r="C1697">
        <v>1654</v>
      </c>
      <c r="D1697" t="e">
        <f t="shared" ca="1" si="52"/>
        <v>#NAME?</v>
      </c>
      <c r="E1697" s="115" t="e">
        <f t="array" aca="1" ref="E1697" ca="1">IF(OR(C1696=0,AND(B1698=0,C1698=0)),"",IFERROR(INDEX($F$27:$F$36,MATCH(C1697,($F$27:$F$36)*($D$27:$D$36&lt;&gt;0),0)),IF(OR(AND(D1697=0,B1697=0,B1698&lt;&gt;0),AND(D1697*D1696&lt;0,B1697&lt;&gt;0)),IF(D1697=0,C1697,C1697*(1-ABS(D1697)/(ABS(D1697)+ABS(D1696)))+C1696*(1-ABS(D1696)/(ABS(D1697)+ABS(D1696)))),"")))</f>
        <v>#NAME?</v>
      </c>
    </row>
    <row r="1698" spans="2:5" x14ac:dyDescent="0.25">
      <c r="B1698" t="e">
        <f t="shared" ca="1" si="53"/>
        <v>#NAME?</v>
      </c>
      <c r="C1698">
        <v>1655</v>
      </c>
      <c r="D1698" t="e">
        <f t="shared" ca="1" si="52"/>
        <v>#NAME?</v>
      </c>
      <c r="E1698" s="115" t="e">
        <f t="array" aca="1" ref="E1698" ca="1">IF(OR(C1697=0,AND(B1699=0,C1699=0)),"",IFERROR(INDEX($F$27:$F$36,MATCH(C1698,($F$27:$F$36)*($D$27:$D$36&lt;&gt;0),0)),IF(OR(AND(D1698=0,B1698=0,B1699&lt;&gt;0),AND(D1698*D1697&lt;0,B1698&lt;&gt;0)),IF(D1698=0,C1698,C1698*(1-ABS(D1698)/(ABS(D1698)+ABS(D1697)))+C1697*(1-ABS(D1697)/(ABS(D1698)+ABS(D1697)))),"")))</f>
        <v>#NAME?</v>
      </c>
    </row>
    <row r="1699" spans="2:5" x14ac:dyDescent="0.25">
      <c r="B1699" t="e">
        <f t="shared" ca="1" si="53"/>
        <v>#NAME?</v>
      </c>
      <c r="C1699">
        <v>1656</v>
      </c>
      <c r="D1699" t="e">
        <f t="shared" ca="1" si="52"/>
        <v>#NAME?</v>
      </c>
      <c r="E1699" s="115" t="e">
        <f t="array" aca="1" ref="E1699" ca="1">IF(OR(C1698=0,AND(B1700=0,C1700=0)),"",IFERROR(INDEX($F$27:$F$36,MATCH(C1699,($F$27:$F$36)*($D$27:$D$36&lt;&gt;0),0)),IF(OR(AND(D1699=0,B1699=0,B1700&lt;&gt;0),AND(D1699*D1698&lt;0,B1699&lt;&gt;0)),IF(D1699=0,C1699,C1699*(1-ABS(D1699)/(ABS(D1699)+ABS(D1698)))+C1698*(1-ABS(D1698)/(ABS(D1699)+ABS(D1698)))),"")))</f>
        <v>#NAME?</v>
      </c>
    </row>
    <row r="1700" spans="2:5" x14ac:dyDescent="0.25">
      <c r="B1700" t="e">
        <f t="shared" ca="1" si="53"/>
        <v>#NAME?</v>
      </c>
      <c r="C1700">
        <v>1657</v>
      </c>
      <c r="D1700" t="e">
        <f t="shared" ca="1" si="52"/>
        <v>#NAME?</v>
      </c>
      <c r="E1700" s="115" t="e">
        <f t="array" aca="1" ref="E1700" ca="1">IF(OR(C1699=0,AND(B1701=0,C1701=0)),"",IFERROR(INDEX($F$27:$F$36,MATCH(C1700,($F$27:$F$36)*($D$27:$D$36&lt;&gt;0),0)),IF(OR(AND(D1700=0,B1700=0,B1701&lt;&gt;0),AND(D1700*D1699&lt;0,B1700&lt;&gt;0)),IF(D1700=0,C1700,C1700*(1-ABS(D1700)/(ABS(D1700)+ABS(D1699)))+C1699*(1-ABS(D1699)/(ABS(D1700)+ABS(D1699)))),"")))</f>
        <v>#NAME?</v>
      </c>
    </row>
    <row r="1701" spans="2:5" x14ac:dyDescent="0.25">
      <c r="B1701" t="e">
        <f t="shared" ca="1" si="53"/>
        <v>#NAME?</v>
      </c>
      <c r="C1701">
        <v>1658</v>
      </c>
      <c r="D1701" t="e">
        <f t="shared" ca="1" si="52"/>
        <v>#NAME?</v>
      </c>
      <c r="E1701" s="115" t="e">
        <f t="array" aca="1" ref="E1701" ca="1">IF(OR(C1700=0,AND(B1702=0,C1702=0)),"",IFERROR(INDEX($F$27:$F$36,MATCH(C1701,($F$27:$F$36)*($D$27:$D$36&lt;&gt;0),0)),IF(OR(AND(D1701=0,B1701=0,B1702&lt;&gt;0),AND(D1701*D1700&lt;0,B1701&lt;&gt;0)),IF(D1701=0,C1701,C1701*(1-ABS(D1701)/(ABS(D1701)+ABS(D1700)))+C1700*(1-ABS(D1700)/(ABS(D1701)+ABS(D1700)))),"")))</f>
        <v>#NAME?</v>
      </c>
    </row>
    <row r="1702" spans="2:5" x14ac:dyDescent="0.25">
      <c r="B1702" t="e">
        <f t="shared" ca="1" si="53"/>
        <v>#NAME?</v>
      </c>
      <c r="C1702">
        <v>1659</v>
      </c>
      <c r="D1702" t="e">
        <f t="shared" ca="1" si="52"/>
        <v>#NAME?</v>
      </c>
      <c r="E1702" s="115" t="e">
        <f t="array" aca="1" ref="E1702" ca="1">IF(OR(C1701=0,AND(B1703=0,C1703=0)),"",IFERROR(INDEX($F$27:$F$36,MATCH(C1702,($F$27:$F$36)*($D$27:$D$36&lt;&gt;0),0)),IF(OR(AND(D1702=0,B1702=0,B1703&lt;&gt;0),AND(D1702*D1701&lt;0,B1702&lt;&gt;0)),IF(D1702=0,C1702,C1702*(1-ABS(D1702)/(ABS(D1702)+ABS(D1701)))+C1701*(1-ABS(D1701)/(ABS(D1702)+ABS(D1701)))),"")))</f>
        <v>#NAME?</v>
      </c>
    </row>
    <row r="1703" spans="2:5" x14ac:dyDescent="0.25">
      <c r="B1703" t="e">
        <f t="shared" ca="1" si="53"/>
        <v>#NAME?</v>
      </c>
      <c r="C1703">
        <v>1660</v>
      </c>
      <c r="D1703" t="e">
        <f t="shared" ca="1" si="52"/>
        <v>#NAME?</v>
      </c>
      <c r="E1703" s="115" t="e">
        <f t="array" aca="1" ref="E1703" ca="1">IF(OR(C1702=0,AND(B1704=0,C1704=0)),"",IFERROR(INDEX($F$27:$F$36,MATCH(C1703,($F$27:$F$36)*($D$27:$D$36&lt;&gt;0),0)),IF(OR(AND(D1703=0,B1703=0,B1704&lt;&gt;0),AND(D1703*D1702&lt;0,B1703&lt;&gt;0)),IF(D1703=0,C1703,C1703*(1-ABS(D1703)/(ABS(D1703)+ABS(D1702)))+C1702*(1-ABS(D1702)/(ABS(D1703)+ABS(D1702)))),"")))</f>
        <v>#NAME?</v>
      </c>
    </row>
    <row r="1704" spans="2:5" x14ac:dyDescent="0.25">
      <c r="B1704" t="e">
        <f t="shared" ca="1" si="53"/>
        <v>#NAME?</v>
      </c>
      <c r="C1704">
        <v>1661</v>
      </c>
      <c r="D1704" t="e">
        <f t="shared" ca="1" si="52"/>
        <v>#NAME?</v>
      </c>
      <c r="E1704" s="115" t="e">
        <f t="array" aca="1" ref="E1704" ca="1">IF(OR(C1703=0,AND(B1705=0,C1705=0)),"",IFERROR(INDEX($F$27:$F$36,MATCH(C1704,($F$27:$F$36)*($D$27:$D$36&lt;&gt;0),0)),IF(OR(AND(D1704=0,B1704=0,B1705&lt;&gt;0),AND(D1704*D1703&lt;0,B1704&lt;&gt;0)),IF(D1704=0,C1704,C1704*(1-ABS(D1704)/(ABS(D1704)+ABS(D1703)))+C1703*(1-ABS(D1703)/(ABS(D1704)+ABS(D1703)))),"")))</f>
        <v>#NAME?</v>
      </c>
    </row>
    <row r="1705" spans="2:5" x14ac:dyDescent="0.25">
      <c r="B1705" t="e">
        <f t="shared" ca="1" si="53"/>
        <v>#NAME?</v>
      </c>
      <c r="C1705">
        <v>1662</v>
      </c>
      <c r="D1705" t="e">
        <f t="shared" ca="1" si="52"/>
        <v>#NAME?</v>
      </c>
      <c r="E1705" s="115" t="e">
        <f t="array" aca="1" ref="E1705" ca="1">IF(OR(C1704=0,AND(B1706=0,C1706=0)),"",IFERROR(INDEX($F$27:$F$36,MATCH(C1705,($F$27:$F$36)*($D$27:$D$36&lt;&gt;0),0)),IF(OR(AND(D1705=0,B1705=0,B1706&lt;&gt;0),AND(D1705*D1704&lt;0,B1705&lt;&gt;0)),IF(D1705=0,C1705,C1705*(1-ABS(D1705)/(ABS(D1705)+ABS(D1704)))+C1704*(1-ABS(D1704)/(ABS(D1705)+ABS(D1704)))),"")))</f>
        <v>#NAME?</v>
      </c>
    </row>
    <row r="1706" spans="2:5" x14ac:dyDescent="0.25">
      <c r="B1706" t="e">
        <f t="shared" ca="1" si="53"/>
        <v>#NAME?</v>
      </c>
      <c r="C1706">
        <v>1663</v>
      </c>
      <c r="D1706" t="e">
        <f t="shared" ca="1" si="52"/>
        <v>#NAME?</v>
      </c>
      <c r="E1706" s="115" t="e">
        <f t="array" aca="1" ref="E1706" ca="1">IF(OR(C1705=0,AND(B1707=0,C1707=0)),"",IFERROR(INDEX($F$27:$F$36,MATCH(C1706,($F$27:$F$36)*($D$27:$D$36&lt;&gt;0),0)),IF(OR(AND(D1706=0,B1706=0,B1707&lt;&gt;0),AND(D1706*D1705&lt;0,B1706&lt;&gt;0)),IF(D1706=0,C1706,C1706*(1-ABS(D1706)/(ABS(D1706)+ABS(D1705)))+C1705*(1-ABS(D1705)/(ABS(D1706)+ABS(D1705)))),"")))</f>
        <v>#NAME?</v>
      </c>
    </row>
    <row r="1707" spans="2:5" x14ac:dyDescent="0.25">
      <c r="B1707" t="e">
        <f t="shared" ca="1" si="53"/>
        <v>#NAME?</v>
      </c>
      <c r="C1707">
        <v>1664</v>
      </c>
      <c r="D1707" t="e">
        <f t="shared" ref="D1707:D1770" ca="1" si="54">SUMPRODUCT(--($J$27:$J$37&gt;0),--($C1707-$F$27:$F$37&gt;0),($D$27:$D$37),($C1707-$F$27:$F$37))+SUMPRODUCT(--($J$27:$J$37&lt;0),--($F$27:$F$37-$C1707&gt;0),($D$27:$D$37),($F$27:$F$37-$C1707))-SUMPRODUCT($D$27:$D$37,$E$27:$E$37)</f>
        <v>#NAME?</v>
      </c>
      <c r="E1707" s="115" t="e">
        <f t="array" aca="1" ref="E1707" ca="1">IF(OR(C1706=0,AND(B1708=0,C1708=0)),"",IFERROR(INDEX($F$27:$F$36,MATCH(C1707,($F$27:$F$36)*($D$27:$D$36&lt;&gt;0),0)),IF(OR(AND(D1707=0,B1707=0,B1708&lt;&gt;0),AND(D1707*D1706&lt;0,B1707&lt;&gt;0)),IF(D1707=0,C1707,C1707*(1-ABS(D1707)/(ABS(D1707)+ABS(D1706)))+C1706*(1-ABS(D1706)/(ABS(D1707)+ABS(D1706)))),"")))</f>
        <v>#NAME?</v>
      </c>
    </row>
    <row r="1708" spans="2:5" x14ac:dyDescent="0.25">
      <c r="B1708" t="e">
        <f t="shared" ref="B1708:B1771" ca="1" si="55">ROUND((D1708-D1707)/(C1708-C1707),12)</f>
        <v>#NAME?</v>
      </c>
      <c r="C1708">
        <v>1665</v>
      </c>
      <c r="D1708" t="e">
        <f t="shared" ca="1" si="54"/>
        <v>#NAME?</v>
      </c>
      <c r="E1708" s="115" t="e">
        <f t="array" aca="1" ref="E1708" ca="1">IF(OR(C1707=0,AND(B1709=0,C1709=0)),"",IFERROR(INDEX($F$27:$F$36,MATCH(C1708,($F$27:$F$36)*($D$27:$D$36&lt;&gt;0),0)),IF(OR(AND(D1708=0,B1708=0,B1709&lt;&gt;0),AND(D1708*D1707&lt;0,B1708&lt;&gt;0)),IF(D1708=0,C1708,C1708*(1-ABS(D1708)/(ABS(D1708)+ABS(D1707)))+C1707*(1-ABS(D1707)/(ABS(D1708)+ABS(D1707)))),"")))</f>
        <v>#NAME?</v>
      </c>
    </row>
    <row r="1709" spans="2:5" x14ac:dyDescent="0.25">
      <c r="B1709" t="e">
        <f t="shared" ca="1" si="55"/>
        <v>#NAME?</v>
      </c>
      <c r="C1709">
        <v>1666</v>
      </c>
      <c r="D1709" t="e">
        <f t="shared" ca="1" si="54"/>
        <v>#NAME?</v>
      </c>
      <c r="E1709" s="115" t="e">
        <f t="array" aca="1" ref="E1709" ca="1">IF(OR(C1708=0,AND(B1710=0,C1710=0)),"",IFERROR(INDEX($F$27:$F$36,MATCH(C1709,($F$27:$F$36)*($D$27:$D$36&lt;&gt;0),0)),IF(OR(AND(D1709=0,B1709=0,B1710&lt;&gt;0),AND(D1709*D1708&lt;0,B1709&lt;&gt;0)),IF(D1709=0,C1709,C1709*(1-ABS(D1709)/(ABS(D1709)+ABS(D1708)))+C1708*(1-ABS(D1708)/(ABS(D1709)+ABS(D1708)))),"")))</f>
        <v>#NAME?</v>
      </c>
    </row>
    <row r="1710" spans="2:5" x14ac:dyDescent="0.25">
      <c r="B1710" t="e">
        <f t="shared" ca="1" si="55"/>
        <v>#NAME?</v>
      </c>
      <c r="C1710">
        <v>1667</v>
      </c>
      <c r="D1710" t="e">
        <f t="shared" ca="1" si="54"/>
        <v>#NAME?</v>
      </c>
      <c r="E1710" s="115" t="e">
        <f t="array" aca="1" ref="E1710" ca="1">IF(OR(C1709=0,AND(B1711=0,C1711=0)),"",IFERROR(INDEX($F$27:$F$36,MATCH(C1710,($F$27:$F$36)*($D$27:$D$36&lt;&gt;0),0)),IF(OR(AND(D1710=0,B1710=0,B1711&lt;&gt;0),AND(D1710*D1709&lt;0,B1710&lt;&gt;0)),IF(D1710=0,C1710,C1710*(1-ABS(D1710)/(ABS(D1710)+ABS(D1709)))+C1709*(1-ABS(D1709)/(ABS(D1710)+ABS(D1709)))),"")))</f>
        <v>#NAME?</v>
      </c>
    </row>
    <row r="1711" spans="2:5" x14ac:dyDescent="0.25">
      <c r="B1711" t="e">
        <f t="shared" ca="1" si="55"/>
        <v>#NAME?</v>
      </c>
      <c r="C1711">
        <v>1668</v>
      </c>
      <c r="D1711" t="e">
        <f t="shared" ca="1" si="54"/>
        <v>#NAME?</v>
      </c>
      <c r="E1711" s="115" t="e">
        <f t="array" aca="1" ref="E1711" ca="1">IF(OR(C1710=0,AND(B1712=0,C1712=0)),"",IFERROR(INDEX($F$27:$F$36,MATCH(C1711,($F$27:$F$36)*($D$27:$D$36&lt;&gt;0),0)),IF(OR(AND(D1711=0,B1711=0,B1712&lt;&gt;0),AND(D1711*D1710&lt;0,B1711&lt;&gt;0)),IF(D1711=0,C1711,C1711*(1-ABS(D1711)/(ABS(D1711)+ABS(D1710)))+C1710*(1-ABS(D1710)/(ABS(D1711)+ABS(D1710)))),"")))</f>
        <v>#NAME?</v>
      </c>
    </row>
    <row r="1712" spans="2:5" x14ac:dyDescent="0.25">
      <c r="B1712" t="e">
        <f t="shared" ca="1" si="55"/>
        <v>#NAME?</v>
      </c>
      <c r="C1712">
        <v>1669</v>
      </c>
      <c r="D1712" t="e">
        <f t="shared" ca="1" si="54"/>
        <v>#NAME?</v>
      </c>
      <c r="E1712" s="115" t="e">
        <f t="array" aca="1" ref="E1712" ca="1">IF(OR(C1711=0,AND(B1713=0,C1713=0)),"",IFERROR(INDEX($F$27:$F$36,MATCH(C1712,($F$27:$F$36)*($D$27:$D$36&lt;&gt;0),0)),IF(OR(AND(D1712=0,B1712=0,B1713&lt;&gt;0),AND(D1712*D1711&lt;0,B1712&lt;&gt;0)),IF(D1712=0,C1712,C1712*(1-ABS(D1712)/(ABS(D1712)+ABS(D1711)))+C1711*(1-ABS(D1711)/(ABS(D1712)+ABS(D1711)))),"")))</f>
        <v>#NAME?</v>
      </c>
    </row>
    <row r="1713" spans="2:5" x14ac:dyDescent="0.25">
      <c r="B1713" t="e">
        <f t="shared" ca="1" si="55"/>
        <v>#NAME?</v>
      </c>
      <c r="C1713">
        <v>1670</v>
      </c>
      <c r="D1713" t="e">
        <f t="shared" ca="1" si="54"/>
        <v>#NAME?</v>
      </c>
      <c r="E1713" s="115" t="e">
        <f t="array" aca="1" ref="E1713" ca="1">IF(OR(C1712=0,AND(B1714=0,C1714=0)),"",IFERROR(INDEX($F$27:$F$36,MATCH(C1713,($F$27:$F$36)*($D$27:$D$36&lt;&gt;0),0)),IF(OR(AND(D1713=0,B1713=0,B1714&lt;&gt;0),AND(D1713*D1712&lt;0,B1713&lt;&gt;0)),IF(D1713=0,C1713,C1713*(1-ABS(D1713)/(ABS(D1713)+ABS(D1712)))+C1712*(1-ABS(D1712)/(ABS(D1713)+ABS(D1712)))),"")))</f>
        <v>#NAME?</v>
      </c>
    </row>
    <row r="1714" spans="2:5" x14ac:dyDescent="0.25">
      <c r="B1714" t="e">
        <f t="shared" ca="1" si="55"/>
        <v>#NAME?</v>
      </c>
      <c r="C1714">
        <v>1671</v>
      </c>
      <c r="D1714" t="e">
        <f t="shared" ca="1" si="54"/>
        <v>#NAME?</v>
      </c>
      <c r="E1714" s="115" t="e">
        <f t="array" aca="1" ref="E1714" ca="1">IF(OR(C1713=0,AND(B1715=0,C1715=0)),"",IFERROR(INDEX($F$27:$F$36,MATCH(C1714,($F$27:$F$36)*($D$27:$D$36&lt;&gt;0),0)),IF(OR(AND(D1714=0,B1714=0,B1715&lt;&gt;0),AND(D1714*D1713&lt;0,B1714&lt;&gt;0)),IF(D1714=0,C1714,C1714*(1-ABS(D1714)/(ABS(D1714)+ABS(D1713)))+C1713*(1-ABS(D1713)/(ABS(D1714)+ABS(D1713)))),"")))</f>
        <v>#NAME?</v>
      </c>
    </row>
    <row r="1715" spans="2:5" x14ac:dyDescent="0.25">
      <c r="B1715" t="e">
        <f t="shared" ca="1" si="55"/>
        <v>#NAME?</v>
      </c>
      <c r="C1715">
        <v>1672</v>
      </c>
      <c r="D1715" t="e">
        <f t="shared" ca="1" si="54"/>
        <v>#NAME?</v>
      </c>
      <c r="E1715" s="115" t="e">
        <f t="array" aca="1" ref="E1715" ca="1">IF(OR(C1714=0,AND(B1716=0,C1716=0)),"",IFERROR(INDEX($F$27:$F$36,MATCH(C1715,($F$27:$F$36)*($D$27:$D$36&lt;&gt;0),0)),IF(OR(AND(D1715=0,B1715=0,B1716&lt;&gt;0),AND(D1715*D1714&lt;0,B1715&lt;&gt;0)),IF(D1715=0,C1715,C1715*(1-ABS(D1715)/(ABS(D1715)+ABS(D1714)))+C1714*(1-ABS(D1714)/(ABS(D1715)+ABS(D1714)))),"")))</f>
        <v>#NAME?</v>
      </c>
    </row>
    <row r="1716" spans="2:5" x14ac:dyDescent="0.25">
      <c r="B1716" t="e">
        <f t="shared" ca="1" si="55"/>
        <v>#NAME?</v>
      </c>
      <c r="C1716">
        <v>1673</v>
      </c>
      <c r="D1716" t="e">
        <f t="shared" ca="1" si="54"/>
        <v>#NAME?</v>
      </c>
      <c r="E1716" s="115" t="e">
        <f t="array" aca="1" ref="E1716" ca="1">IF(OR(C1715=0,AND(B1717=0,C1717=0)),"",IFERROR(INDEX($F$27:$F$36,MATCH(C1716,($F$27:$F$36)*($D$27:$D$36&lt;&gt;0),0)),IF(OR(AND(D1716=0,B1716=0,B1717&lt;&gt;0),AND(D1716*D1715&lt;0,B1716&lt;&gt;0)),IF(D1716=0,C1716,C1716*(1-ABS(D1716)/(ABS(D1716)+ABS(D1715)))+C1715*(1-ABS(D1715)/(ABS(D1716)+ABS(D1715)))),"")))</f>
        <v>#NAME?</v>
      </c>
    </row>
    <row r="1717" spans="2:5" x14ac:dyDescent="0.25">
      <c r="B1717" t="e">
        <f t="shared" ca="1" si="55"/>
        <v>#NAME?</v>
      </c>
      <c r="C1717">
        <v>1674</v>
      </c>
      <c r="D1717" t="e">
        <f t="shared" ca="1" si="54"/>
        <v>#NAME?</v>
      </c>
      <c r="E1717" s="115" t="e">
        <f t="array" aca="1" ref="E1717" ca="1">IF(OR(C1716=0,AND(B1718=0,C1718=0)),"",IFERROR(INDEX($F$27:$F$36,MATCH(C1717,($F$27:$F$36)*($D$27:$D$36&lt;&gt;0),0)),IF(OR(AND(D1717=0,B1717=0,B1718&lt;&gt;0),AND(D1717*D1716&lt;0,B1717&lt;&gt;0)),IF(D1717=0,C1717,C1717*(1-ABS(D1717)/(ABS(D1717)+ABS(D1716)))+C1716*(1-ABS(D1716)/(ABS(D1717)+ABS(D1716)))),"")))</f>
        <v>#NAME?</v>
      </c>
    </row>
    <row r="1718" spans="2:5" x14ac:dyDescent="0.25">
      <c r="B1718" t="e">
        <f t="shared" ca="1" si="55"/>
        <v>#NAME?</v>
      </c>
      <c r="C1718">
        <v>1675</v>
      </c>
      <c r="D1718" t="e">
        <f t="shared" ca="1" si="54"/>
        <v>#NAME?</v>
      </c>
      <c r="E1718" s="115" t="e">
        <f t="array" aca="1" ref="E1718" ca="1">IF(OR(C1717=0,AND(B1719=0,C1719=0)),"",IFERROR(INDEX($F$27:$F$36,MATCH(C1718,($F$27:$F$36)*($D$27:$D$36&lt;&gt;0),0)),IF(OR(AND(D1718=0,B1718=0,B1719&lt;&gt;0),AND(D1718*D1717&lt;0,B1718&lt;&gt;0)),IF(D1718=0,C1718,C1718*(1-ABS(D1718)/(ABS(D1718)+ABS(D1717)))+C1717*(1-ABS(D1717)/(ABS(D1718)+ABS(D1717)))),"")))</f>
        <v>#NAME?</v>
      </c>
    </row>
    <row r="1719" spans="2:5" x14ac:dyDescent="0.25">
      <c r="B1719" t="e">
        <f t="shared" ca="1" si="55"/>
        <v>#NAME?</v>
      </c>
      <c r="C1719">
        <v>1676</v>
      </c>
      <c r="D1719" t="e">
        <f t="shared" ca="1" si="54"/>
        <v>#NAME?</v>
      </c>
      <c r="E1719" s="115" t="e">
        <f t="array" aca="1" ref="E1719" ca="1">IF(OR(C1718=0,AND(B1720=0,C1720=0)),"",IFERROR(INDEX($F$27:$F$36,MATCH(C1719,($F$27:$F$36)*($D$27:$D$36&lt;&gt;0),0)),IF(OR(AND(D1719=0,B1719=0,B1720&lt;&gt;0),AND(D1719*D1718&lt;0,B1719&lt;&gt;0)),IF(D1719=0,C1719,C1719*(1-ABS(D1719)/(ABS(D1719)+ABS(D1718)))+C1718*(1-ABS(D1718)/(ABS(D1719)+ABS(D1718)))),"")))</f>
        <v>#NAME?</v>
      </c>
    </row>
    <row r="1720" spans="2:5" x14ac:dyDescent="0.25">
      <c r="B1720" t="e">
        <f t="shared" ca="1" si="55"/>
        <v>#NAME?</v>
      </c>
      <c r="C1720">
        <v>1677</v>
      </c>
      <c r="D1720" t="e">
        <f t="shared" ca="1" si="54"/>
        <v>#NAME?</v>
      </c>
      <c r="E1720" s="115" t="e">
        <f t="array" aca="1" ref="E1720" ca="1">IF(OR(C1719=0,AND(B1721=0,C1721=0)),"",IFERROR(INDEX($F$27:$F$36,MATCH(C1720,($F$27:$F$36)*($D$27:$D$36&lt;&gt;0),0)),IF(OR(AND(D1720=0,B1720=0,B1721&lt;&gt;0),AND(D1720*D1719&lt;0,B1720&lt;&gt;0)),IF(D1720=0,C1720,C1720*(1-ABS(D1720)/(ABS(D1720)+ABS(D1719)))+C1719*(1-ABS(D1719)/(ABS(D1720)+ABS(D1719)))),"")))</f>
        <v>#NAME?</v>
      </c>
    </row>
    <row r="1721" spans="2:5" x14ac:dyDescent="0.25">
      <c r="B1721" t="e">
        <f t="shared" ca="1" si="55"/>
        <v>#NAME?</v>
      </c>
      <c r="C1721">
        <v>1678</v>
      </c>
      <c r="D1721" t="e">
        <f t="shared" ca="1" si="54"/>
        <v>#NAME?</v>
      </c>
      <c r="E1721" s="115" t="e">
        <f t="array" aca="1" ref="E1721" ca="1">IF(OR(C1720=0,AND(B1722=0,C1722=0)),"",IFERROR(INDEX($F$27:$F$36,MATCH(C1721,($F$27:$F$36)*($D$27:$D$36&lt;&gt;0),0)),IF(OR(AND(D1721=0,B1721=0,B1722&lt;&gt;0),AND(D1721*D1720&lt;0,B1721&lt;&gt;0)),IF(D1721=0,C1721,C1721*(1-ABS(D1721)/(ABS(D1721)+ABS(D1720)))+C1720*(1-ABS(D1720)/(ABS(D1721)+ABS(D1720)))),"")))</f>
        <v>#NAME?</v>
      </c>
    </row>
    <row r="1722" spans="2:5" x14ac:dyDescent="0.25">
      <c r="B1722" t="e">
        <f t="shared" ca="1" si="55"/>
        <v>#NAME?</v>
      </c>
      <c r="C1722">
        <v>1679</v>
      </c>
      <c r="D1722" t="e">
        <f t="shared" ca="1" si="54"/>
        <v>#NAME?</v>
      </c>
      <c r="E1722" s="115" t="e">
        <f t="array" aca="1" ref="E1722" ca="1">IF(OR(C1721=0,AND(B1723=0,C1723=0)),"",IFERROR(INDEX($F$27:$F$36,MATCH(C1722,($F$27:$F$36)*($D$27:$D$36&lt;&gt;0),0)),IF(OR(AND(D1722=0,B1722=0,B1723&lt;&gt;0),AND(D1722*D1721&lt;0,B1722&lt;&gt;0)),IF(D1722=0,C1722,C1722*(1-ABS(D1722)/(ABS(D1722)+ABS(D1721)))+C1721*(1-ABS(D1721)/(ABS(D1722)+ABS(D1721)))),"")))</f>
        <v>#NAME?</v>
      </c>
    </row>
    <row r="1723" spans="2:5" x14ac:dyDescent="0.25">
      <c r="B1723" t="e">
        <f t="shared" ca="1" si="55"/>
        <v>#NAME?</v>
      </c>
      <c r="C1723">
        <v>1680</v>
      </c>
      <c r="D1723" t="e">
        <f t="shared" ca="1" si="54"/>
        <v>#NAME?</v>
      </c>
      <c r="E1723" s="115" t="e">
        <f t="array" aca="1" ref="E1723" ca="1">IF(OR(C1722=0,AND(B1724=0,C1724=0)),"",IFERROR(INDEX($F$27:$F$36,MATCH(C1723,($F$27:$F$36)*($D$27:$D$36&lt;&gt;0),0)),IF(OR(AND(D1723=0,B1723=0,B1724&lt;&gt;0),AND(D1723*D1722&lt;0,B1723&lt;&gt;0)),IF(D1723=0,C1723,C1723*(1-ABS(D1723)/(ABS(D1723)+ABS(D1722)))+C1722*(1-ABS(D1722)/(ABS(D1723)+ABS(D1722)))),"")))</f>
        <v>#NAME?</v>
      </c>
    </row>
    <row r="1724" spans="2:5" x14ac:dyDescent="0.25">
      <c r="B1724" t="e">
        <f t="shared" ca="1" si="55"/>
        <v>#NAME?</v>
      </c>
      <c r="C1724">
        <v>1681</v>
      </c>
      <c r="D1724" t="e">
        <f t="shared" ca="1" si="54"/>
        <v>#NAME?</v>
      </c>
      <c r="E1724" s="115" t="e">
        <f t="array" aca="1" ref="E1724" ca="1">IF(OR(C1723=0,AND(B1725=0,C1725=0)),"",IFERROR(INDEX($F$27:$F$36,MATCH(C1724,($F$27:$F$36)*($D$27:$D$36&lt;&gt;0),0)),IF(OR(AND(D1724=0,B1724=0,B1725&lt;&gt;0),AND(D1724*D1723&lt;0,B1724&lt;&gt;0)),IF(D1724=0,C1724,C1724*(1-ABS(D1724)/(ABS(D1724)+ABS(D1723)))+C1723*(1-ABS(D1723)/(ABS(D1724)+ABS(D1723)))),"")))</f>
        <v>#NAME?</v>
      </c>
    </row>
    <row r="1725" spans="2:5" x14ac:dyDescent="0.25">
      <c r="B1725" t="e">
        <f t="shared" ca="1" si="55"/>
        <v>#NAME?</v>
      </c>
      <c r="C1725">
        <v>1682</v>
      </c>
      <c r="D1725" t="e">
        <f t="shared" ca="1" si="54"/>
        <v>#NAME?</v>
      </c>
      <c r="E1725" s="115" t="e">
        <f t="array" aca="1" ref="E1725" ca="1">IF(OR(C1724=0,AND(B1726=0,C1726=0)),"",IFERROR(INDEX($F$27:$F$36,MATCH(C1725,($F$27:$F$36)*($D$27:$D$36&lt;&gt;0),0)),IF(OR(AND(D1725=0,B1725=0,B1726&lt;&gt;0),AND(D1725*D1724&lt;0,B1725&lt;&gt;0)),IF(D1725=0,C1725,C1725*(1-ABS(D1725)/(ABS(D1725)+ABS(D1724)))+C1724*(1-ABS(D1724)/(ABS(D1725)+ABS(D1724)))),"")))</f>
        <v>#NAME?</v>
      </c>
    </row>
    <row r="1726" spans="2:5" x14ac:dyDescent="0.25">
      <c r="B1726" t="e">
        <f t="shared" ca="1" si="55"/>
        <v>#NAME?</v>
      </c>
      <c r="C1726">
        <v>1683</v>
      </c>
      <c r="D1726" t="e">
        <f t="shared" ca="1" si="54"/>
        <v>#NAME?</v>
      </c>
      <c r="E1726" s="115" t="e">
        <f t="array" aca="1" ref="E1726" ca="1">IF(OR(C1725=0,AND(B1727=0,C1727=0)),"",IFERROR(INDEX($F$27:$F$36,MATCH(C1726,($F$27:$F$36)*($D$27:$D$36&lt;&gt;0),0)),IF(OR(AND(D1726=0,B1726=0,B1727&lt;&gt;0),AND(D1726*D1725&lt;0,B1726&lt;&gt;0)),IF(D1726=0,C1726,C1726*(1-ABS(D1726)/(ABS(D1726)+ABS(D1725)))+C1725*(1-ABS(D1725)/(ABS(D1726)+ABS(D1725)))),"")))</f>
        <v>#NAME?</v>
      </c>
    </row>
    <row r="1727" spans="2:5" x14ac:dyDescent="0.25">
      <c r="B1727" t="e">
        <f t="shared" ca="1" si="55"/>
        <v>#NAME?</v>
      </c>
      <c r="C1727">
        <v>1684</v>
      </c>
      <c r="D1727" t="e">
        <f t="shared" ca="1" si="54"/>
        <v>#NAME?</v>
      </c>
      <c r="E1727" s="115" t="e">
        <f t="array" aca="1" ref="E1727" ca="1">IF(OR(C1726=0,AND(B1728=0,C1728=0)),"",IFERROR(INDEX($F$27:$F$36,MATCH(C1727,($F$27:$F$36)*($D$27:$D$36&lt;&gt;0),0)),IF(OR(AND(D1727=0,B1727=0,B1728&lt;&gt;0),AND(D1727*D1726&lt;0,B1727&lt;&gt;0)),IF(D1727=0,C1727,C1727*(1-ABS(D1727)/(ABS(D1727)+ABS(D1726)))+C1726*(1-ABS(D1726)/(ABS(D1727)+ABS(D1726)))),"")))</f>
        <v>#NAME?</v>
      </c>
    </row>
    <row r="1728" spans="2:5" x14ac:dyDescent="0.25">
      <c r="B1728" t="e">
        <f t="shared" ca="1" si="55"/>
        <v>#NAME?</v>
      </c>
      <c r="C1728">
        <v>1685</v>
      </c>
      <c r="D1728" t="e">
        <f t="shared" ca="1" si="54"/>
        <v>#NAME?</v>
      </c>
      <c r="E1728" s="115" t="e">
        <f t="array" aca="1" ref="E1728" ca="1">IF(OR(C1727=0,AND(B1729=0,C1729=0)),"",IFERROR(INDEX($F$27:$F$36,MATCH(C1728,($F$27:$F$36)*($D$27:$D$36&lt;&gt;0),0)),IF(OR(AND(D1728=0,B1728=0,B1729&lt;&gt;0),AND(D1728*D1727&lt;0,B1728&lt;&gt;0)),IF(D1728=0,C1728,C1728*(1-ABS(D1728)/(ABS(D1728)+ABS(D1727)))+C1727*(1-ABS(D1727)/(ABS(D1728)+ABS(D1727)))),"")))</f>
        <v>#NAME?</v>
      </c>
    </row>
    <row r="1729" spans="2:5" x14ac:dyDescent="0.25">
      <c r="B1729" t="e">
        <f t="shared" ca="1" si="55"/>
        <v>#NAME?</v>
      </c>
      <c r="C1729">
        <v>1686</v>
      </c>
      <c r="D1729" t="e">
        <f t="shared" ca="1" si="54"/>
        <v>#NAME?</v>
      </c>
      <c r="E1729" s="115" t="e">
        <f t="array" aca="1" ref="E1729" ca="1">IF(OR(C1728=0,AND(B1730=0,C1730=0)),"",IFERROR(INDEX($F$27:$F$36,MATCH(C1729,($F$27:$F$36)*($D$27:$D$36&lt;&gt;0),0)),IF(OR(AND(D1729=0,B1729=0,B1730&lt;&gt;0),AND(D1729*D1728&lt;0,B1729&lt;&gt;0)),IF(D1729=0,C1729,C1729*(1-ABS(D1729)/(ABS(D1729)+ABS(D1728)))+C1728*(1-ABS(D1728)/(ABS(D1729)+ABS(D1728)))),"")))</f>
        <v>#NAME?</v>
      </c>
    </row>
    <row r="1730" spans="2:5" x14ac:dyDescent="0.25">
      <c r="B1730" t="e">
        <f t="shared" ca="1" si="55"/>
        <v>#NAME?</v>
      </c>
      <c r="C1730">
        <v>1687</v>
      </c>
      <c r="D1730" t="e">
        <f t="shared" ca="1" si="54"/>
        <v>#NAME?</v>
      </c>
      <c r="E1730" s="115" t="e">
        <f t="array" aca="1" ref="E1730" ca="1">IF(OR(C1729=0,AND(B1731=0,C1731=0)),"",IFERROR(INDEX($F$27:$F$36,MATCH(C1730,($F$27:$F$36)*($D$27:$D$36&lt;&gt;0),0)),IF(OR(AND(D1730=0,B1730=0,B1731&lt;&gt;0),AND(D1730*D1729&lt;0,B1730&lt;&gt;0)),IF(D1730=0,C1730,C1730*(1-ABS(D1730)/(ABS(D1730)+ABS(D1729)))+C1729*(1-ABS(D1729)/(ABS(D1730)+ABS(D1729)))),"")))</f>
        <v>#NAME?</v>
      </c>
    </row>
    <row r="1731" spans="2:5" x14ac:dyDescent="0.25">
      <c r="B1731" t="e">
        <f t="shared" ca="1" si="55"/>
        <v>#NAME?</v>
      </c>
      <c r="C1731">
        <v>1688</v>
      </c>
      <c r="D1731" t="e">
        <f t="shared" ca="1" si="54"/>
        <v>#NAME?</v>
      </c>
      <c r="E1731" s="115" t="e">
        <f t="array" aca="1" ref="E1731" ca="1">IF(OR(C1730=0,AND(B1732=0,C1732=0)),"",IFERROR(INDEX($F$27:$F$36,MATCH(C1731,($F$27:$F$36)*($D$27:$D$36&lt;&gt;0),0)),IF(OR(AND(D1731=0,B1731=0,B1732&lt;&gt;0),AND(D1731*D1730&lt;0,B1731&lt;&gt;0)),IF(D1731=0,C1731,C1731*(1-ABS(D1731)/(ABS(D1731)+ABS(D1730)))+C1730*(1-ABS(D1730)/(ABS(D1731)+ABS(D1730)))),"")))</f>
        <v>#NAME?</v>
      </c>
    </row>
    <row r="1732" spans="2:5" x14ac:dyDescent="0.25">
      <c r="B1732" t="e">
        <f t="shared" ca="1" si="55"/>
        <v>#NAME?</v>
      </c>
      <c r="C1732">
        <v>1689</v>
      </c>
      <c r="D1732" t="e">
        <f t="shared" ca="1" si="54"/>
        <v>#NAME?</v>
      </c>
      <c r="E1732" s="115" t="e">
        <f t="array" aca="1" ref="E1732" ca="1">IF(OR(C1731=0,AND(B1733=0,C1733=0)),"",IFERROR(INDEX($F$27:$F$36,MATCH(C1732,($F$27:$F$36)*($D$27:$D$36&lt;&gt;0),0)),IF(OR(AND(D1732=0,B1732=0,B1733&lt;&gt;0),AND(D1732*D1731&lt;0,B1732&lt;&gt;0)),IF(D1732=0,C1732,C1732*(1-ABS(D1732)/(ABS(D1732)+ABS(D1731)))+C1731*(1-ABS(D1731)/(ABS(D1732)+ABS(D1731)))),"")))</f>
        <v>#NAME?</v>
      </c>
    </row>
    <row r="1733" spans="2:5" x14ac:dyDescent="0.25">
      <c r="B1733" t="e">
        <f t="shared" ca="1" si="55"/>
        <v>#NAME?</v>
      </c>
      <c r="C1733">
        <v>1690</v>
      </c>
      <c r="D1733" t="e">
        <f t="shared" ca="1" si="54"/>
        <v>#NAME?</v>
      </c>
      <c r="E1733" s="115" t="e">
        <f t="array" aca="1" ref="E1733" ca="1">IF(OR(C1732=0,AND(B1734=0,C1734=0)),"",IFERROR(INDEX($F$27:$F$36,MATCH(C1733,($F$27:$F$36)*($D$27:$D$36&lt;&gt;0),0)),IF(OR(AND(D1733=0,B1733=0,B1734&lt;&gt;0),AND(D1733*D1732&lt;0,B1733&lt;&gt;0)),IF(D1733=0,C1733,C1733*(1-ABS(D1733)/(ABS(D1733)+ABS(D1732)))+C1732*(1-ABS(D1732)/(ABS(D1733)+ABS(D1732)))),"")))</f>
        <v>#NAME?</v>
      </c>
    </row>
    <row r="1734" spans="2:5" x14ac:dyDescent="0.25">
      <c r="B1734" t="e">
        <f t="shared" ca="1" si="55"/>
        <v>#NAME?</v>
      </c>
      <c r="C1734">
        <v>1691</v>
      </c>
      <c r="D1734" t="e">
        <f t="shared" ca="1" si="54"/>
        <v>#NAME?</v>
      </c>
      <c r="E1734" s="115" t="e">
        <f t="array" aca="1" ref="E1734" ca="1">IF(OR(C1733=0,AND(B1735=0,C1735=0)),"",IFERROR(INDEX($F$27:$F$36,MATCH(C1734,($F$27:$F$36)*($D$27:$D$36&lt;&gt;0),0)),IF(OR(AND(D1734=0,B1734=0,B1735&lt;&gt;0),AND(D1734*D1733&lt;0,B1734&lt;&gt;0)),IF(D1734=0,C1734,C1734*(1-ABS(D1734)/(ABS(D1734)+ABS(D1733)))+C1733*(1-ABS(D1733)/(ABS(D1734)+ABS(D1733)))),"")))</f>
        <v>#NAME?</v>
      </c>
    </row>
    <row r="1735" spans="2:5" x14ac:dyDescent="0.25">
      <c r="B1735" t="e">
        <f t="shared" ca="1" si="55"/>
        <v>#NAME?</v>
      </c>
      <c r="C1735">
        <v>1692</v>
      </c>
      <c r="D1735" t="e">
        <f t="shared" ca="1" si="54"/>
        <v>#NAME?</v>
      </c>
      <c r="E1735" s="115" t="e">
        <f t="array" aca="1" ref="E1735" ca="1">IF(OR(C1734=0,AND(B1736=0,C1736=0)),"",IFERROR(INDEX($F$27:$F$36,MATCH(C1735,($F$27:$F$36)*($D$27:$D$36&lt;&gt;0),0)),IF(OR(AND(D1735=0,B1735=0,B1736&lt;&gt;0),AND(D1735*D1734&lt;0,B1735&lt;&gt;0)),IF(D1735=0,C1735,C1735*(1-ABS(D1735)/(ABS(D1735)+ABS(D1734)))+C1734*(1-ABS(D1734)/(ABS(D1735)+ABS(D1734)))),"")))</f>
        <v>#NAME?</v>
      </c>
    </row>
    <row r="1736" spans="2:5" x14ac:dyDescent="0.25">
      <c r="B1736" t="e">
        <f t="shared" ca="1" si="55"/>
        <v>#NAME?</v>
      </c>
      <c r="C1736">
        <v>1693</v>
      </c>
      <c r="D1736" t="e">
        <f t="shared" ca="1" si="54"/>
        <v>#NAME?</v>
      </c>
      <c r="E1736" s="115" t="e">
        <f t="array" aca="1" ref="E1736" ca="1">IF(OR(C1735=0,AND(B1737=0,C1737=0)),"",IFERROR(INDEX($F$27:$F$36,MATCH(C1736,($F$27:$F$36)*($D$27:$D$36&lt;&gt;0),0)),IF(OR(AND(D1736=0,B1736=0,B1737&lt;&gt;0),AND(D1736*D1735&lt;0,B1736&lt;&gt;0)),IF(D1736=0,C1736,C1736*(1-ABS(D1736)/(ABS(D1736)+ABS(D1735)))+C1735*(1-ABS(D1735)/(ABS(D1736)+ABS(D1735)))),"")))</f>
        <v>#NAME?</v>
      </c>
    </row>
    <row r="1737" spans="2:5" x14ac:dyDescent="0.25">
      <c r="B1737" t="e">
        <f t="shared" ca="1" si="55"/>
        <v>#NAME?</v>
      </c>
      <c r="C1737">
        <v>1694</v>
      </c>
      <c r="D1737" t="e">
        <f t="shared" ca="1" si="54"/>
        <v>#NAME?</v>
      </c>
      <c r="E1737" s="115" t="e">
        <f t="array" aca="1" ref="E1737" ca="1">IF(OR(C1736=0,AND(B1738=0,C1738=0)),"",IFERROR(INDEX($F$27:$F$36,MATCH(C1737,($F$27:$F$36)*($D$27:$D$36&lt;&gt;0),0)),IF(OR(AND(D1737=0,B1737=0,B1738&lt;&gt;0),AND(D1737*D1736&lt;0,B1737&lt;&gt;0)),IF(D1737=0,C1737,C1737*(1-ABS(D1737)/(ABS(D1737)+ABS(D1736)))+C1736*(1-ABS(D1736)/(ABS(D1737)+ABS(D1736)))),"")))</f>
        <v>#NAME?</v>
      </c>
    </row>
    <row r="1738" spans="2:5" x14ac:dyDescent="0.25">
      <c r="B1738" t="e">
        <f t="shared" ca="1" si="55"/>
        <v>#NAME?</v>
      </c>
      <c r="C1738">
        <v>1695</v>
      </c>
      <c r="D1738" t="e">
        <f t="shared" ca="1" si="54"/>
        <v>#NAME?</v>
      </c>
      <c r="E1738" s="115" t="e">
        <f t="array" aca="1" ref="E1738" ca="1">IF(OR(C1737=0,AND(B1739=0,C1739=0)),"",IFERROR(INDEX($F$27:$F$36,MATCH(C1738,($F$27:$F$36)*($D$27:$D$36&lt;&gt;0),0)),IF(OR(AND(D1738=0,B1738=0,B1739&lt;&gt;0),AND(D1738*D1737&lt;0,B1738&lt;&gt;0)),IF(D1738=0,C1738,C1738*(1-ABS(D1738)/(ABS(D1738)+ABS(D1737)))+C1737*(1-ABS(D1737)/(ABS(D1738)+ABS(D1737)))),"")))</f>
        <v>#NAME?</v>
      </c>
    </row>
    <row r="1739" spans="2:5" x14ac:dyDescent="0.25">
      <c r="B1739" t="e">
        <f t="shared" ca="1" si="55"/>
        <v>#NAME?</v>
      </c>
      <c r="C1739">
        <v>1696</v>
      </c>
      <c r="D1739" t="e">
        <f t="shared" ca="1" si="54"/>
        <v>#NAME?</v>
      </c>
      <c r="E1739" s="115" t="e">
        <f t="array" aca="1" ref="E1739" ca="1">IF(OR(C1738=0,AND(B1740=0,C1740=0)),"",IFERROR(INDEX($F$27:$F$36,MATCH(C1739,($F$27:$F$36)*($D$27:$D$36&lt;&gt;0),0)),IF(OR(AND(D1739=0,B1739=0,B1740&lt;&gt;0),AND(D1739*D1738&lt;0,B1739&lt;&gt;0)),IF(D1739=0,C1739,C1739*(1-ABS(D1739)/(ABS(D1739)+ABS(D1738)))+C1738*(1-ABS(D1738)/(ABS(D1739)+ABS(D1738)))),"")))</f>
        <v>#NAME?</v>
      </c>
    </row>
    <row r="1740" spans="2:5" x14ac:dyDescent="0.25">
      <c r="B1740" t="e">
        <f t="shared" ca="1" si="55"/>
        <v>#NAME?</v>
      </c>
      <c r="C1740">
        <v>1697</v>
      </c>
      <c r="D1740" t="e">
        <f t="shared" ca="1" si="54"/>
        <v>#NAME?</v>
      </c>
      <c r="E1740" s="115" t="e">
        <f t="array" aca="1" ref="E1740" ca="1">IF(OR(C1739=0,AND(B1741=0,C1741=0)),"",IFERROR(INDEX($F$27:$F$36,MATCH(C1740,($F$27:$F$36)*($D$27:$D$36&lt;&gt;0),0)),IF(OR(AND(D1740=0,B1740=0,B1741&lt;&gt;0),AND(D1740*D1739&lt;0,B1740&lt;&gt;0)),IF(D1740=0,C1740,C1740*(1-ABS(D1740)/(ABS(D1740)+ABS(D1739)))+C1739*(1-ABS(D1739)/(ABS(D1740)+ABS(D1739)))),"")))</f>
        <v>#NAME?</v>
      </c>
    </row>
    <row r="1741" spans="2:5" x14ac:dyDescent="0.25">
      <c r="B1741" t="e">
        <f t="shared" ca="1" si="55"/>
        <v>#NAME?</v>
      </c>
      <c r="C1741">
        <v>1698</v>
      </c>
      <c r="D1741" t="e">
        <f t="shared" ca="1" si="54"/>
        <v>#NAME?</v>
      </c>
      <c r="E1741" s="115" t="e">
        <f t="array" aca="1" ref="E1741" ca="1">IF(OR(C1740=0,AND(B1742=0,C1742=0)),"",IFERROR(INDEX($F$27:$F$36,MATCH(C1741,($F$27:$F$36)*($D$27:$D$36&lt;&gt;0),0)),IF(OR(AND(D1741=0,B1741=0,B1742&lt;&gt;0),AND(D1741*D1740&lt;0,B1741&lt;&gt;0)),IF(D1741=0,C1741,C1741*(1-ABS(D1741)/(ABS(D1741)+ABS(D1740)))+C1740*(1-ABS(D1740)/(ABS(D1741)+ABS(D1740)))),"")))</f>
        <v>#NAME?</v>
      </c>
    </row>
    <row r="1742" spans="2:5" x14ac:dyDescent="0.25">
      <c r="B1742" t="e">
        <f t="shared" ca="1" si="55"/>
        <v>#NAME?</v>
      </c>
      <c r="C1742">
        <v>1699</v>
      </c>
      <c r="D1742" t="e">
        <f t="shared" ca="1" si="54"/>
        <v>#NAME?</v>
      </c>
      <c r="E1742" s="115" t="e">
        <f t="array" aca="1" ref="E1742" ca="1">IF(OR(C1741=0,AND(B1743=0,C1743=0)),"",IFERROR(INDEX($F$27:$F$36,MATCH(C1742,($F$27:$F$36)*($D$27:$D$36&lt;&gt;0),0)),IF(OR(AND(D1742=0,B1742=0,B1743&lt;&gt;0),AND(D1742*D1741&lt;0,B1742&lt;&gt;0)),IF(D1742=0,C1742,C1742*(1-ABS(D1742)/(ABS(D1742)+ABS(D1741)))+C1741*(1-ABS(D1741)/(ABS(D1742)+ABS(D1741)))),"")))</f>
        <v>#NAME?</v>
      </c>
    </row>
    <row r="1743" spans="2:5" x14ac:dyDescent="0.25">
      <c r="B1743" t="e">
        <f t="shared" ca="1" si="55"/>
        <v>#NAME?</v>
      </c>
      <c r="C1743">
        <v>1700</v>
      </c>
      <c r="D1743" t="e">
        <f t="shared" ca="1" si="54"/>
        <v>#NAME?</v>
      </c>
      <c r="E1743" s="115" t="e">
        <f t="array" aca="1" ref="E1743" ca="1">IF(OR(C1742=0,AND(B1744=0,C1744=0)),"",IFERROR(INDEX($F$27:$F$36,MATCH(C1743,($F$27:$F$36)*($D$27:$D$36&lt;&gt;0),0)),IF(OR(AND(D1743=0,B1743=0,B1744&lt;&gt;0),AND(D1743*D1742&lt;0,B1743&lt;&gt;0)),IF(D1743=0,C1743,C1743*(1-ABS(D1743)/(ABS(D1743)+ABS(D1742)))+C1742*(1-ABS(D1742)/(ABS(D1743)+ABS(D1742)))),"")))</f>
        <v>#NAME?</v>
      </c>
    </row>
    <row r="1744" spans="2:5" x14ac:dyDescent="0.25">
      <c r="B1744" t="e">
        <f t="shared" ca="1" si="55"/>
        <v>#NAME?</v>
      </c>
      <c r="C1744">
        <v>1701</v>
      </c>
      <c r="D1744" t="e">
        <f t="shared" ca="1" si="54"/>
        <v>#NAME?</v>
      </c>
      <c r="E1744" s="115" t="e">
        <f t="array" aca="1" ref="E1744" ca="1">IF(OR(C1743=0,AND(B1745=0,C1745=0)),"",IFERROR(INDEX($F$27:$F$36,MATCH(C1744,($F$27:$F$36)*($D$27:$D$36&lt;&gt;0),0)),IF(OR(AND(D1744=0,B1744=0,B1745&lt;&gt;0),AND(D1744*D1743&lt;0,B1744&lt;&gt;0)),IF(D1744=0,C1744,C1744*(1-ABS(D1744)/(ABS(D1744)+ABS(D1743)))+C1743*(1-ABS(D1743)/(ABS(D1744)+ABS(D1743)))),"")))</f>
        <v>#NAME?</v>
      </c>
    </row>
    <row r="1745" spans="2:5" x14ac:dyDescent="0.25">
      <c r="B1745" t="e">
        <f t="shared" ca="1" si="55"/>
        <v>#NAME?</v>
      </c>
      <c r="C1745">
        <v>1702</v>
      </c>
      <c r="D1745" t="e">
        <f t="shared" ca="1" si="54"/>
        <v>#NAME?</v>
      </c>
      <c r="E1745" s="115" t="e">
        <f t="array" aca="1" ref="E1745" ca="1">IF(OR(C1744=0,AND(B1746=0,C1746=0)),"",IFERROR(INDEX($F$27:$F$36,MATCH(C1745,($F$27:$F$36)*($D$27:$D$36&lt;&gt;0),0)),IF(OR(AND(D1745=0,B1745=0,B1746&lt;&gt;0),AND(D1745*D1744&lt;0,B1745&lt;&gt;0)),IF(D1745=0,C1745,C1745*(1-ABS(D1745)/(ABS(D1745)+ABS(D1744)))+C1744*(1-ABS(D1744)/(ABS(D1745)+ABS(D1744)))),"")))</f>
        <v>#NAME?</v>
      </c>
    </row>
    <row r="1746" spans="2:5" x14ac:dyDescent="0.25">
      <c r="B1746" t="e">
        <f t="shared" ca="1" si="55"/>
        <v>#NAME?</v>
      </c>
      <c r="C1746">
        <v>1703</v>
      </c>
      <c r="D1746" t="e">
        <f t="shared" ca="1" si="54"/>
        <v>#NAME?</v>
      </c>
      <c r="E1746" s="115" t="e">
        <f t="array" aca="1" ref="E1746" ca="1">IF(OR(C1745=0,AND(B1747=0,C1747=0)),"",IFERROR(INDEX($F$27:$F$36,MATCH(C1746,($F$27:$F$36)*($D$27:$D$36&lt;&gt;0),0)),IF(OR(AND(D1746=0,B1746=0,B1747&lt;&gt;0),AND(D1746*D1745&lt;0,B1746&lt;&gt;0)),IF(D1746=0,C1746,C1746*(1-ABS(D1746)/(ABS(D1746)+ABS(D1745)))+C1745*(1-ABS(D1745)/(ABS(D1746)+ABS(D1745)))),"")))</f>
        <v>#NAME?</v>
      </c>
    </row>
    <row r="1747" spans="2:5" x14ac:dyDescent="0.25">
      <c r="B1747" t="e">
        <f t="shared" ca="1" si="55"/>
        <v>#NAME?</v>
      </c>
      <c r="C1747">
        <v>1704</v>
      </c>
      <c r="D1747" t="e">
        <f t="shared" ca="1" si="54"/>
        <v>#NAME?</v>
      </c>
      <c r="E1747" s="115" t="e">
        <f t="array" aca="1" ref="E1747" ca="1">IF(OR(C1746=0,AND(B1748=0,C1748=0)),"",IFERROR(INDEX($F$27:$F$36,MATCH(C1747,($F$27:$F$36)*($D$27:$D$36&lt;&gt;0),0)),IF(OR(AND(D1747=0,B1747=0,B1748&lt;&gt;0),AND(D1747*D1746&lt;0,B1747&lt;&gt;0)),IF(D1747=0,C1747,C1747*(1-ABS(D1747)/(ABS(D1747)+ABS(D1746)))+C1746*(1-ABS(D1746)/(ABS(D1747)+ABS(D1746)))),"")))</f>
        <v>#NAME?</v>
      </c>
    </row>
    <row r="1748" spans="2:5" x14ac:dyDescent="0.25">
      <c r="B1748" t="e">
        <f t="shared" ca="1" si="55"/>
        <v>#NAME?</v>
      </c>
      <c r="C1748">
        <v>1705</v>
      </c>
      <c r="D1748" t="e">
        <f t="shared" ca="1" si="54"/>
        <v>#NAME?</v>
      </c>
      <c r="E1748" s="115" t="e">
        <f t="array" aca="1" ref="E1748" ca="1">IF(OR(C1747=0,AND(B1749=0,C1749=0)),"",IFERROR(INDEX($F$27:$F$36,MATCH(C1748,($F$27:$F$36)*($D$27:$D$36&lt;&gt;0),0)),IF(OR(AND(D1748=0,B1748=0,B1749&lt;&gt;0),AND(D1748*D1747&lt;0,B1748&lt;&gt;0)),IF(D1748=0,C1748,C1748*(1-ABS(D1748)/(ABS(D1748)+ABS(D1747)))+C1747*(1-ABS(D1747)/(ABS(D1748)+ABS(D1747)))),"")))</f>
        <v>#NAME?</v>
      </c>
    </row>
    <row r="1749" spans="2:5" x14ac:dyDescent="0.25">
      <c r="B1749" t="e">
        <f t="shared" ca="1" si="55"/>
        <v>#NAME?</v>
      </c>
      <c r="C1749">
        <v>1706</v>
      </c>
      <c r="D1749" t="e">
        <f t="shared" ca="1" si="54"/>
        <v>#NAME?</v>
      </c>
      <c r="E1749" s="115" t="e">
        <f t="array" aca="1" ref="E1749" ca="1">IF(OR(C1748=0,AND(B1750=0,C1750=0)),"",IFERROR(INDEX($F$27:$F$36,MATCH(C1749,($F$27:$F$36)*($D$27:$D$36&lt;&gt;0),0)),IF(OR(AND(D1749=0,B1749=0,B1750&lt;&gt;0),AND(D1749*D1748&lt;0,B1749&lt;&gt;0)),IF(D1749=0,C1749,C1749*(1-ABS(D1749)/(ABS(D1749)+ABS(D1748)))+C1748*(1-ABS(D1748)/(ABS(D1749)+ABS(D1748)))),"")))</f>
        <v>#NAME?</v>
      </c>
    </row>
    <row r="1750" spans="2:5" x14ac:dyDescent="0.25">
      <c r="B1750" t="e">
        <f t="shared" ca="1" si="55"/>
        <v>#NAME?</v>
      </c>
      <c r="C1750">
        <v>1707</v>
      </c>
      <c r="D1750" t="e">
        <f t="shared" ca="1" si="54"/>
        <v>#NAME?</v>
      </c>
      <c r="E1750" s="115" t="e">
        <f t="array" aca="1" ref="E1750" ca="1">IF(OR(C1749=0,AND(B1751=0,C1751=0)),"",IFERROR(INDEX($F$27:$F$36,MATCH(C1750,($F$27:$F$36)*($D$27:$D$36&lt;&gt;0),0)),IF(OR(AND(D1750=0,B1750=0,B1751&lt;&gt;0),AND(D1750*D1749&lt;0,B1750&lt;&gt;0)),IF(D1750=0,C1750,C1750*(1-ABS(D1750)/(ABS(D1750)+ABS(D1749)))+C1749*(1-ABS(D1749)/(ABS(D1750)+ABS(D1749)))),"")))</f>
        <v>#NAME?</v>
      </c>
    </row>
    <row r="1751" spans="2:5" x14ac:dyDescent="0.25">
      <c r="B1751" t="e">
        <f t="shared" ca="1" si="55"/>
        <v>#NAME?</v>
      </c>
      <c r="C1751">
        <v>1708</v>
      </c>
      <c r="D1751" t="e">
        <f t="shared" ca="1" si="54"/>
        <v>#NAME?</v>
      </c>
      <c r="E1751" s="115" t="e">
        <f t="array" aca="1" ref="E1751" ca="1">IF(OR(C1750=0,AND(B1752=0,C1752=0)),"",IFERROR(INDEX($F$27:$F$36,MATCH(C1751,($F$27:$F$36)*($D$27:$D$36&lt;&gt;0),0)),IF(OR(AND(D1751=0,B1751=0,B1752&lt;&gt;0),AND(D1751*D1750&lt;0,B1751&lt;&gt;0)),IF(D1751=0,C1751,C1751*(1-ABS(D1751)/(ABS(D1751)+ABS(D1750)))+C1750*(1-ABS(D1750)/(ABS(D1751)+ABS(D1750)))),"")))</f>
        <v>#NAME?</v>
      </c>
    </row>
    <row r="1752" spans="2:5" x14ac:dyDescent="0.25">
      <c r="B1752" t="e">
        <f t="shared" ca="1" si="55"/>
        <v>#NAME?</v>
      </c>
      <c r="C1752">
        <v>1709</v>
      </c>
      <c r="D1752" t="e">
        <f t="shared" ca="1" si="54"/>
        <v>#NAME?</v>
      </c>
      <c r="E1752" s="115" t="e">
        <f t="array" aca="1" ref="E1752" ca="1">IF(OR(C1751=0,AND(B1753=0,C1753=0)),"",IFERROR(INDEX($F$27:$F$36,MATCH(C1752,($F$27:$F$36)*($D$27:$D$36&lt;&gt;0),0)),IF(OR(AND(D1752=0,B1752=0,B1753&lt;&gt;0),AND(D1752*D1751&lt;0,B1752&lt;&gt;0)),IF(D1752=0,C1752,C1752*(1-ABS(D1752)/(ABS(D1752)+ABS(D1751)))+C1751*(1-ABS(D1751)/(ABS(D1752)+ABS(D1751)))),"")))</f>
        <v>#NAME?</v>
      </c>
    </row>
    <row r="1753" spans="2:5" x14ac:dyDescent="0.25">
      <c r="B1753" t="e">
        <f t="shared" ca="1" si="55"/>
        <v>#NAME?</v>
      </c>
      <c r="C1753">
        <v>1710</v>
      </c>
      <c r="D1753" t="e">
        <f t="shared" ca="1" si="54"/>
        <v>#NAME?</v>
      </c>
      <c r="E1753" s="115" t="e">
        <f t="array" aca="1" ref="E1753" ca="1">IF(OR(C1752=0,AND(B1754=0,C1754=0)),"",IFERROR(INDEX($F$27:$F$36,MATCH(C1753,($F$27:$F$36)*($D$27:$D$36&lt;&gt;0),0)),IF(OR(AND(D1753=0,B1753=0,B1754&lt;&gt;0),AND(D1753*D1752&lt;0,B1753&lt;&gt;0)),IF(D1753=0,C1753,C1753*(1-ABS(D1753)/(ABS(D1753)+ABS(D1752)))+C1752*(1-ABS(D1752)/(ABS(D1753)+ABS(D1752)))),"")))</f>
        <v>#NAME?</v>
      </c>
    </row>
    <row r="1754" spans="2:5" x14ac:dyDescent="0.25">
      <c r="B1754" t="e">
        <f t="shared" ca="1" si="55"/>
        <v>#NAME?</v>
      </c>
      <c r="C1754">
        <v>1711</v>
      </c>
      <c r="D1754" t="e">
        <f t="shared" ca="1" si="54"/>
        <v>#NAME?</v>
      </c>
      <c r="E1754" s="115" t="e">
        <f t="array" aca="1" ref="E1754" ca="1">IF(OR(C1753=0,AND(B1755=0,C1755=0)),"",IFERROR(INDEX($F$27:$F$36,MATCH(C1754,($F$27:$F$36)*($D$27:$D$36&lt;&gt;0),0)),IF(OR(AND(D1754=0,B1754=0,B1755&lt;&gt;0),AND(D1754*D1753&lt;0,B1754&lt;&gt;0)),IF(D1754=0,C1754,C1754*(1-ABS(D1754)/(ABS(D1754)+ABS(D1753)))+C1753*(1-ABS(D1753)/(ABS(D1754)+ABS(D1753)))),"")))</f>
        <v>#NAME?</v>
      </c>
    </row>
    <row r="1755" spans="2:5" x14ac:dyDescent="0.25">
      <c r="B1755" t="e">
        <f t="shared" ca="1" si="55"/>
        <v>#NAME?</v>
      </c>
      <c r="C1755">
        <v>1712</v>
      </c>
      <c r="D1755" t="e">
        <f t="shared" ca="1" si="54"/>
        <v>#NAME?</v>
      </c>
      <c r="E1755" s="115" t="e">
        <f t="array" aca="1" ref="E1755" ca="1">IF(OR(C1754=0,AND(B1756=0,C1756=0)),"",IFERROR(INDEX($F$27:$F$36,MATCH(C1755,($F$27:$F$36)*($D$27:$D$36&lt;&gt;0),0)),IF(OR(AND(D1755=0,B1755=0,B1756&lt;&gt;0),AND(D1755*D1754&lt;0,B1755&lt;&gt;0)),IF(D1755=0,C1755,C1755*(1-ABS(D1755)/(ABS(D1755)+ABS(D1754)))+C1754*(1-ABS(D1754)/(ABS(D1755)+ABS(D1754)))),"")))</f>
        <v>#NAME?</v>
      </c>
    </row>
    <row r="1756" spans="2:5" x14ac:dyDescent="0.25">
      <c r="B1756" t="e">
        <f t="shared" ca="1" si="55"/>
        <v>#NAME?</v>
      </c>
      <c r="C1756">
        <v>1713</v>
      </c>
      <c r="D1756" t="e">
        <f t="shared" ca="1" si="54"/>
        <v>#NAME?</v>
      </c>
      <c r="E1756" s="115" t="e">
        <f t="array" aca="1" ref="E1756" ca="1">IF(OR(C1755=0,AND(B1757=0,C1757=0)),"",IFERROR(INDEX($F$27:$F$36,MATCH(C1756,($F$27:$F$36)*($D$27:$D$36&lt;&gt;0),0)),IF(OR(AND(D1756=0,B1756=0,B1757&lt;&gt;0),AND(D1756*D1755&lt;0,B1756&lt;&gt;0)),IF(D1756=0,C1756,C1756*(1-ABS(D1756)/(ABS(D1756)+ABS(D1755)))+C1755*(1-ABS(D1755)/(ABS(D1756)+ABS(D1755)))),"")))</f>
        <v>#NAME?</v>
      </c>
    </row>
    <row r="1757" spans="2:5" x14ac:dyDescent="0.25">
      <c r="B1757" t="e">
        <f t="shared" ca="1" si="55"/>
        <v>#NAME?</v>
      </c>
      <c r="C1757">
        <v>1714</v>
      </c>
      <c r="D1757" t="e">
        <f t="shared" ca="1" si="54"/>
        <v>#NAME?</v>
      </c>
      <c r="E1757" s="115" t="e">
        <f t="array" aca="1" ref="E1757" ca="1">IF(OR(C1756=0,AND(B1758=0,C1758=0)),"",IFERROR(INDEX($F$27:$F$36,MATCH(C1757,($F$27:$F$36)*($D$27:$D$36&lt;&gt;0),0)),IF(OR(AND(D1757=0,B1757=0,B1758&lt;&gt;0),AND(D1757*D1756&lt;0,B1757&lt;&gt;0)),IF(D1757=0,C1757,C1757*(1-ABS(D1757)/(ABS(D1757)+ABS(D1756)))+C1756*(1-ABS(D1756)/(ABS(D1757)+ABS(D1756)))),"")))</f>
        <v>#NAME?</v>
      </c>
    </row>
    <row r="1758" spans="2:5" x14ac:dyDescent="0.25">
      <c r="B1758" t="e">
        <f t="shared" ca="1" si="55"/>
        <v>#NAME?</v>
      </c>
      <c r="C1758">
        <v>1715</v>
      </c>
      <c r="D1758" t="e">
        <f t="shared" ca="1" si="54"/>
        <v>#NAME?</v>
      </c>
      <c r="E1758" s="115" t="e">
        <f t="array" aca="1" ref="E1758" ca="1">IF(OR(C1757=0,AND(B1759=0,C1759=0)),"",IFERROR(INDEX($F$27:$F$36,MATCH(C1758,($F$27:$F$36)*($D$27:$D$36&lt;&gt;0),0)),IF(OR(AND(D1758=0,B1758=0,B1759&lt;&gt;0),AND(D1758*D1757&lt;0,B1758&lt;&gt;0)),IF(D1758=0,C1758,C1758*(1-ABS(D1758)/(ABS(D1758)+ABS(D1757)))+C1757*(1-ABS(D1757)/(ABS(D1758)+ABS(D1757)))),"")))</f>
        <v>#NAME?</v>
      </c>
    </row>
    <row r="1759" spans="2:5" x14ac:dyDescent="0.25">
      <c r="B1759" t="e">
        <f t="shared" ca="1" si="55"/>
        <v>#NAME?</v>
      </c>
      <c r="C1759">
        <v>1716</v>
      </c>
      <c r="D1759" t="e">
        <f t="shared" ca="1" si="54"/>
        <v>#NAME?</v>
      </c>
      <c r="E1759" s="115" t="e">
        <f t="array" aca="1" ref="E1759" ca="1">IF(OR(C1758=0,AND(B1760=0,C1760=0)),"",IFERROR(INDEX($F$27:$F$36,MATCH(C1759,($F$27:$F$36)*($D$27:$D$36&lt;&gt;0),0)),IF(OR(AND(D1759=0,B1759=0,B1760&lt;&gt;0),AND(D1759*D1758&lt;0,B1759&lt;&gt;0)),IF(D1759=0,C1759,C1759*(1-ABS(D1759)/(ABS(D1759)+ABS(D1758)))+C1758*(1-ABS(D1758)/(ABS(D1759)+ABS(D1758)))),"")))</f>
        <v>#NAME?</v>
      </c>
    </row>
    <row r="1760" spans="2:5" x14ac:dyDescent="0.25">
      <c r="B1760" t="e">
        <f t="shared" ca="1" si="55"/>
        <v>#NAME?</v>
      </c>
      <c r="C1760">
        <v>1717</v>
      </c>
      <c r="D1760" t="e">
        <f t="shared" ca="1" si="54"/>
        <v>#NAME?</v>
      </c>
      <c r="E1760" s="115" t="e">
        <f t="array" aca="1" ref="E1760" ca="1">IF(OR(C1759=0,AND(B1761=0,C1761=0)),"",IFERROR(INDEX($F$27:$F$36,MATCH(C1760,($F$27:$F$36)*($D$27:$D$36&lt;&gt;0),0)),IF(OR(AND(D1760=0,B1760=0,B1761&lt;&gt;0),AND(D1760*D1759&lt;0,B1760&lt;&gt;0)),IF(D1760=0,C1760,C1760*(1-ABS(D1760)/(ABS(D1760)+ABS(D1759)))+C1759*(1-ABS(D1759)/(ABS(D1760)+ABS(D1759)))),"")))</f>
        <v>#NAME?</v>
      </c>
    </row>
    <row r="1761" spans="2:5" x14ac:dyDescent="0.25">
      <c r="B1761" t="e">
        <f t="shared" ca="1" si="55"/>
        <v>#NAME?</v>
      </c>
      <c r="C1761">
        <v>1718</v>
      </c>
      <c r="D1761" t="e">
        <f t="shared" ca="1" si="54"/>
        <v>#NAME?</v>
      </c>
      <c r="E1761" s="115" t="e">
        <f t="array" aca="1" ref="E1761" ca="1">IF(OR(C1760=0,AND(B1762=0,C1762=0)),"",IFERROR(INDEX($F$27:$F$36,MATCH(C1761,($F$27:$F$36)*($D$27:$D$36&lt;&gt;0),0)),IF(OR(AND(D1761=0,B1761=0,B1762&lt;&gt;0),AND(D1761*D1760&lt;0,B1761&lt;&gt;0)),IF(D1761=0,C1761,C1761*(1-ABS(D1761)/(ABS(D1761)+ABS(D1760)))+C1760*(1-ABS(D1760)/(ABS(D1761)+ABS(D1760)))),"")))</f>
        <v>#NAME?</v>
      </c>
    </row>
    <row r="1762" spans="2:5" x14ac:dyDescent="0.25">
      <c r="B1762" t="e">
        <f t="shared" ca="1" si="55"/>
        <v>#NAME?</v>
      </c>
      <c r="C1762">
        <v>1719</v>
      </c>
      <c r="D1762" t="e">
        <f t="shared" ca="1" si="54"/>
        <v>#NAME?</v>
      </c>
      <c r="E1762" s="115" t="e">
        <f t="array" aca="1" ref="E1762" ca="1">IF(OR(C1761=0,AND(B1763=0,C1763=0)),"",IFERROR(INDEX($F$27:$F$36,MATCH(C1762,($F$27:$F$36)*($D$27:$D$36&lt;&gt;0),0)),IF(OR(AND(D1762=0,B1762=0,B1763&lt;&gt;0),AND(D1762*D1761&lt;0,B1762&lt;&gt;0)),IF(D1762=0,C1762,C1762*(1-ABS(D1762)/(ABS(D1762)+ABS(D1761)))+C1761*(1-ABS(D1761)/(ABS(D1762)+ABS(D1761)))),"")))</f>
        <v>#NAME?</v>
      </c>
    </row>
    <row r="1763" spans="2:5" x14ac:dyDescent="0.25">
      <c r="B1763" t="e">
        <f t="shared" ca="1" si="55"/>
        <v>#NAME?</v>
      </c>
      <c r="C1763">
        <v>1720</v>
      </c>
      <c r="D1763" t="e">
        <f t="shared" ca="1" si="54"/>
        <v>#NAME?</v>
      </c>
      <c r="E1763" s="115" t="e">
        <f t="array" aca="1" ref="E1763" ca="1">IF(OR(C1762=0,AND(B1764=0,C1764=0)),"",IFERROR(INDEX($F$27:$F$36,MATCH(C1763,($F$27:$F$36)*($D$27:$D$36&lt;&gt;0),0)),IF(OR(AND(D1763=0,B1763=0,B1764&lt;&gt;0),AND(D1763*D1762&lt;0,B1763&lt;&gt;0)),IF(D1763=0,C1763,C1763*(1-ABS(D1763)/(ABS(D1763)+ABS(D1762)))+C1762*(1-ABS(D1762)/(ABS(D1763)+ABS(D1762)))),"")))</f>
        <v>#NAME?</v>
      </c>
    </row>
    <row r="1764" spans="2:5" x14ac:dyDescent="0.25">
      <c r="B1764" t="e">
        <f t="shared" ca="1" si="55"/>
        <v>#NAME?</v>
      </c>
      <c r="C1764">
        <v>1721</v>
      </c>
      <c r="D1764" t="e">
        <f t="shared" ca="1" si="54"/>
        <v>#NAME?</v>
      </c>
      <c r="E1764" s="115" t="e">
        <f t="array" aca="1" ref="E1764" ca="1">IF(OR(C1763=0,AND(B1765=0,C1765=0)),"",IFERROR(INDEX($F$27:$F$36,MATCH(C1764,($F$27:$F$36)*($D$27:$D$36&lt;&gt;0),0)),IF(OR(AND(D1764=0,B1764=0,B1765&lt;&gt;0),AND(D1764*D1763&lt;0,B1764&lt;&gt;0)),IF(D1764=0,C1764,C1764*(1-ABS(D1764)/(ABS(D1764)+ABS(D1763)))+C1763*(1-ABS(D1763)/(ABS(D1764)+ABS(D1763)))),"")))</f>
        <v>#NAME?</v>
      </c>
    </row>
    <row r="1765" spans="2:5" x14ac:dyDescent="0.25">
      <c r="B1765" t="e">
        <f t="shared" ca="1" si="55"/>
        <v>#NAME?</v>
      </c>
      <c r="C1765">
        <v>1722</v>
      </c>
      <c r="D1765" t="e">
        <f t="shared" ca="1" si="54"/>
        <v>#NAME?</v>
      </c>
      <c r="E1765" s="115" t="e">
        <f t="array" aca="1" ref="E1765" ca="1">IF(OR(C1764=0,AND(B1766=0,C1766=0)),"",IFERROR(INDEX($F$27:$F$36,MATCH(C1765,($F$27:$F$36)*($D$27:$D$36&lt;&gt;0),0)),IF(OR(AND(D1765=0,B1765=0,B1766&lt;&gt;0),AND(D1765*D1764&lt;0,B1765&lt;&gt;0)),IF(D1765=0,C1765,C1765*(1-ABS(D1765)/(ABS(D1765)+ABS(D1764)))+C1764*(1-ABS(D1764)/(ABS(D1765)+ABS(D1764)))),"")))</f>
        <v>#NAME?</v>
      </c>
    </row>
    <row r="1766" spans="2:5" x14ac:dyDescent="0.25">
      <c r="B1766" t="e">
        <f t="shared" ca="1" si="55"/>
        <v>#NAME?</v>
      </c>
      <c r="C1766">
        <v>1723</v>
      </c>
      <c r="D1766" t="e">
        <f t="shared" ca="1" si="54"/>
        <v>#NAME?</v>
      </c>
      <c r="E1766" s="115" t="e">
        <f t="array" aca="1" ref="E1766" ca="1">IF(OR(C1765=0,AND(B1767=0,C1767=0)),"",IFERROR(INDEX($F$27:$F$36,MATCH(C1766,($F$27:$F$36)*($D$27:$D$36&lt;&gt;0),0)),IF(OR(AND(D1766=0,B1766=0,B1767&lt;&gt;0),AND(D1766*D1765&lt;0,B1766&lt;&gt;0)),IF(D1766=0,C1766,C1766*(1-ABS(D1766)/(ABS(D1766)+ABS(D1765)))+C1765*(1-ABS(D1765)/(ABS(D1766)+ABS(D1765)))),"")))</f>
        <v>#NAME?</v>
      </c>
    </row>
    <row r="1767" spans="2:5" x14ac:dyDescent="0.25">
      <c r="B1767" t="e">
        <f t="shared" ca="1" si="55"/>
        <v>#NAME?</v>
      </c>
      <c r="C1767">
        <v>1724</v>
      </c>
      <c r="D1767" t="e">
        <f t="shared" ca="1" si="54"/>
        <v>#NAME?</v>
      </c>
      <c r="E1767" s="115" t="e">
        <f t="array" aca="1" ref="E1767" ca="1">IF(OR(C1766=0,AND(B1768=0,C1768=0)),"",IFERROR(INDEX($F$27:$F$36,MATCH(C1767,($F$27:$F$36)*($D$27:$D$36&lt;&gt;0),0)),IF(OR(AND(D1767=0,B1767=0,B1768&lt;&gt;0),AND(D1767*D1766&lt;0,B1767&lt;&gt;0)),IF(D1767=0,C1767,C1767*(1-ABS(D1767)/(ABS(D1767)+ABS(D1766)))+C1766*(1-ABS(D1766)/(ABS(D1767)+ABS(D1766)))),"")))</f>
        <v>#NAME?</v>
      </c>
    </row>
    <row r="1768" spans="2:5" x14ac:dyDescent="0.25">
      <c r="B1768" t="e">
        <f t="shared" ca="1" si="55"/>
        <v>#NAME?</v>
      </c>
      <c r="C1768">
        <v>1725</v>
      </c>
      <c r="D1768" t="e">
        <f t="shared" ca="1" si="54"/>
        <v>#NAME?</v>
      </c>
      <c r="E1768" s="115" t="e">
        <f t="array" aca="1" ref="E1768" ca="1">IF(OR(C1767=0,AND(B1769=0,C1769=0)),"",IFERROR(INDEX($F$27:$F$36,MATCH(C1768,($F$27:$F$36)*($D$27:$D$36&lt;&gt;0),0)),IF(OR(AND(D1768=0,B1768=0,B1769&lt;&gt;0),AND(D1768*D1767&lt;0,B1768&lt;&gt;0)),IF(D1768=0,C1768,C1768*(1-ABS(D1768)/(ABS(D1768)+ABS(D1767)))+C1767*(1-ABS(D1767)/(ABS(D1768)+ABS(D1767)))),"")))</f>
        <v>#NAME?</v>
      </c>
    </row>
    <row r="1769" spans="2:5" x14ac:dyDescent="0.25">
      <c r="B1769" t="e">
        <f t="shared" ca="1" si="55"/>
        <v>#NAME?</v>
      </c>
      <c r="C1769">
        <v>1726</v>
      </c>
      <c r="D1769" t="e">
        <f t="shared" ca="1" si="54"/>
        <v>#NAME?</v>
      </c>
      <c r="E1769" s="115" t="e">
        <f t="array" aca="1" ref="E1769" ca="1">IF(OR(C1768=0,AND(B1770=0,C1770=0)),"",IFERROR(INDEX($F$27:$F$36,MATCH(C1769,($F$27:$F$36)*($D$27:$D$36&lt;&gt;0),0)),IF(OR(AND(D1769=0,B1769=0,B1770&lt;&gt;0),AND(D1769*D1768&lt;0,B1769&lt;&gt;0)),IF(D1769=0,C1769,C1769*(1-ABS(D1769)/(ABS(D1769)+ABS(D1768)))+C1768*(1-ABS(D1768)/(ABS(D1769)+ABS(D1768)))),"")))</f>
        <v>#NAME?</v>
      </c>
    </row>
    <row r="1770" spans="2:5" x14ac:dyDescent="0.25">
      <c r="B1770" t="e">
        <f t="shared" ca="1" si="55"/>
        <v>#NAME?</v>
      </c>
      <c r="C1770">
        <v>1727</v>
      </c>
      <c r="D1770" t="e">
        <f t="shared" ca="1" si="54"/>
        <v>#NAME?</v>
      </c>
      <c r="E1770" s="115" t="e">
        <f t="array" aca="1" ref="E1770" ca="1">IF(OR(C1769=0,AND(B1771=0,C1771=0)),"",IFERROR(INDEX($F$27:$F$36,MATCH(C1770,($F$27:$F$36)*($D$27:$D$36&lt;&gt;0),0)),IF(OR(AND(D1770=0,B1770=0,B1771&lt;&gt;0),AND(D1770*D1769&lt;0,B1770&lt;&gt;0)),IF(D1770=0,C1770,C1770*(1-ABS(D1770)/(ABS(D1770)+ABS(D1769)))+C1769*(1-ABS(D1769)/(ABS(D1770)+ABS(D1769)))),"")))</f>
        <v>#NAME?</v>
      </c>
    </row>
    <row r="1771" spans="2:5" x14ac:dyDescent="0.25">
      <c r="B1771" t="e">
        <f t="shared" ca="1" si="55"/>
        <v>#NAME?</v>
      </c>
      <c r="C1771">
        <v>1728</v>
      </c>
      <c r="D1771" t="e">
        <f t="shared" ref="D1771:D1834" ca="1" si="56">SUMPRODUCT(--($J$27:$J$37&gt;0),--($C1771-$F$27:$F$37&gt;0),($D$27:$D$37),($C1771-$F$27:$F$37))+SUMPRODUCT(--($J$27:$J$37&lt;0),--($F$27:$F$37-$C1771&gt;0),($D$27:$D$37),($F$27:$F$37-$C1771))-SUMPRODUCT($D$27:$D$37,$E$27:$E$37)</f>
        <v>#NAME?</v>
      </c>
      <c r="E1771" s="115" t="e">
        <f t="array" aca="1" ref="E1771" ca="1">IF(OR(C1770=0,AND(B1772=0,C1772=0)),"",IFERROR(INDEX($F$27:$F$36,MATCH(C1771,($F$27:$F$36)*($D$27:$D$36&lt;&gt;0),0)),IF(OR(AND(D1771=0,B1771=0,B1772&lt;&gt;0),AND(D1771*D1770&lt;0,B1771&lt;&gt;0)),IF(D1771=0,C1771,C1771*(1-ABS(D1771)/(ABS(D1771)+ABS(D1770)))+C1770*(1-ABS(D1770)/(ABS(D1771)+ABS(D1770)))),"")))</f>
        <v>#NAME?</v>
      </c>
    </row>
    <row r="1772" spans="2:5" x14ac:dyDescent="0.25">
      <c r="B1772" t="e">
        <f t="shared" ref="B1772:B1835" ca="1" si="57">ROUND((D1772-D1771)/(C1772-C1771),12)</f>
        <v>#NAME?</v>
      </c>
      <c r="C1772">
        <v>1729</v>
      </c>
      <c r="D1772" t="e">
        <f t="shared" ca="1" si="56"/>
        <v>#NAME?</v>
      </c>
      <c r="E1772" s="115" t="e">
        <f t="array" aca="1" ref="E1772" ca="1">IF(OR(C1771=0,AND(B1773=0,C1773=0)),"",IFERROR(INDEX($F$27:$F$36,MATCH(C1772,($F$27:$F$36)*($D$27:$D$36&lt;&gt;0),0)),IF(OR(AND(D1772=0,B1772=0,B1773&lt;&gt;0),AND(D1772*D1771&lt;0,B1772&lt;&gt;0)),IF(D1772=0,C1772,C1772*(1-ABS(D1772)/(ABS(D1772)+ABS(D1771)))+C1771*(1-ABS(D1771)/(ABS(D1772)+ABS(D1771)))),"")))</f>
        <v>#NAME?</v>
      </c>
    </row>
    <row r="1773" spans="2:5" x14ac:dyDescent="0.25">
      <c r="B1773" t="e">
        <f t="shared" ca="1" si="57"/>
        <v>#NAME?</v>
      </c>
      <c r="C1773">
        <v>1730</v>
      </c>
      <c r="D1773" t="e">
        <f t="shared" ca="1" si="56"/>
        <v>#NAME?</v>
      </c>
      <c r="E1773" s="115" t="e">
        <f t="array" aca="1" ref="E1773" ca="1">IF(OR(C1772=0,AND(B1774=0,C1774=0)),"",IFERROR(INDEX($F$27:$F$36,MATCH(C1773,($F$27:$F$36)*($D$27:$D$36&lt;&gt;0),0)),IF(OR(AND(D1773=0,B1773=0,B1774&lt;&gt;0),AND(D1773*D1772&lt;0,B1773&lt;&gt;0)),IF(D1773=0,C1773,C1773*(1-ABS(D1773)/(ABS(D1773)+ABS(D1772)))+C1772*(1-ABS(D1772)/(ABS(D1773)+ABS(D1772)))),"")))</f>
        <v>#NAME?</v>
      </c>
    </row>
    <row r="1774" spans="2:5" x14ac:dyDescent="0.25">
      <c r="B1774" t="e">
        <f t="shared" ca="1" si="57"/>
        <v>#NAME?</v>
      </c>
      <c r="C1774">
        <v>1731</v>
      </c>
      <c r="D1774" t="e">
        <f t="shared" ca="1" si="56"/>
        <v>#NAME?</v>
      </c>
      <c r="E1774" s="115" t="e">
        <f t="array" aca="1" ref="E1774" ca="1">IF(OR(C1773=0,AND(B1775=0,C1775=0)),"",IFERROR(INDEX($F$27:$F$36,MATCH(C1774,($F$27:$F$36)*($D$27:$D$36&lt;&gt;0),0)),IF(OR(AND(D1774=0,B1774=0,B1775&lt;&gt;0),AND(D1774*D1773&lt;0,B1774&lt;&gt;0)),IF(D1774=0,C1774,C1774*(1-ABS(D1774)/(ABS(D1774)+ABS(D1773)))+C1773*(1-ABS(D1773)/(ABS(D1774)+ABS(D1773)))),"")))</f>
        <v>#NAME?</v>
      </c>
    </row>
    <row r="1775" spans="2:5" x14ac:dyDescent="0.25">
      <c r="B1775" t="e">
        <f t="shared" ca="1" si="57"/>
        <v>#NAME?</v>
      </c>
      <c r="C1775">
        <v>1732</v>
      </c>
      <c r="D1775" t="e">
        <f t="shared" ca="1" si="56"/>
        <v>#NAME?</v>
      </c>
      <c r="E1775" s="115" t="e">
        <f t="array" aca="1" ref="E1775" ca="1">IF(OR(C1774=0,AND(B1776=0,C1776=0)),"",IFERROR(INDEX($F$27:$F$36,MATCH(C1775,($F$27:$F$36)*($D$27:$D$36&lt;&gt;0),0)),IF(OR(AND(D1775=0,B1775=0,B1776&lt;&gt;0),AND(D1775*D1774&lt;0,B1775&lt;&gt;0)),IF(D1775=0,C1775,C1775*(1-ABS(D1775)/(ABS(D1775)+ABS(D1774)))+C1774*(1-ABS(D1774)/(ABS(D1775)+ABS(D1774)))),"")))</f>
        <v>#NAME?</v>
      </c>
    </row>
    <row r="1776" spans="2:5" x14ac:dyDescent="0.25">
      <c r="B1776" t="e">
        <f t="shared" ca="1" si="57"/>
        <v>#NAME?</v>
      </c>
      <c r="C1776">
        <v>1733</v>
      </c>
      <c r="D1776" t="e">
        <f t="shared" ca="1" si="56"/>
        <v>#NAME?</v>
      </c>
      <c r="E1776" s="115" t="e">
        <f t="array" aca="1" ref="E1776" ca="1">IF(OR(C1775=0,AND(B1777=0,C1777=0)),"",IFERROR(INDEX($F$27:$F$36,MATCH(C1776,($F$27:$F$36)*($D$27:$D$36&lt;&gt;0),0)),IF(OR(AND(D1776=0,B1776=0,B1777&lt;&gt;0),AND(D1776*D1775&lt;0,B1776&lt;&gt;0)),IF(D1776=0,C1776,C1776*(1-ABS(D1776)/(ABS(D1776)+ABS(D1775)))+C1775*(1-ABS(D1775)/(ABS(D1776)+ABS(D1775)))),"")))</f>
        <v>#NAME?</v>
      </c>
    </row>
    <row r="1777" spans="2:5" x14ac:dyDescent="0.25">
      <c r="B1777" t="e">
        <f t="shared" ca="1" si="57"/>
        <v>#NAME?</v>
      </c>
      <c r="C1777">
        <v>1734</v>
      </c>
      <c r="D1777" t="e">
        <f t="shared" ca="1" si="56"/>
        <v>#NAME?</v>
      </c>
      <c r="E1777" s="115" t="e">
        <f t="array" aca="1" ref="E1777" ca="1">IF(OR(C1776=0,AND(B1778=0,C1778=0)),"",IFERROR(INDEX($F$27:$F$36,MATCH(C1777,($F$27:$F$36)*($D$27:$D$36&lt;&gt;0),0)),IF(OR(AND(D1777=0,B1777=0,B1778&lt;&gt;0),AND(D1777*D1776&lt;0,B1777&lt;&gt;0)),IF(D1777=0,C1777,C1777*(1-ABS(D1777)/(ABS(D1777)+ABS(D1776)))+C1776*(1-ABS(D1776)/(ABS(D1777)+ABS(D1776)))),"")))</f>
        <v>#NAME?</v>
      </c>
    </row>
    <row r="1778" spans="2:5" x14ac:dyDescent="0.25">
      <c r="B1778" t="e">
        <f t="shared" ca="1" si="57"/>
        <v>#NAME?</v>
      </c>
      <c r="C1778">
        <v>1735</v>
      </c>
      <c r="D1778" t="e">
        <f t="shared" ca="1" si="56"/>
        <v>#NAME?</v>
      </c>
      <c r="E1778" s="115" t="e">
        <f t="array" aca="1" ref="E1778" ca="1">IF(OR(C1777=0,AND(B1779=0,C1779=0)),"",IFERROR(INDEX($F$27:$F$36,MATCH(C1778,($F$27:$F$36)*($D$27:$D$36&lt;&gt;0),0)),IF(OR(AND(D1778=0,B1778=0,B1779&lt;&gt;0),AND(D1778*D1777&lt;0,B1778&lt;&gt;0)),IF(D1778=0,C1778,C1778*(1-ABS(D1778)/(ABS(D1778)+ABS(D1777)))+C1777*(1-ABS(D1777)/(ABS(D1778)+ABS(D1777)))),"")))</f>
        <v>#NAME?</v>
      </c>
    </row>
    <row r="1779" spans="2:5" x14ac:dyDescent="0.25">
      <c r="B1779" t="e">
        <f t="shared" ca="1" si="57"/>
        <v>#NAME?</v>
      </c>
      <c r="C1779">
        <v>1736</v>
      </c>
      <c r="D1779" t="e">
        <f t="shared" ca="1" si="56"/>
        <v>#NAME?</v>
      </c>
      <c r="E1779" s="115" t="e">
        <f t="array" aca="1" ref="E1779" ca="1">IF(OR(C1778=0,AND(B1780=0,C1780=0)),"",IFERROR(INDEX($F$27:$F$36,MATCH(C1779,($F$27:$F$36)*($D$27:$D$36&lt;&gt;0),0)),IF(OR(AND(D1779=0,B1779=0,B1780&lt;&gt;0),AND(D1779*D1778&lt;0,B1779&lt;&gt;0)),IF(D1779=0,C1779,C1779*(1-ABS(D1779)/(ABS(D1779)+ABS(D1778)))+C1778*(1-ABS(D1778)/(ABS(D1779)+ABS(D1778)))),"")))</f>
        <v>#NAME?</v>
      </c>
    </row>
    <row r="1780" spans="2:5" x14ac:dyDescent="0.25">
      <c r="B1780" t="e">
        <f t="shared" ca="1" si="57"/>
        <v>#NAME?</v>
      </c>
      <c r="C1780">
        <v>1737</v>
      </c>
      <c r="D1780" t="e">
        <f t="shared" ca="1" si="56"/>
        <v>#NAME?</v>
      </c>
      <c r="E1780" s="115" t="e">
        <f t="array" aca="1" ref="E1780" ca="1">IF(OR(C1779=0,AND(B1781=0,C1781=0)),"",IFERROR(INDEX($F$27:$F$36,MATCH(C1780,($F$27:$F$36)*($D$27:$D$36&lt;&gt;0),0)),IF(OR(AND(D1780=0,B1780=0,B1781&lt;&gt;0),AND(D1780*D1779&lt;0,B1780&lt;&gt;0)),IF(D1780=0,C1780,C1780*(1-ABS(D1780)/(ABS(D1780)+ABS(D1779)))+C1779*(1-ABS(D1779)/(ABS(D1780)+ABS(D1779)))),"")))</f>
        <v>#NAME?</v>
      </c>
    </row>
    <row r="1781" spans="2:5" x14ac:dyDescent="0.25">
      <c r="B1781" t="e">
        <f t="shared" ca="1" si="57"/>
        <v>#NAME?</v>
      </c>
      <c r="C1781">
        <v>1738</v>
      </c>
      <c r="D1781" t="e">
        <f t="shared" ca="1" si="56"/>
        <v>#NAME?</v>
      </c>
      <c r="E1781" s="115" t="e">
        <f t="array" aca="1" ref="E1781" ca="1">IF(OR(C1780=0,AND(B1782=0,C1782=0)),"",IFERROR(INDEX($F$27:$F$36,MATCH(C1781,($F$27:$F$36)*($D$27:$D$36&lt;&gt;0),0)),IF(OR(AND(D1781=0,B1781=0,B1782&lt;&gt;0),AND(D1781*D1780&lt;0,B1781&lt;&gt;0)),IF(D1781=0,C1781,C1781*(1-ABS(D1781)/(ABS(D1781)+ABS(D1780)))+C1780*(1-ABS(D1780)/(ABS(D1781)+ABS(D1780)))),"")))</f>
        <v>#NAME?</v>
      </c>
    </row>
    <row r="1782" spans="2:5" x14ac:dyDescent="0.25">
      <c r="B1782" t="e">
        <f t="shared" ca="1" si="57"/>
        <v>#NAME?</v>
      </c>
      <c r="C1782">
        <v>1739</v>
      </c>
      <c r="D1782" t="e">
        <f t="shared" ca="1" si="56"/>
        <v>#NAME?</v>
      </c>
      <c r="E1782" s="115" t="e">
        <f t="array" aca="1" ref="E1782" ca="1">IF(OR(C1781=0,AND(B1783=0,C1783=0)),"",IFERROR(INDEX($F$27:$F$36,MATCH(C1782,($F$27:$F$36)*($D$27:$D$36&lt;&gt;0),0)),IF(OR(AND(D1782=0,B1782=0,B1783&lt;&gt;0),AND(D1782*D1781&lt;0,B1782&lt;&gt;0)),IF(D1782=0,C1782,C1782*(1-ABS(D1782)/(ABS(D1782)+ABS(D1781)))+C1781*(1-ABS(D1781)/(ABS(D1782)+ABS(D1781)))),"")))</f>
        <v>#NAME?</v>
      </c>
    </row>
    <row r="1783" spans="2:5" x14ac:dyDescent="0.25">
      <c r="B1783" t="e">
        <f t="shared" ca="1" si="57"/>
        <v>#NAME?</v>
      </c>
      <c r="C1783">
        <v>1740</v>
      </c>
      <c r="D1783" t="e">
        <f t="shared" ca="1" si="56"/>
        <v>#NAME?</v>
      </c>
      <c r="E1783" s="115" t="e">
        <f t="array" aca="1" ref="E1783" ca="1">IF(OR(C1782=0,AND(B1784=0,C1784=0)),"",IFERROR(INDEX($F$27:$F$36,MATCH(C1783,($F$27:$F$36)*($D$27:$D$36&lt;&gt;0),0)),IF(OR(AND(D1783=0,B1783=0,B1784&lt;&gt;0),AND(D1783*D1782&lt;0,B1783&lt;&gt;0)),IF(D1783=0,C1783,C1783*(1-ABS(D1783)/(ABS(D1783)+ABS(D1782)))+C1782*(1-ABS(D1782)/(ABS(D1783)+ABS(D1782)))),"")))</f>
        <v>#NAME?</v>
      </c>
    </row>
    <row r="1784" spans="2:5" x14ac:dyDescent="0.25">
      <c r="B1784" t="e">
        <f t="shared" ca="1" si="57"/>
        <v>#NAME?</v>
      </c>
      <c r="C1784">
        <v>1741</v>
      </c>
      <c r="D1784" t="e">
        <f t="shared" ca="1" si="56"/>
        <v>#NAME?</v>
      </c>
      <c r="E1784" s="115" t="e">
        <f t="array" aca="1" ref="E1784" ca="1">IF(OR(C1783=0,AND(B1785=0,C1785=0)),"",IFERROR(INDEX($F$27:$F$36,MATCH(C1784,($F$27:$F$36)*($D$27:$D$36&lt;&gt;0),0)),IF(OR(AND(D1784=0,B1784=0,B1785&lt;&gt;0),AND(D1784*D1783&lt;0,B1784&lt;&gt;0)),IF(D1784=0,C1784,C1784*(1-ABS(D1784)/(ABS(D1784)+ABS(D1783)))+C1783*(1-ABS(D1783)/(ABS(D1784)+ABS(D1783)))),"")))</f>
        <v>#NAME?</v>
      </c>
    </row>
    <row r="1785" spans="2:5" x14ac:dyDescent="0.25">
      <c r="B1785" t="e">
        <f t="shared" ca="1" si="57"/>
        <v>#NAME?</v>
      </c>
      <c r="C1785">
        <v>1742</v>
      </c>
      <c r="D1785" t="e">
        <f t="shared" ca="1" si="56"/>
        <v>#NAME?</v>
      </c>
      <c r="E1785" s="115" t="e">
        <f t="array" aca="1" ref="E1785" ca="1">IF(OR(C1784=0,AND(B1786=0,C1786=0)),"",IFERROR(INDEX($F$27:$F$36,MATCH(C1785,($F$27:$F$36)*($D$27:$D$36&lt;&gt;0),0)),IF(OR(AND(D1785=0,B1785=0,B1786&lt;&gt;0),AND(D1785*D1784&lt;0,B1785&lt;&gt;0)),IF(D1785=0,C1785,C1785*(1-ABS(D1785)/(ABS(D1785)+ABS(D1784)))+C1784*(1-ABS(D1784)/(ABS(D1785)+ABS(D1784)))),"")))</f>
        <v>#NAME?</v>
      </c>
    </row>
    <row r="1786" spans="2:5" x14ac:dyDescent="0.25">
      <c r="B1786" t="e">
        <f t="shared" ca="1" si="57"/>
        <v>#NAME?</v>
      </c>
      <c r="C1786">
        <v>1743</v>
      </c>
      <c r="D1786" t="e">
        <f t="shared" ca="1" si="56"/>
        <v>#NAME?</v>
      </c>
      <c r="E1786" s="115" t="e">
        <f t="array" aca="1" ref="E1786" ca="1">IF(OR(C1785=0,AND(B1787=0,C1787=0)),"",IFERROR(INDEX($F$27:$F$36,MATCH(C1786,($F$27:$F$36)*($D$27:$D$36&lt;&gt;0),0)),IF(OR(AND(D1786=0,B1786=0,B1787&lt;&gt;0),AND(D1786*D1785&lt;0,B1786&lt;&gt;0)),IF(D1786=0,C1786,C1786*(1-ABS(D1786)/(ABS(D1786)+ABS(D1785)))+C1785*(1-ABS(D1785)/(ABS(D1786)+ABS(D1785)))),"")))</f>
        <v>#NAME?</v>
      </c>
    </row>
    <row r="1787" spans="2:5" x14ac:dyDescent="0.25">
      <c r="B1787" t="e">
        <f t="shared" ca="1" si="57"/>
        <v>#NAME?</v>
      </c>
      <c r="C1787">
        <v>1744</v>
      </c>
      <c r="D1787" t="e">
        <f t="shared" ca="1" si="56"/>
        <v>#NAME?</v>
      </c>
      <c r="E1787" s="115" t="e">
        <f t="array" aca="1" ref="E1787" ca="1">IF(OR(C1786=0,AND(B1788=0,C1788=0)),"",IFERROR(INDEX($F$27:$F$36,MATCH(C1787,($F$27:$F$36)*($D$27:$D$36&lt;&gt;0),0)),IF(OR(AND(D1787=0,B1787=0,B1788&lt;&gt;0),AND(D1787*D1786&lt;0,B1787&lt;&gt;0)),IF(D1787=0,C1787,C1787*(1-ABS(D1787)/(ABS(D1787)+ABS(D1786)))+C1786*(1-ABS(D1786)/(ABS(D1787)+ABS(D1786)))),"")))</f>
        <v>#NAME?</v>
      </c>
    </row>
    <row r="1788" spans="2:5" x14ac:dyDescent="0.25">
      <c r="B1788" t="e">
        <f t="shared" ca="1" si="57"/>
        <v>#NAME?</v>
      </c>
      <c r="C1788">
        <v>1745</v>
      </c>
      <c r="D1788" t="e">
        <f t="shared" ca="1" si="56"/>
        <v>#NAME?</v>
      </c>
      <c r="E1788" s="115" t="e">
        <f t="array" aca="1" ref="E1788" ca="1">IF(OR(C1787=0,AND(B1789=0,C1789=0)),"",IFERROR(INDEX($F$27:$F$36,MATCH(C1788,($F$27:$F$36)*($D$27:$D$36&lt;&gt;0),0)),IF(OR(AND(D1788=0,B1788=0,B1789&lt;&gt;0),AND(D1788*D1787&lt;0,B1788&lt;&gt;0)),IF(D1788=0,C1788,C1788*(1-ABS(D1788)/(ABS(D1788)+ABS(D1787)))+C1787*(1-ABS(D1787)/(ABS(D1788)+ABS(D1787)))),"")))</f>
        <v>#NAME?</v>
      </c>
    </row>
    <row r="1789" spans="2:5" x14ac:dyDescent="0.25">
      <c r="B1789" t="e">
        <f t="shared" ca="1" si="57"/>
        <v>#NAME?</v>
      </c>
      <c r="C1789">
        <v>1746</v>
      </c>
      <c r="D1789" t="e">
        <f t="shared" ca="1" si="56"/>
        <v>#NAME?</v>
      </c>
      <c r="E1789" s="115" t="e">
        <f t="array" aca="1" ref="E1789" ca="1">IF(OR(C1788=0,AND(B1790=0,C1790=0)),"",IFERROR(INDEX($F$27:$F$36,MATCH(C1789,($F$27:$F$36)*($D$27:$D$36&lt;&gt;0),0)),IF(OR(AND(D1789=0,B1789=0,B1790&lt;&gt;0),AND(D1789*D1788&lt;0,B1789&lt;&gt;0)),IF(D1789=0,C1789,C1789*(1-ABS(D1789)/(ABS(D1789)+ABS(D1788)))+C1788*(1-ABS(D1788)/(ABS(D1789)+ABS(D1788)))),"")))</f>
        <v>#NAME?</v>
      </c>
    </row>
    <row r="1790" spans="2:5" x14ac:dyDescent="0.25">
      <c r="B1790" t="e">
        <f t="shared" ca="1" si="57"/>
        <v>#NAME?</v>
      </c>
      <c r="C1790">
        <v>1747</v>
      </c>
      <c r="D1790" t="e">
        <f t="shared" ca="1" si="56"/>
        <v>#NAME?</v>
      </c>
      <c r="E1790" s="115" t="e">
        <f t="array" aca="1" ref="E1790" ca="1">IF(OR(C1789=0,AND(B1791=0,C1791=0)),"",IFERROR(INDEX($F$27:$F$36,MATCH(C1790,($F$27:$F$36)*($D$27:$D$36&lt;&gt;0),0)),IF(OR(AND(D1790=0,B1790=0,B1791&lt;&gt;0),AND(D1790*D1789&lt;0,B1790&lt;&gt;0)),IF(D1790=0,C1790,C1790*(1-ABS(D1790)/(ABS(D1790)+ABS(D1789)))+C1789*(1-ABS(D1789)/(ABS(D1790)+ABS(D1789)))),"")))</f>
        <v>#NAME?</v>
      </c>
    </row>
    <row r="1791" spans="2:5" x14ac:dyDescent="0.25">
      <c r="B1791" t="e">
        <f t="shared" ca="1" si="57"/>
        <v>#NAME?</v>
      </c>
      <c r="C1791">
        <v>1748</v>
      </c>
      <c r="D1791" t="e">
        <f t="shared" ca="1" si="56"/>
        <v>#NAME?</v>
      </c>
      <c r="E1791" s="115" t="e">
        <f t="array" aca="1" ref="E1791" ca="1">IF(OR(C1790=0,AND(B1792=0,C1792=0)),"",IFERROR(INDEX($F$27:$F$36,MATCH(C1791,($F$27:$F$36)*($D$27:$D$36&lt;&gt;0),0)),IF(OR(AND(D1791=0,B1791=0,B1792&lt;&gt;0),AND(D1791*D1790&lt;0,B1791&lt;&gt;0)),IF(D1791=0,C1791,C1791*(1-ABS(D1791)/(ABS(D1791)+ABS(D1790)))+C1790*(1-ABS(D1790)/(ABS(D1791)+ABS(D1790)))),"")))</f>
        <v>#NAME?</v>
      </c>
    </row>
    <row r="1792" spans="2:5" x14ac:dyDescent="0.25">
      <c r="B1792" t="e">
        <f t="shared" ca="1" si="57"/>
        <v>#NAME?</v>
      </c>
      <c r="C1792">
        <v>1749</v>
      </c>
      <c r="D1792" t="e">
        <f t="shared" ca="1" si="56"/>
        <v>#NAME?</v>
      </c>
      <c r="E1792" s="115" t="e">
        <f t="array" aca="1" ref="E1792" ca="1">IF(OR(C1791=0,AND(B1793=0,C1793=0)),"",IFERROR(INDEX($F$27:$F$36,MATCH(C1792,($F$27:$F$36)*($D$27:$D$36&lt;&gt;0),0)),IF(OR(AND(D1792=0,B1792=0,B1793&lt;&gt;0),AND(D1792*D1791&lt;0,B1792&lt;&gt;0)),IF(D1792=0,C1792,C1792*(1-ABS(D1792)/(ABS(D1792)+ABS(D1791)))+C1791*(1-ABS(D1791)/(ABS(D1792)+ABS(D1791)))),"")))</f>
        <v>#NAME?</v>
      </c>
    </row>
    <row r="1793" spans="2:5" x14ac:dyDescent="0.25">
      <c r="B1793" t="e">
        <f t="shared" ca="1" si="57"/>
        <v>#NAME?</v>
      </c>
      <c r="C1793">
        <v>1750</v>
      </c>
      <c r="D1793" t="e">
        <f t="shared" ca="1" si="56"/>
        <v>#NAME?</v>
      </c>
      <c r="E1793" s="115" t="e">
        <f t="array" aca="1" ref="E1793" ca="1">IF(OR(C1792=0,AND(B1794=0,C1794=0)),"",IFERROR(INDEX($F$27:$F$36,MATCH(C1793,($F$27:$F$36)*($D$27:$D$36&lt;&gt;0),0)),IF(OR(AND(D1793=0,B1793=0,B1794&lt;&gt;0),AND(D1793*D1792&lt;0,B1793&lt;&gt;0)),IF(D1793=0,C1793,C1793*(1-ABS(D1793)/(ABS(D1793)+ABS(D1792)))+C1792*(1-ABS(D1792)/(ABS(D1793)+ABS(D1792)))),"")))</f>
        <v>#NAME?</v>
      </c>
    </row>
    <row r="1794" spans="2:5" x14ac:dyDescent="0.25">
      <c r="B1794" t="e">
        <f t="shared" ca="1" si="57"/>
        <v>#NAME?</v>
      </c>
      <c r="C1794">
        <v>1751</v>
      </c>
      <c r="D1794" t="e">
        <f t="shared" ca="1" si="56"/>
        <v>#NAME?</v>
      </c>
      <c r="E1794" s="115" t="e">
        <f t="array" aca="1" ref="E1794" ca="1">IF(OR(C1793=0,AND(B1795=0,C1795=0)),"",IFERROR(INDEX($F$27:$F$36,MATCH(C1794,($F$27:$F$36)*($D$27:$D$36&lt;&gt;0),0)),IF(OR(AND(D1794=0,B1794=0,B1795&lt;&gt;0),AND(D1794*D1793&lt;0,B1794&lt;&gt;0)),IF(D1794=0,C1794,C1794*(1-ABS(D1794)/(ABS(D1794)+ABS(D1793)))+C1793*(1-ABS(D1793)/(ABS(D1794)+ABS(D1793)))),"")))</f>
        <v>#NAME?</v>
      </c>
    </row>
    <row r="1795" spans="2:5" x14ac:dyDescent="0.25">
      <c r="B1795" t="e">
        <f t="shared" ca="1" si="57"/>
        <v>#NAME?</v>
      </c>
      <c r="C1795">
        <v>1752</v>
      </c>
      <c r="D1795" t="e">
        <f t="shared" ca="1" si="56"/>
        <v>#NAME?</v>
      </c>
      <c r="E1795" s="115" t="e">
        <f t="array" aca="1" ref="E1795" ca="1">IF(OR(C1794=0,AND(B1796=0,C1796=0)),"",IFERROR(INDEX($F$27:$F$36,MATCH(C1795,($F$27:$F$36)*($D$27:$D$36&lt;&gt;0),0)),IF(OR(AND(D1795=0,B1795=0,B1796&lt;&gt;0),AND(D1795*D1794&lt;0,B1795&lt;&gt;0)),IF(D1795=0,C1795,C1795*(1-ABS(D1795)/(ABS(D1795)+ABS(D1794)))+C1794*(1-ABS(D1794)/(ABS(D1795)+ABS(D1794)))),"")))</f>
        <v>#NAME?</v>
      </c>
    </row>
    <row r="1796" spans="2:5" x14ac:dyDescent="0.25">
      <c r="B1796" t="e">
        <f t="shared" ca="1" si="57"/>
        <v>#NAME?</v>
      </c>
      <c r="C1796">
        <v>1753</v>
      </c>
      <c r="D1796" t="e">
        <f t="shared" ca="1" si="56"/>
        <v>#NAME?</v>
      </c>
      <c r="E1796" s="115" t="e">
        <f t="array" aca="1" ref="E1796" ca="1">IF(OR(C1795=0,AND(B1797=0,C1797=0)),"",IFERROR(INDEX($F$27:$F$36,MATCH(C1796,($F$27:$F$36)*($D$27:$D$36&lt;&gt;0),0)),IF(OR(AND(D1796=0,B1796=0,B1797&lt;&gt;0),AND(D1796*D1795&lt;0,B1796&lt;&gt;0)),IF(D1796=0,C1796,C1796*(1-ABS(D1796)/(ABS(D1796)+ABS(D1795)))+C1795*(1-ABS(D1795)/(ABS(D1796)+ABS(D1795)))),"")))</f>
        <v>#NAME?</v>
      </c>
    </row>
    <row r="1797" spans="2:5" x14ac:dyDescent="0.25">
      <c r="B1797" t="e">
        <f t="shared" ca="1" si="57"/>
        <v>#NAME?</v>
      </c>
      <c r="C1797">
        <v>1754</v>
      </c>
      <c r="D1797" t="e">
        <f t="shared" ca="1" si="56"/>
        <v>#NAME?</v>
      </c>
      <c r="E1797" s="115" t="e">
        <f t="array" aca="1" ref="E1797" ca="1">IF(OR(C1796=0,AND(B1798=0,C1798=0)),"",IFERROR(INDEX($F$27:$F$36,MATCH(C1797,($F$27:$F$36)*($D$27:$D$36&lt;&gt;0),0)),IF(OR(AND(D1797=0,B1797=0,B1798&lt;&gt;0),AND(D1797*D1796&lt;0,B1797&lt;&gt;0)),IF(D1797=0,C1797,C1797*(1-ABS(D1797)/(ABS(D1797)+ABS(D1796)))+C1796*(1-ABS(D1796)/(ABS(D1797)+ABS(D1796)))),"")))</f>
        <v>#NAME?</v>
      </c>
    </row>
    <row r="1798" spans="2:5" x14ac:dyDescent="0.25">
      <c r="B1798" t="e">
        <f t="shared" ca="1" si="57"/>
        <v>#NAME?</v>
      </c>
      <c r="C1798">
        <v>1755</v>
      </c>
      <c r="D1798" t="e">
        <f t="shared" ca="1" si="56"/>
        <v>#NAME?</v>
      </c>
      <c r="E1798" s="115" t="e">
        <f t="array" aca="1" ref="E1798" ca="1">IF(OR(C1797=0,AND(B1799=0,C1799=0)),"",IFERROR(INDEX($F$27:$F$36,MATCH(C1798,($F$27:$F$36)*($D$27:$D$36&lt;&gt;0),0)),IF(OR(AND(D1798=0,B1798=0,B1799&lt;&gt;0),AND(D1798*D1797&lt;0,B1798&lt;&gt;0)),IF(D1798=0,C1798,C1798*(1-ABS(D1798)/(ABS(D1798)+ABS(D1797)))+C1797*(1-ABS(D1797)/(ABS(D1798)+ABS(D1797)))),"")))</f>
        <v>#NAME?</v>
      </c>
    </row>
    <row r="1799" spans="2:5" x14ac:dyDescent="0.25">
      <c r="B1799" t="e">
        <f t="shared" ca="1" si="57"/>
        <v>#NAME?</v>
      </c>
      <c r="C1799">
        <v>1756</v>
      </c>
      <c r="D1799" t="e">
        <f t="shared" ca="1" si="56"/>
        <v>#NAME?</v>
      </c>
      <c r="E1799" s="115" t="e">
        <f t="array" aca="1" ref="E1799" ca="1">IF(OR(C1798=0,AND(B1800=0,C1800=0)),"",IFERROR(INDEX($F$27:$F$36,MATCH(C1799,($F$27:$F$36)*($D$27:$D$36&lt;&gt;0),0)),IF(OR(AND(D1799=0,B1799=0,B1800&lt;&gt;0),AND(D1799*D1798&lt;0,B1799&lt;&gt;0)),IF(D1799=0,C1799,C1799*(1-ABS(D1799)/(ABS(D1799)+ABS(D1798)))+C1798*(1-ABS(D1798)/(ABS(D1799)+ABS(D1798)))),"")))</f>
        <v>#NAME?</v>
      </c>
    </row>
    <row r="1800" spans="2:5" x14ac:dyDescent="0.25">
      <c r="B1800" t="e">
        <f t="shared" ca="1" si="57"/>
        <v>#NAME?</v>
      </c>
      <c r="C1800">
        <v>1757</v>
      </c>
      <c r="D1800" t="e">
        <f t="shared" ca="1" si="56"/>
        <v>#NAME?</v>
      </c>
      <c r="E1800" s="115" t="e">
        <f t="array" aca="1" ref="E1800" ca="1">IF(OR(C1799=0,AND(B1801=0,C1801=0)),"",IFERROR(INDEX($F$27:$F$36,MATCH(C1800,($F$27:$F$36)*($D$27:$D$36&lt;&gt;0),0)),IF(OR(AND(D1800=0,B1800=0,B1801&lt;&gt;0),AND(D1800*D1799&lt;0,B1800&lt;&gt;0)),IF(D1800=0,C1800,C1800*(1-ABS(D1800)/(ABS(D1800)+ABS(D1799)))+C1799*(1-ABS(D1799)/(ABS(D1800)+ABS(D1799)))),"")))</f>
        <v>#NAME?</v>
      </c>
    </row>
    <row r="1801" spans="2:5" x14ac:dyDescent="0.25">
      <c r="B1801" t="e">
        <f t="shared" ca="1" si="57"/>
        <v>#NAME?</v>
      </c>
      <c r="C1801">
        <v>1758</v>
      </c>
      <c r="D1801" t="e">
        <f t="shared" ca="1" si="56"/>
        <v>#NAME?</v>
      </c>
      <c r="E1801" s="115" t="e">
        <f t="array" aca="1" ref="E1801" ca="1">IF(OR(C1800=0,AND(B1802=0,C1802=0)),"",IFERROR(INDEX($F$27:$F$36,MATCH(C1801,($F$27:$F$36)*($D$27:$D$36&lt;&gt;0),0)),IF(OR(AND(D1801=0,B1801=0,B1802&lt;&gt;0),AND(D1801*D1800&lt;0,B1801&lt;&gt;0)),IF(D1801=0,C1801,C1801*(1-ABS(D1801)/(ABS(D1801)+ABS(D1800)))+C1800*(1-ABS(D1800)/(ABS(D1801)+ABS(D1800)))),"")))</f>
        <v>#NAME?</v>
      </c>
    </row>
    <row r="1802" spans="2:5" x14ac:dyDescent="0.25">
      <c r="B1802" t="e">
        <f t="shared" ca="1" si="57"/>
        <v>#NAME?</v>
      </c>
      <c r="C1802">
        <v>1759</v>
      </c>
      <c r="D1802" t="e">
        <f t="shared" ca="1" si="56"/>
        <v>#NAME?</v>
      </c>
      <c r="E1802" s="115" t="e">
        <f t="array" aca="1" ref="E1802" ca="1">IF(OR(C1801=0,AND(B1803=0,C1803=0)),"",IFERROR(INDEX($F$27:$F$36,MATCH(C1802,($F$27:$F$36)*($D$27:$D$36&lt;&gt;0),0)),IF(OR(AND(D1802=0,B1802=0,B1803&lt;&gt;0),AND(D1802*D1801&lt;0,B1802&lt;&gt;0)),IF(D1802=0,C1802,C1802*(1-ABS(D1802)/(ABS(D1802)+ABS(D1801)))+C1801*(1-ABS(D1801)/(ABS(D1802)+ABS(D1801)))),"")))</f>
        <v>#NAME?</v>
      </c>
    </row>
    <row r="1803" spans="2:5" x14ac:dyDescent="0.25">
      <c r="B1803" t="e">
        <f t="shared" ca="1" si="57"/>
        <v>#NAME?</v>
      </c>
      <c r="C1803">
        <v>1760</v>
      </c>
      <c r="D1803" t="e">
        <f t="shared" ca="1" si="56"/>
        <v>#NAME?</v>
      </c>
      <c r="E1803" s="115" t="e">
        <f t="array" aca="1" ref="E1803" ca="1">IF(OR(C1802=0,AND(B1804=0,C1804=0)),"",IFERROR(INDEX($F$27:$F$36,MATCH(C1803,($F$27:$F$36)*($D$27:$D$36&lt;&gt;0),0)),IF(OR(AND(D1803=0,B1803=0,B1804&lt;&gt;0),AND(D1803*D1802&lt;0,B1803&lt;&gt;0)),IF(D1803=0,C1803,C1803*(1-ABS(D1803)/(ABS(D1803)+ABS(D1802)))+C1802*(1-ABS(D1802)/(ABS(D1803)+ABS(D1802)))),"")))</f>
        <v>#NAME?</v>
      </c>
    </row>
    <row r="1804" spans="2:5" x14ac:dyDescent="0.25">
      <c r="B1804" t="e">
        <f t="shared" ca="1" si="57"/>
        <v>#NAME?</v>
      </c>
      <c r="C1804">
        <v>1761</v>
      </c>
      <c r="D1804" t="e">
        <f t="shared" ca="1" si="56"/>
        <v>#NAME?</v>
      </c>
      <c r="E1804" s="115" t="e">
        <f t="array" aca="1" ref="E1804" ca="1">IF(OR(C1803=0,AND(B1805=0,C1805=0)),"",IFERROR(INDEX($F$27:$F$36,MATCH(C1804,($F$27:$F$36)*($D$27:$D$36&lt;&gt;0),0)),IF(OR(AND(D1804=0,B1804=0,B1805&lt;&gt;0),AND(D1804*D1803&lt;0,B1804&lt;&gt;0)),IF(D1804=0,C1804,C1804*(1-ABS(D1804)/(ABS(D1804)+ABS(D1803)))+C1803*(1-ABS(D1803)/(ABS(D1804)+ABS(D1803)))),"")))</f>
        <v>#NAME?</v>
      </c>
    </row>
    <row r="1805" spans="2:5" x14ac:dyDescent="0.25">
      <c r="B1805" t="e">
        <f t="shared" ca="1" si="57"/>
        <v>#NAME?</v>
      </c>
      <c r="C1805">
        <v>1762</v>
      </c>
      <c r="D1805" t="e">
        <f t="shared" ca="1" si="56"/>
        <v>#NAME?</v>
      </c>
      <c r="E1805" s="115" t="e">
        <f t="array" aca="1" ref="E1805" ca="1">IF(OR(C1804=0,AND(B1806=0,C1806=0)),"",IFERROR(INDEX($F$27:$F$36,MATCH(C1805,($F$27:$F$36)*($D$27:$D$36&lt;&gt;0),0)),IF(OR(AND(D1805=0,B1805=0,B1806&lt;&gt;0),AND(D1805*D1804&lt;0,B1805&lt;&gt;0)),IF(D1805=0,C1805,C1805*(1-ABS(D1805)/(ABS(D1805)+ABS(D1804)))+C1804*(1-ABS(D1804)/(ABS(D1805)+ABS(D1804)))),"")))</f>
        <v>#NAME?</v>
      </c>
    </row>
    <row r="1806" spans="2:5" x14ac:dyDescent="0.25">
      <c r="B1806" t="e">
        <f t="shared" ca="1" si="57"/>
        <v>#NAME?</v>
      </c>
      <c r="C1806">
        <v>1763</v>
      </c>
      <c r="D1806" t="e">
        <f t="shared" ca="1" si="56"/>
        <v>#NAME?</v>
      </c>
      <c r="E1806" s="115" t="e">
        <f t="array" aca="1" ref="E1806" ca="1">IF(OR(C1805=0,AND(B1807=0,C1807=0)),"",IFERROR(INDEX($F$27:$F$36,MATCH(C1806,($F$27:$F$36)*($D$27:$D$36&lt;&gt;0),0)),IF(OR(AND(D1806=0,B1806=0,B1807&lt;&gt;0),AND(D1806*D1805&lt;0,B1806&lt;&gt;0)),IF(D1806=0,C1806,C1806*(1-ABS(D1806)/(ABS(D1806)+ABS(D1805)))+C1805*(1-ABS(D1805)/(ABS(D1806)+ABS(D1805)))),"")))</f>
        <v>#NAME?</v>
      </c>
    </row>
    <row r="1807" spans="2:5" x14ac:dyDescent="0.25">
      <c r="B1807" t="e">
        <f t="shared" ca="1" si="57"/>
        <v>#NAME?</v>
      </c>
      <c r="C1807">
        <v>1764</v>
      </c>
      <c r="D1807" t="e">
        <f t="shared" ca="1" si="56"/>
        <v>#NAME?</v>
      </c>
      <c r="E1807" s="115" t="e">
        <f t="array" aca="1" ref="E1807" ca="1">IF(OR(C1806=0,AND(B1808=0,C1808=0)),"",IFERROR(INDEX($F$27:$F$36,MATCH(C1807,($F$27:$F$36)*($D$27:$D$36&lt;&gt;0),0)),IF(OR(AND(D1807=0,B1807=0,B1808&lt;&gt;0),AND(D1807*D1806&lt;0,B1807&lt;&gt;0)),IF(D1807=0,C1807,C1807*(1-ABS(D1807)/(ABS(D1807)+ABS(D1806)))+C1806*(1-ABS(D1806)/(ABS(D1807)+ABS(D1806)))),"")))</f>
        <v>#NAME?</v>
      </c>
    </row>
    <row r="1808" spans="2:5" x14ac:dyDescent="0.25">
      <c r="B1808" t="e">
        <f t="shared" ca="1" si="57"/>
        <v>#NAME?</v>
      </c>
      <c r="C1808">
        <v>1765</v>
      </c>
      <c r="D1808" t="e">
        <f t="shared" ca="1" si="56"/>
        <v>#NAME?</v>
      </c>
      <c r="E1808" s="115" t="e">
        <f t="array" aca="1" ref="E1808" ca="1">IF(OR(C1807=0,AND(B1809=0,C1809=0)),"",IFERROR(INDEX($F$27:$F$36,MATCH(C1808,($F$27:$F$36)*($D$27:$D$36&lt;&gt;0),0)),IF(OR(AND(D1808=0,B1808=0,B1809&lt;&gt;0),AND(D1808*D1807&lt;0,B1808&lt;&gt;0)),IF(D1808=0,C1808,C1808*(1-ABS(D1808)/(ABS(D1808)+ABS(D1807)))+C1807*(1-ABS(D1807)/(ABS(D1808)+ABS(D1807)))),"")))</f>
        <v>#NAME?</v>
      </c>
    </row>
    <row r="1809" spans="2:5" x14ac:dyDescent="0.25">
      <c r="B1809" t="e">
        <f t="shared" ca="1" si="57"/>
        <v>#NAME?</v>
      </c>
      <c r="C1809">
        <v>1766</v>
      </c>
      <c r="D1809" t="e">
        <f t="shared" ca="1" si="56"/>
        <v>#NAME?</v>
      </c>
      <c r="E1809" s="115" t="e">
        <f t="array" aca="1" ref="E1809" ca="1">IF(OR(C1808=0,AND(B1810=0,C1810=0)),"",IFERROR(INDEX($F$27:$F$36,MATCH(C1809,($F$27:$F$36)*($D$27:$D$36&lt;&gt;0),0)),IF(OR(AND(D1809=0,B1809=0,B1810&lt;&gt;0),AND(D1809*D1808&lt;0,B1809&lt;&gt;0)),IF(D1809=0,C1809,C1809*(1-ABS(D1809)/(ABS(D1809)+ABS(D1808)))+C1808*(1-ABS(D1808)/(ABS(D1809)+ABS(D1808)))),"")))</f>
        <v>#NAME?</v>
      </c>
    </row>
    <row r="1810" spans="2:5" x14ac:dyDescent="0.25">
      <c r="B1810" t="e">
        <f t="shared" ca="1" si="57"/>
        <v>#NAME?</v>
      </c>
      <c r="C1810">
        <v>1767</v>
      </c>
      <c r="D1810" t="e">
        <f t="shared" ca="1" si="56"/>
        <v>#NAME?</v>
      </c>
      <c r="E1810" s="115" t="e">
        <f t="array" aca="1" ref="E1810" ca="1">IF(OR(C1809=0,AND(B1811=0,C1811=0)),"",IFERROR(INDEX($F$27:$F$36,MATCH(C1810,($F$27:$F$36)*($D$27:$D$36&lt;&gt;0),0)),IF(OR(AND(D1810=0,B1810=0,B1811&lt;&gt;0),AND(D1810*D1809&lt;0,B1810&lt;&gt;0)),IF(D1810=0,C1810,C1810*(1-ABS(D1810)/(ABS(D1810)+ABS(D1809)))+C1809*(1-ABS(D1809)/(ABS(D1810)+ABS(D1809)))),"")))</f>
        <v>#NAME?</v>
      </c>
    </row>
    <row r="1811" spans="2:5" x14ac:dyDescent="0.25">
      <c r="B1811" t="e">
        <f t="shared" ca="1" si="57"/>
        <v>#NAME?</v>
      </c>
      <c r="C1811">
        <v>1768</v>
      </c>
      <c r="D1811" t="e">
        <f t="shared" ca="1" si="56"/>
        <v>#NAME?</v>
      </c>
      <c r="E1811" s="115" t="e">
        <f t="array" aca="1" ref="E1811" ca="1">IF(OR(C1810=0,AND(B1812=0,C1812=0)),"",IFERROR(INDEX($F$27:$F$36,MATCH(C1811,($F$27:$F$36)*($D$27:$D$36&lt;&gt;0),0)),IF(OR(AND(D1811=0,B1811=0,B1812&lt;&gt;0),AND(D1811*D1810&lt;0,B1811&lt;&gt;0)),IF(D1811=0,C1811,C1811*(1-ABS(D1811)/(ABS(D1811)+ABS(D1810)))+C1810*(1-ABS(D1810)/(ABS(D1811)+ABS(D1810)))),"")))</f>
        <v>#NAME?</v>
      </c>
    </row>
    <row r="1812" spans="2:5" x14ac:dyDescent="0.25">
      <c r="B1812" t="e">
        <f t="shared" ca="1" si="57"/>
        <v>#NAME?</v>
      </c>
      <c r="C1812">
        <v>1769</v>
      </c>
      <c r="D1812" t="e">
        <f t="shared" ca="1" si="56"/>
        <v>#NAME?</v>
      </c>
      <c r="E1812" s="115" t="e">
        <f t="array" aca="1" ref="E1812" ca="1">IF(OR(C1811=0,AND(B1813=0,C1813=0)),"",IFERROR(INDEX($F$27:$F$36,MATCH(C1812,($F$27:$F$36)*($D$27:$D$36&lt;&gt;0),0)),IF(OR(AND(D1812=0,B1812=0,B1813&lt;&gt;0),AND(D1812*D1811&lt;0,B1812&lt;&gt;0)),IF(D1812=0,C1812,C1812*(1-ABS(D1812)/(ABS(D1812)+ABS(D1811)))+C1811*(1-ABS(D1811)/(ABS(D1812)+ABS(D1811)))),"")))</f>
        <v>#NAME?</v>
      </c>
    </row>
    <row r="1813" spans="2:5" x14ac:dyDescent="0.25">
      <c r="B1813" t="e">
        <f t="shared" ca="1" si="57"/>
        <v>#NAME?</v>
      </c>
      <c r="C1813">
        <v>1770</v>
      </c>
      <c r="D1813" t="e">
        <f t="shared" ca="1" si="56"/>
        <v>#NAME?</v>
      </c>
      <c r="E1813" s="115" t="e">
        <f t="array" aca="1" ref="E1813" ca="1">IF(OR(C1812=0,AND(B1814=0,C1814=0)),"",IFERROR(INDEX($F$27:$F$36,MATCH(C1813,($F$27:$F$36)*($D$27:$D$36&lt;&gt;0),0)),IF(OR(AND(D1813=0,B1813=0,B1814&lt;&gt;0),AND(D1813*D1812&lt;0,B1813&lt;&gt;0)),IF(D1813=0,C1813,C1813*(1-ABS(D1813)/(ABS(D1813)+ABS(D1812)))+C1812*(1-ABS(D1812)/(ABS(D1813)+ABS(D1812)))),"")))</f>
        <v>#NAME?</v>
      </c>
    </row>
    <row r="1814" spans="2:5" x14ac:dyDescent="0.25">
      <c r="B1814" t="e">
        <f t="shared" ca="1" si="57"/>
        <v>#NAME?</v>
      </c>
      <c r="C1814">
        <v>1771</v>
      </c>
      <c r="D1814" t="e">
        <f t="shared" ca="1" si="56"/>
        <v>#NAME?</v>
      </c>
      <c r="E1814" s="115" t="e">
        <f t="array" aca="1" ref="E1814" ca="1">IF(OR(C1813=0,AND(B1815=0,C1815=0)),"",IFERROR(INDEX($F$27:$F$36,MATCH(C1814,($F$27:$F$36)*($D$27:$D$36&lt;&gt;0),0)),IF(OR(AND(D1814=0,B1814=0,B1815&lt;&gt;0),AND(D1814*D1813&lt;0,B1814&lt;&gt;0)),IF(D1814=0,C1814,C1814*(1-ABS(D1814)/(ABS(D1814)+ABS(D1813)))+C1813*(1-ABS(D1813)/(ABS(D1814)+ABS(D1813)))),"")))</f>
        <v>#NAME?</v>
      </c>
    </row>
    <row r="1815" spans="2:5" x14ac:dyDescent="0.25">
      <c r="B1815" t="e">
        <f t="shared" ca="1" si="57"/>
        <v>#NAME?</v>
      </c>
      <c r="C1815">
        <v>1772</v>
      </c>
      <c r="D1815" t="e">
        <f t="shared" ca="1" si="56"/>
        <v>#NAME?</v>
      </c>
      <c r="E1815" s="115" t="e">
        <f t="array" aca="1" ref="E1815" ca="1">IF(OR(C1814=0,AND(B1816=0,C1816=0)),"",IFERROR(INDEX($F$27:$F$36,MATCH(C1815,($F$27:$F$36)*($D$27:$D$36&lt;&gt;0),0)),IF(OR(AND(D1815=0,B1815=0,B1816&lt;&gt;0),AND(D1815*D1814&lt;0,B1815&lt;&gt;0)),IF(D1815=0,C1815,C1815*(1-ABS(D1815)/(ABS(D1815)+ABS(D1814)))+C1814*(1-ABS(D1814)/(ABS(D1815)+ABS(D1814)))),"")))</f>
        <v>#NAME?</v>
      </c>
    </row>
    <row r="1816" spans="2:5" x14ac:dyDescent="0.25">
      <c r="B1816" t="e">
        <f t="shared" ca="1" si="57"/>
        <v>#NAME?</v>
      </c>
      <c r="C1816">
        <v>1773</v>
      </c>
      <c r="D1816" t="e">
        <f t="shared" ca="1" si="56"/>
        <v>#NAME?</v>
      </c>
      <c r="E1816" s="115" t="e">
        <f t="array" aca="1" ref="E1816" ca="1">IF(OR(C1815=0,AND(B1817=0,C1817=0)),"",IFERROR(INDEX($F$27:$F$36,MATCH(C1816,($F$27:$F$36)*($D$27:$D$36&lt;&gt;0),0)),IF(OR(AND(D1816=0,B1816=0,B1817&lt;&gt;0),AND(D1816*D1815&lt;0,B1816&lt;&gt;0)),IF(D1816=0,C1816,C1816*(1-ABS(D1816)/(ABS(D1816)+ABS(D1815)))+C1815*(1-ABS(D1815)/(ABS(D1816)+ABS(D1815)))),"")))</f>
        <v>#NAME?</v>
      </c>
    </row>
    <row r="1817" spans="2:5" x14ac:dyDescent="0.25">
      <c r="B1817" t="e">
        <f t="shared" ca="1" si="57"/>
        <v>#NAME?</v>
      </c>
      <c r="C1817">
        <v>1774</v>
      </c>
      <c r="D1817" t="e">
        <f t="shared" ca="1" si="56"/>
        <v>#NAME?</v>
      </c>
      <c r="E1817" s="115" t="e">
        <f t="array" aca="1" ref="E1817" ca="1">IF(OR(C1816=0,AND(B1818=0,C1818=0)),"",IFERROR(INDEX($F$27:$F$36,MATCH(C1817,($F$27:$F$36)*($D$27:$D$36&lt;&gt;0),0)),IF(OR(AND(D1817=0,B1817=0,B1818&lt;&gt;0),AND(D1817*D1816&lt;0,B1817&lt;&gt;0)),IF(D1817=0,C1817,C1817*(1-ABS(D1817)/(ABS(D1817)+ABS(D1816)))+C1816*(1-ABS(D1816)/(ABS(D1817)+ABS(D1816)))),"")))</f>
        <v>#NAME?</v>
      </c>
    </row>
    <row r="1818" spans="2:5" x14ac:dyDescent="0.25">
      <c r="B1818" t="e">
        <f t="shared" ca="1" si="57"/>
        <v>#NAME?</v>
      </c>
      <c r="C1818">
        <v>1775</v>
      </c>
      <c r="D1818" t="e">
        <f t="shared" ca="1" si="56"/>
        <v>#NAME?</v>
      </c>
      <c r="E1818" s="115" t="e">
        <f t="array" aca="1" ref="E1818" ca="1">IF(OR(C1817=0,AND(B1819=0,C1819=0)),"",IFERROR(INDEX($F$27:$F$36,MATCH(C1818,($F$27:$F$36)*($D$27:$D$36&lt;&gt;0),0)),IF(OR(AND(D1818=0,B1818=0,B1819&lt;&gt;0),AND(D1818*D1817&lt;0,B1818&lt;&gt;0)),IF(D1818=0,C1818,C1818*(1-ABS(D1818)/(ABS(D1818)+ABS(D1817)))+C1817*(1-ABS(D1817)/(ABS(D1818)+ABS(D1817)))),"")))</f>
        <v>#NAME?</v>
      </c>
    </row>
    <row r="1819" spans="2:5" x14ac:dyDescent="0.25">
      <c r="B1819" t="e">
        <f t="shared" ca="1" si="57"/>
        <v>#NAME?</v>
      </c>
      <c r="C1819">
        <v>1776</v>
      </c>
      <c r="D1819" t="e">
        <f t="shared" ca="1" si="56"/>
        <v>#NAME?</v>
      </c>
      <c r="E1819" s="115" t="e">
        <f t="array" aca="1" ref="E1819" ca="1">IF(OR(C1818=0,AND(B1820=0,C1820=0)),"",IFERROR(INDEX($F$27:$F$36,MATCH(C1819,($F$27:$F$36)*($D$27:$D$36&lt;&gt;0),0)),IF(OR(AND(D1819=0,B1819=0,B1820&lt;&gt;0),AND(D1819*D1818&lt;0,B1819&lt;&gt;0)),IF(D1819=0,C1819,C1819*(1-ABS(D1819)/(ABS(D1819)+ABS(D1818)))+C1818*(1-ABS(D1818)/(ABS(D1819)+ABS(D1818)))),"")))</f>
        <v>#NAME?</v>
      </c>
    </row>
    <row r="1820" spans="2:5" x14ac:dyDescent="0.25">
      <c r="B1820" t="e">
        <f t="shared" ca="1" si="57"/>
        <v>#NAME?</v>
      </c>
      <c r="C1820">
        <v>1777</v>
      </c>
      <c r="D1820" t="e">
        <f t="shared" ca="1" si="56"/>
        <v>#NAME?</v>
      </c>
      <c r="E1820" s="115" t="e">
        <f t="array" aca="1" ref="E1820" ca="1">IF(OR(C1819=0,AND(B1821=0,C1821=0)),"",IFERROR(INDEX($F$27:$F$36,MATCH(C1820,($F$27:$F$36)*($D$27:$D$36&lt;&gt;0),0)),IF(OR(AND(D1820=0,B1820=0,B1821&lt;&gt;0),AND(D1820*D1819&lt;0,B1820&lt;&gt;0)),IF(D1820=0,C1820,C1820*(1-ABS(D1820)/(ABS(D1820)+ABS(D1819)))+C1819*(1-ABS(D1819)/(ABS(D1820)+ABS(D1819)))),"")))</f>
        <v>#NAME?</v>
      </c>
    </row>
    <row r="1821" spans="2:5" x14ac:dyDescent="0.25">
      <c r="B1821" t="e">
        <f t="shared" ca="1" si="57"/>
        <v>#NAME?</v>
      </c>
      <c r="C1821">
        <v>1778</v>
      </c>
      <c r="D1821" t="e">
        <f t="shared" ca="1" si="56"/>
        <v>#NAME?</v>
      </c>
      <c r="E1821" s="115" t="e">
        <f t="array" aca="1" ref="E1821" ca="1">IF(OR(C1820=0,AND(B1822=0,C1822=0)),"",IFERROR(INDEX($F$27:$F$36,MATCH(C1821,($F$27:$F$36)*($D$27:$D$36&lt;&gt;0),0)),IF(OR(AND(D1821=0,B1821=0,B1822&lt;&gt;0),AND(D1821*D1820&lt;0,B1821&lt;&gt;0)),IF(D1821=0,C1821,C1821*(1-ABS(D1821)/(ABS(D1821)+ABS(D1820)))+C1820*(1-ABS(D1820)/(ABS(D1821)+ABS(D1820)))),"")))</f>
        <v>#NAME?</v>
      </c>
    </row>
    <row r="1822" spans="2:5" x14ac:dyDescent="0.25">
      <c r="B1822" t="e">
        <f t="shared" ca="1" si="57"/>
        <v>#NAME?</v>
      </c>
      <c r="C1822">
        <v>1779</v>
      </c>
      <c r="D1822" t="e">
        <f t="shared" ca="1" si="56"/>
        <v>#NAME?</v>
      </c>
      <c r="E1822" s="115" t="e">
        <f t="array" aca="1" ref="E1822" ca="1">IF(OR(C1821=0,AND(B1823=0,C1823=0)),"",IFERROR(INDEX($F$27:$F$36,MATCH(C1822,($F$27:$F$36)*($D$27:$D$36&lt;&gt;0),0)),IF(OR(AND(D1822=0,B1822=0,B1823&lt;&gt;0),AND(D1822*D1821&lt;0,B1822&lt;&gt;0)),IF(D1822=0,C1822,C1822*(1-ABS(D1822)/(ABS(D1822)+ABS(D1821)))+C1821*(1-ABS(D1821)/(ABS(D1822)+ABS(D1821)))),"")))</f>
        <v>#NAME?</v>
      </c>
    </row>
    <row r="1823" spans="2:5" x14ac:dyDescent="0.25">
      <c r="B1823" t="e">
        <f t="shared" ca="1" si="57"/>
        <v>#NAME?</v>
      </c>
      <c r="C1823">
        <v>1780</v>
      </c>
      <c r="D1823" t="e">
        <f t="shared" ca="1" si="56"/>
        <v>#NAME?</v>
      </c>
      <c r="E1823" s="115" t="e">
        <f t="array" aca="1" ref="E1823" ca="1">IF(OR(C1822=0,AND(B1824=0,C1824=0)),"",IFERROR(INDEX($F$27:$F$36,MATCH(C1823,($F$27:$F$36)*($D$27:$D$36&lt;&gt;0),0)),IF(OR(AND(D1823=0,B1823=0,B1824&lt;&gt;0),AND(D1823*D1822&lt;0,B1823&lt;&gt;0)),IF(D1823=0,C1823,C1823*(1-ABS(D1823)/(ABS(D1823)+ABS(D1822)))+C1822*(1-ABS(D1822)/(ABS(D1823)+ABS(D1822)))),"")))</f>
        <v>#NAME?</v>
      </c>
    </row>
    <row r="1824" spans="2:5" x14ac:dyDescent="0.25">
      <c r="B1824" t="e">
        <f t="shared" ca="1" si="57"/>
        <v>#NAME?</v>
      </c>
      <c r="C1824">
        <v>1781</v>
      </c>
      <c r="D1824" t="e">
        <f t="shared" ca="1" si="56"/>
        <v>#NAME?</v>
      </c>
      <c r="E1824" s="115" t="e">
        <f t="array" aca="1" ref="E1824" ca="1">IF(OR(C1823=0,AND(B1825=0,C1825=0)),"",IFERROR(INDEX($F$27:$F$36,MATCH(C1824,($F$27:$F$36)*($D$27:$D$36&lt;&gt;0),0)),IF(OR(AND(D1824=0,B1824=0,B1825&lt;&gt;0),AND(D1824*D1823&lt;0,B1824&lt;&gt;0)),IF(D1824=0,C1824,C1824*(1-ABS(D1824)/(ABS(D1824)+ABS(D1823)))+C1823*(1-ABS(D1823)/(ABS(D1824)+ABS(D1823)))),"")))</f>
        <v>#NAME?</v>
      </c>
    </row>
    <row r="1825" spans="2:5" x14ac:dyDescent="0.25">
      <c r="B1825" t="e">
        <f t="shared" ca="1" si="57"/>
        <v>#NAME?</v>
      </c>
      <c r="C1825">
        <v>1782</v>
      </c>
      <c r="D1825" t="e">
        <f t="shared" ca="1" si="56"/>
        <v>#NAME?</v>
      </c>
      <c r="E1825" s="115" t="e">
        <f t="array" aca="1" ref="E1825" ca="1">IF(OR(C1824=0,AND(B1826=0,C1826=0)),"",IFERROR(INDEX($F$27:$F$36,MATCH(C1825,($F$27:$F$36)*($D$27:$D$36&lt;&gt;0),0)),IF(OR(AND(D1825=0,B1825=0,B1826&lt;&gt;0),AND(D1825*D1824&lt;0,B1825&lt;&gt;0)),IF(D1825=0,C1825,C1825*(1-ABS(D1825)/(ABS(D1825)+ABS(D1824)))+C1824*(1-ABS(D1824)/(ABS(D1825)+ABS(D1824)))),"")))</f>
        <v>#NAME?</v>
      </c>
    </row>
    <row r="1826" spans="2:5" x14ac:dyDescent="0.25">
      <c r="B1826" t="e">
        <f t="shared" ca="1" si="57"/>
        <v>#NAME?</v>
      </c>
      <c r="C1826">
        <v>1783</v>
      </c>
      <c r="D1826" t="e">
        <f t="shared" ca="1" si="56"/>
        <v>#NAME?</v>
      </c>
      <c r="E1826" s="115" t="e">
        <f t="array" aca="1" ref="E1826" ca="1">IF(OR(C1825=0,AND(B1827=0,C1827=0)),"",IFERROR(INDEX($F$27:$F$36,MATCH(C1826,($F$27:$F$36)*($D$27:$D$36&lt;&gt;0),0)),IF(OR(AND(D1826=0,B1826=0,B1827&lt;&gt;0),AND(D1826*D1825&lt;0,B1826&lt;&gt;0)),IF(D1826=0,C1826,C1826*(1-ABS(D1826)/(ABS(D1826)+ABS(D1825)))+C1825*(1-ABS(D1825)/(ABS(D1826)+ABS(D1825)))),"")))</f>
        <v>#NAME?</v>
      </c>
    </row>
    <row r="1827" spans="2:5" x14ac:dyDescent="0.25">
      <c r="B1827" t="e">
        <f t="shared" ca="1" si="57"/>
        <v>#NAME?</v>
      </c>
      <c r="C1827">
        <v>1784</v>
      </c>
      <c r="D1827" t="e">
        <f t="shared" ca="1" si="56"/>
        <v>#NAME?</v>
      </c>
      <c r="E1827" s="115" t="e">
        <f t="array" aca="1" ref="E1827" ca="1">IF(OR(C1826=0,AND(B1828=0,C1828=0)),"",IFERROR(INDEX($F$27:$F$36,MATCH(C1827,($F$27:$F$36)*($D$27:$D$36&lt;&gt;0),0)),IF(OR(AND(D1827=0,B1827=0,B1828&lt;&gt;0),AND(D1827*D1826&lt;0,B1827&lt;&gt;0)),IF(D1827=0,C1827,C1827*(1-ABS(D1827)/(ABS(D1827)+ABS(D1826)))+C1826*(1-ABS(D1826)/(ABS(D1827)+ABS(D1826)))),"")))</f>
        <v>#NAME?</v>
      </c>
    </row>
    <row r="1828" spans="2:5" x14ac:dyDescent="0.25">
      <c r="B1828" t="e">
        <f t="shared" ca="1" si="57"/>
        <v>#NAME?</v>
      </c>
      <c r="C1828">
        <v>1785</v>
      </c>
      <c r="D1828" t="e">
        <f t="shared" ca="1" si="56"/>
        <v>#NAME?</v>
      </c>
      <c r="E1828" s="115" t="e">
        <f t="array" aca="1" ref="E1828" ca="1">IF(OR(C1827=0,AND(B1829=0,C1829=0)),"",IFERROR(INDEX($F$27:$F$36,MATCH(C1828,($F$27:$F$36)*($D$27:$D$36&lt;&gt;0),0)),IF(OR(AND(D1828=0,B1828=0,B1829&lt;&gt;0),AND(D1828*D1827&lt;0,B1828&lt;&gt;0)),IF(D1828=0,C1828,C1828*(1-ABS(D1828)/(ABS(D1828)+ABS(D1827)))+C1827*(1-ABS(D1827)/(ABS(D1828)+ABS(D1827)))),"")))</f>
        <v>#NAME?</v>
      </c>
    </row>
    <row r="1829" spans="2:5" x14ac:dyDescent="0.25">
      <c r="B1829" t="e">
        <f t="shared" ca="1" si="57"/>
        <v>#NAME?</v>
      </c>
      <c r="C1829">
        <v>1786</v>
      </c>
      <c r="D1829" t="e">
        <f t="shared" ca="1" si="56"/>
        <v>#NAME?</v>
      </c>
      <c r="E1829" s="115" t="e">
        <f t="array" aca="1" ref="E1829" ca="1">IF(OR(C1828=0,AND(B1830=0,C1830=0)),"",IFERROR(INDEX($F$27:$F$36,MATCH(C1829,($F$27:$F$36)*($D$27:$D$36&lt;&gt;0),0)),IF(OR(AND(D1829=0,B1829=0,B1830&lt;&gt;0),AND(D1829*D1828&lt;0,B1829&lt;&gt;0)),IF(D1829=0,C1829,C1829*(1-ABS(D1829)/(ABS(D1829)+ABS(D1828)))+C1828*(1-ABS(D1828)/(ABS(D1829)+ABS(D1828)))),"")))</f>
        <v>#NAME?</v>
      </c>
    </row>
    <row r="1830" spans="2:5" x14ac:dyDescent="0.25">
      <c r="B1830" t="e">
        <f t="shared" ca="1" si="57"/>
        <v>#NAME?</v>
      </c>
      <c r="C1830">
        <v>1787</v>
      </c>
      <c r="D1830" t="e">
        <f t="shared" ca="1" si="56"/>
        <v>#NAME?</v>
      </c>
      <c r="E1830" s="115" t="e">
        <f t="array" aca="1" ref="E1830" ca="1">IF(OR(C1829=0,AND(B1831=0,C1831=0)),"",IFERROR(INDEX($F$27:$F$36,MATCH(C1830,($F$27:$F$36)*($D$27:$D$36&lt;&gt;0),0)),IF(OR(AND(D1830=0,B1830=0,B1831&lt;&gt;0),AND(D1830*D1829&lt;0,B1830&lt;&gt;0)),IF(D1830=0,C1830,C1830*(1-ABS(D1830)/(ABS(D1830)+ABS(D1829)))+C1829*(1-ABS(D1829)/(ABS(D1830)+ABS(D1829)))),"")))</f>
        <v>#NAME?</v>
      </c>
    </row>
    <row r="1831" spans="2:5" x14ac:dyDescent="0.25">
      <c r="B1831" t="e">
        <f t="shared" ca="1" si="57"/>
        <v>#NAME?</v>
      </c>
      <c r="C1831">
        <v>1788</v>
      </c>
      <c r="D1831" t="e">
        <f t="shared" ca="1" si="56"/>
        <v>#NAME?</v>
      </c>
      <c r="E1831" s="115" t="e">
        <f t="array" aca="1" ref="E1831" ca="1">IF(OR(C1830=0,AND(B1832=0,C1832=0)),"",IFERROR(INDEX($F$27:$F$36,MATCH(C1831,($F$27:$F$36)*($D$27:$D$36&lt;&gt;0),0)),IF(OR(AND(D1831=0,B1831=0,B1832&lt;&gt;0),AND(D1831*D1830&lt;0,B1831&lt;&gt;0)),IF(D1831=0,C1831,C1831*(1-ABS(D1831)/(ABS(D1831)+ABS(D1830)))+C1830*(1-ABS(D1830)/(ABS(D1831)+ABS(D1830)))),"")))</f>
        <v>#NAME?</v>
      </c>
    </row>
    <row r="1832" spans="2:5" x14ac:dyDescent="0.25">
      <c r="B1832" t="e">
        <f t="shared" ca="1" si="57"/>
        <v>#NAME?</v>
      </c>
      <c r="C1832">
        <v>1789</v>
      </c>
      <c r="D1832" t="e">
        <f t="shared" ca="1" si="56"/>
        <v>#NAME?</v>
      </c>
      <c r="E1832" s="115" t="e">
        <f t="array" aca="1" ref="E1832" ca="1">IF(OR(C1831=0,AND(B1833=0,C1833=0)),"",IFERROR(INDEX($F$27:$F$36,MATCH(C1832,($F$27:$F$36)*($D$27:$D$36&lt;&gt;0),0)),IF(OR(AND(D1832=0,B1832=0,B1833&lt;&gt;0),AND(D1832*D1831&lt;0,B1832&lt;&gt;0)),IF(D1832=0,C1832,C1832*(1-ABS(D1832)/(ABS(D1832)+ABS(D1831)))+C1831*(1-ABS(D1831)/(ABS(D1832)+ABS(D1831)))),"")))</f>
        <v>#NAME?</v>
      </c>
    </row>
    <row r="1833" spans="2:5" x14ac:dyDescent="0.25">
      <c r="B1833" t="e">
        <f t="shared" ca="1" si="57"/>
        <v>#NAME?</v>
      </c>
      <c r="C1833">
        <v>1790</v>
      </c>
      <c r="D1833" t="e">
        <f t="shared" ca="1" si="56"/>
        <v>#NAME?</v>
      </c>
      <c r="E1833" s="115" t="e">
        <f t="array" aca="1" ref="E1833" ca="1">IF(OR(C1832=0,AND(B1834=0,C1834=0)),"",IFERROR(INDEX($F$27:$F$36,MATCH(C1833,($F$27:$F$36)*($D$27:$D$36&lt;&gt;0),0)),IF(OR(AND(D1833=0,B1833=0,B1834&lt;&gt;0),AND(D1833*D1832&lt;0,B1833&lt;&gt;0)),IF(D1833=0,C1833,C1833*(1-ABS(D1833)/(ABS(D1833)+ABS(D1832)))+C1832*(1-ABS(D1832)/(ABS(D1833)+ABS(D1832)))),"")))</f>
        <v>#NAME?</v>
      </c>
    </row>
    <row r="1834" spans="2:5" x14ac:dyDescent="0.25">
      <c r="B1834" t="e">
        <f t="shared" ca="1" si="57"/>
        <v>#NAME?</v>
      </c>
      <c r="C1834">
        <v>1791</v>
      </c>
      <c r="D1834" t="e">
        <f t="shared" ca="1" si="56"/>
        <v>#NAME?</v>
      </c>
      <c r="E1834" s="115" t="e">
        <f t="array" aca="1" ref="E1834" ca="1">IF(OR(C1833=0,AND(B1835=0,C1835=0)),"",IFERROR(INDEX($F$27:$F$36,MATCH(C1834,($F$27:$F$36)*($D$27:$D$36&lt;&gt;0),0)),IF(OR(AND(D1834=0,B1834=0,B1835&lt;&gt;0),AND(D1834*D1833&lt;0,B1834&lt;&gt;0)),IF(D1834=0,C1834,C1834*(1-ABS(D1834)/(ABS(D1834)+ABS(D1833)))+C1833*(1-ABS(D1833)/(ABS(D1834)+ABS(D1833)))),"")))</f>
        <v>#NAME?</v>
      </c>
    </row>
    <row r="1835" spans="2:5" x14ac:dyDescent="0.25">
      <c r="B1835" t="e">
        <f t="shared" ca="1" si="57"/>
        <v>#NAME?</v>
      </c>
      <c r="C1835">
        <v>1792</v>
      </c>
      <c r="D1835" t="e">
        <f t="shared" ref="D1835:D1898" ca="1" si="58">SUMPRODUCT(--($J$27:$J$37&gt;0),--($C1835-$F$27:$F$37&gt;0),($D$27:$D$37),($C1835-$F$27:$F$37))+SUMPRODUCT(--($J$27:$J$37&lt;0),--($F$27:$F$37-$C1835&gt;0),($D$27:$D$37),($F$27:$F$37-$C1835))-SUMPRODUCT($D$27:$D$37,$E$27:$E$37)</f>
        <v>#NAME?</v>
      </c>
      <c r="E1835" s="115" t="e">
        <f t="array" aca="1" ref="E1835" ca="1">IF(OR(C1834=0,AND(B1836=0,C1836=0)),"",IFERROR(INDEX($F$27:$F$36,MATCH(C1835,($F$27:$F$36)*($D$27:$D$36&lt;&gt;0),0)),IF(OR(AND(D1835=0,B1835=0,B1836&lt;&gt;0),AND(D1835*D1834&lt;0,B1835&lt;&gt;0)),IF(D1835=0,C1835,C1835*(1-ABS(D1835)/(ABS(D1835)+ABS(D1834)))+C1834*(1-ABS(D1834)/(ABS(D1835)+ABS(D1834)))),"")))</f>
        <v>#NAME?</v>
      </c>
    </row>
    <row r="1836" spans="2:5" x14ac:dyDescent="0.25">
      <c r="B1836" t="e">
        <f t="shared" ref="B1836:B1899" ca="1" si="59">ROUND((D1836-D1835)/(C1836-C1835),12)</f>
        <v>#NAME?</v>
      </c>
      <c r="C1836">
        <v>1793</v>
      </c>
      <c r="D1836" t="e">
        <f t="shared" ca="1" si="58"/>
        <v>#NAME?</v>
      </c>
      <c r="E1836" s="115" t="e">
        <f t="array" aca="1" ref="E1836" ca="1">IF(OR(C1835=0,AND(B1837=0,C1837=0)),"",IFERROR(INDEX($F$27:$F$36,MATCH(C1836,($F$27:$F$36)*($D$27:$D$36&lt;&gt;0),0)),IF(OR(AND(D1836=0,B1836=0,B1837&lt;&gt;0),AND(D1836*D1835&lt;0,B1836&lt;&gt;0)),IF(D1836=0,C1836,C1836*(1-ABS(D1836)/(ABS(D1836)+ABS(D1835)))+C1835*(1-ABS(D1835)/(ABS(D1836)+ABS(D1835)))),"")))</f>
        <v>#NAME?</v>
      </c>
    </row>
    <row r="1837" spans="2:5" x14ac:dyDescent="0.25">
      <c r="B1837" t="e">
        <f t="shared" ca="1" si="59"/>
        <v>#NAME?</v>
      </c>
      <c r="C1837">
        <v>1794</v>
      </c>
      <c r="D1837" t="e">
        <f t="shared" ca="1" si="58"/>
        <v>#NAME?</v>
      </c>
      <c r="E1837" s="115" t="e">
        <f t="array" aca="1" ref="E1837" ca="1">IF(OR(C1836=0,AND(B1838=0,C1838=0)),"",IFERROR(INDEX($F$27:$F$36,MATCH(C1837,($F$27:$F$36)*($D$27:$D$36&lt;&gt;0),0)),IF(OR(AND(D1837=0,B1837=0,B1838&lt;&gt;0),AND(D1837*D1836&lt;0,B1837&lt;&gt;0)),IF(D1837=0,C1837,C1837*(1-ABS(D1837)/(ABS(D1837)+ABS(D1836)))+C1836*(1-ABS(D1836)/(ABS(D1837)+ABS(D1836)))),"")))</f>
        <v>#NAME?</v>
      </c>
    </row>
    <row r="1838" spans="2:5" x14ac:dyDescent="0.25">
      <c r="B1838" t="e">
        <f t="shared" ca="1" si="59"/>
        <v>#NAME?</v>
      </c>
      <c r="C1838">
        <v>1795</v>
      </c>
      <c r="D1838" t="e">
        <f t="shared" ca="1" si="58"/>
        <v>#NAME?</v>
      </c>
      <c r="E1838" s="115" t="e">
        <f t="array" aca="1" ref="E1838" ca="1">IF(OR(C1837=0,AND(B1839=0,C1839=0)),"",IFERROR(INDEX($F$27:$F$36,MATCH(C1838,($F$27:$F$36)*($D$27:$D$36&lt;&gt;0),0)),IF(OR(AND(D1838=0,B1838=0,B1839&lt;&gt;0),AND(D1838*D1837&lt;0,B1838&lt;&gt;0)),IF(D1838=0,C1838,C1838*(1-ABS(D1838)/(ABS(D1838)+ABS(D1837)))+C1837*(1-ABS(D1837)/(ABS(D1838)+ABS(D1837)))),"")))</f>
        <v>#NAME?</v>
      </c>
    </row>
    <row r="1839" spans="2:5" x14ac:dyDescent="0.25">
      <c r="B1839" t="e">
        <f t="shared" ca="1" si="59"/>
        <v>#NAME?</v>
      </c>
      <c r="C1839">
        <v>1796</v>
      </c>
      <c r="D1839" t="e">
        <f t="shared" ca="1" si="58"/>
        <v>#NAME?</v>
      </c>
      <c r="E1839" s="115" t="e">
        <f t="array" aca="1" ref="E1839" ca="1">IF(OR(C1838=0,AND(B1840=0,C1840=0)),"",IFERROR(INDEX($F$27:$F$36,MATCH(C1839,($F$27:$F$36)*($D$27:$D$36&lt;&gt;0),0)),IF(OR(AND(D1839=0,B1839=0,B1840&lt;&gt;0),AND(D1839*D1838&lt;0,B1839&lt;&gt;0)),IF(D1839=0,C1839,C1839*(1-ABS(D1839)/(ABS(D1839)+ABS(D1838)))+C1838*(1-ABS(D1838)/(ABS(D1839)+ABS(D1838)))),"")))</f>
        <v>#NAME?</v>
      </c>
    </row>
    <row r="1840" spans="2:5" x14ac:dyDescent="0.25">
      <c r="B1840" t="e">
        <f t="shared" ca="1" si="59"/>
        <v>#NAME?</v>
      </c>
      <c r="C1840">
        <v>1797</v>
      </c>
      <c r="D1840" t="e">
        <f t="shared" ca="1" si="58"/>
        <v>#NAME?</v>
      </c>
      <c r="E1840" s="115" t="e">
        <f t="array" aca="1" ref="E1840" ca="1">IF(OR(C1839=0,AND(B1841=0,C1841=0)),"",IFERROR(INDEX($F$27:$F$36,MATCH(C1840,($F$27:$F$36)*($D$27:$D$36&lt;&gt;0),0)),IF(OR(AND(D1840=0,B1840=0,B1841&lt;&gt;0),AND(D1840*D1839&lt;0,B1840&lt;&gt;0)),IF(D1840=0,C1840,C1840*(1-ABS(D1840)/(ABS(D1840)+ABS(D1839)))+C1839*(1-ABS(D1839)/(ABS(D1840)+ABS(D1839)))),"")))</f>
        <v>#NAME?</v>
      </c>
    </row>
    <row r="1841" spans="2:5" x14ac:dyDescent="0.25">
      <c r="B1841" t="e">
        <f t="shared" ca="1" si="59"/>
        <v>#NAME?</v>
      </c>
      <c r="C1841">
        <v>1798</v>
      </c>
      <c r="D1841" t="e">
        <f t="shared" ca="1" si="58"/>
        <v>#NAME?</v>
      </c>
      <c r="E1841" s="115" t="e">
        <f t="array" aca="1" ref="E1841" ca="1">IF(OR(C1840=0,AND(B1842=0,C1842=0)),"",IFERROR(INDEX($F$27:$F$36,MATCH(C1841,($F$27:$F$36)*($D$27:$D$36&lt;&gt;0),0)),IF(OR(AND(D1841=0,B1841=0,B1842&lt;&gt;0),AND(D1841*D1840&lt;0,B1841&lt;&gt;0)),IF(D1841=0,C1841,C1841*(1-ABS(D1841)/(ABS(D1841)+ABS(D1840)))+C1840*(1-ABS(D1840)/(ABS(D1841)+ABS(D1840)))),"")))</f>
        <v>#NAME?</v>
      </c>
    </row>
    <row r="1842" spans="2:5" x14ac:dyDescent="0.25">
      <c r="B1842" t="e">
        <f t="shared" ca="1" si="59"/>
        <v>#NAME?</v>
      </c>
      <c r="C1842">
        <v>1799</v>
      </c>
      <c r="D1842" t="e">
        <f t="shared" ca="1" si="58"/>
        <v>#NAME?</v>
      </c>
      <c r="E1842" s="115" t="e">
        <f t="array" aca="1" ref="E1842" ca="1">IF(OR(C1841=0,AND(B1843=0,C1843=0)),"",IFERROR(INDEX($F$27:$F$36,MATCH(C1842,($F$27:$F$36)*($D$27:$D$36&lt;&gt;0),0)),IF(OR(AND(D1842=0,B1842=0,B1843&lt;&gt;0),AND(D1842*D1841&lt;0,B1842&lt;&gt;0)),IF(D1842=0,C1842,C1842*(1-ABS(D1842)/(ABS(D1842)+ABS(D1841)))+C1841*(1-ABS(D1841)/(ABS(D1842)+ABS(D1841)))),"")))</f>
        <v>#NAME?</v>
      </c>
    </row>
    <row r="1843" spans="2:5" x14ac:dyDescent="0.25">
      <c r="B1843" t="e">
        <f t="shared" ca="1" si="59"/>
        <v>#NAME?</v>
      </c>
      <c r="C1843">
        <v>1800</v>
      </c>
      <c r="D1843" t="e">
        <f t="shared" ca="1" si="58"/>
        <v>#NAME?</v>
      </c>
      <c r="E1843" s="115" t="e">
        <f t="array" aca="1" ref="E1843" ca="1">IF(OR(C1842=0,AND(B1844=0,C1844=0)),"",IFERROR(INDEX($F$27:$F$36,MATCH(C1843,($F$27:$F$36)*($D$27:$D$36&lt;&gt;0),0)),IF(OR(AND(D1843=0,B1843=0,B1844&lt;&gt;0),AND(D1843*D1842&lt;0,B1843&lt;&gt;0)),IF(D1843=0,C1843,C1843*(1-ABS(D1843)/(ABS(D1843)+ABS(D1842)))+C1842*(1-ABS(D1842)/(ABS(D1843)+ABS(D1842)))),"")))</f>
        <v>#NAME?</v>
      </c>
    </row>
    <row r="1844" spans="2:5" x14ac:dyDescent="0.25">
      <c r="B1844" t="e">
        <f t="shared" ca="1" si="59"/>
        <v>#NAME?</v>
      </c>
      <c r="C1844">
        <v>1801</v>
      </c>
      <c r="D1844" t="e">
        <f t="shared" ca="1" si="58"/>
        <v>#NAME?</v>
      </c>
      <c r="E1844" s="115" t="e">
        <f t="array" aca="1" ref="E1844" ca="1">IF(OR(C1843=0,AND(B1845=0,C1845=0)),"",IFERROR(INDEX($F$27:$F$36,MATCH(C1844,($F$27:$F$36)*($D$27:$D$36&lt;&gt;0),0)),IF(OR(AND(D1844=0,B1844=0,B1845&lt;&gt;0),AND(D1844*D1843&lt;0,B1844&lt;&gt;0)),IF(D1844=0,C1844,C1844*(1-ABS(D1844)/(ABS(D1844)+ABS(D1843)))+C1843*(1-ABS(D1843)/(ABS(D1844)+ABS(D1843)))),"")))</f>
        <v>#NAME?</v>
      </c>
    </row>
    <row r="1845" spans="2:5" x14ac:dyDescent="0.25">
      <c r="B1845" t="e">
        <f t="shared" ca="1" si="59"/>
        <v>#NAME?</v>
      </c>
      <c r="C1845">
        <v>1802</v>
      </c>
      <c r="D1845" t="e">
        <f t="shared" ca="1" si="58"/>
        <v>#NAME?</v>
      </c>
      <c r="E1845" s="115" t="e">
        <f t="array" aca="1" ref="E1845" ca="1">IF(OR(C1844=0,AND(B1846=0,C1846=0)),"",IFERROR(INDEX($F$27:$F$36,MATCH(C1845,($F$27:$F$36)*($D$27:$D$36&lt;&gt;0),0)),IF(OR(AND(D1845=0,B1845=0,B1846&lt;&gt;0),AND(D1845*D1844&lt;0,B1845&lt;&gt;0)),IF(D1845=0,C1845,C1845*(1-ABS(D1845)/(ABS(D1845)+ABS(D1844)))+C1844*(1-ABS(D1844)/(ABS(D1845)+ABS(D1844)))),"")))</f>
        <v>#NAME?</v>
      </c>
    </row>
    <row r="1846" spans="2:5" x14ac:dyDescent="0.25">
      <c r="B1846" t="e">
        <f t="shared" ca="1" si="59"/>
        <v>#NAME?</v>
      </c>
      <c r="C1846">
        <v>1803</v>
      </c>
      <c r="D1846" t="e">
        <f t="shared" ca="1" si="58"/>
        <v>#NAME?</v>
      </c>
      <c r="E1846" s="115" t="e">
        <f t="array" aca="1" ref="E1846" ca="1">IF(OR(C1845=0,AND(B1847=0,C1847=0)),"",IFERROR(INDEX($F$27:$F$36,MATCH(C1846,($F$27:$F$36)*($D$27:$D$36&lt;&gt;0),0)),IF(OR(AND(D1846=0,B1846=0,B1847&lt;&gt;0),AND(D1846*D1845&lt;0,B1846&lt;&gt;0)),IF(D1846=0,C1846,C1846*(1-ABS(D1846)/(ABS(D1846)+ABS(D1845)))+C1845*(1-ABS(D1845)/(ABS(D1846)+ABS(D1845)))),"")))</f>
        <v>#NAME?</v>
      </c>
    </row>
    <row r="1847" spans="2:5" x14ac:dyDescent="0.25">
      <c r="B1847" t="e">
        <f t="shared" ca="1" si="59"/>
        <v>#NAME?</v>
      </c>
      <c r="C1847">
        <v>1804</v>
      </c>
      <c r="D1847" t="e">
        <f t="shared" ca="1" si="58"/>
        <v>#NAME?</v>
      </c>
      <c r="E1847" s="115" t="e">
        <f t="array" aca="1" ref="E1847" ca="1">IF(OR(C1846=0,AND(B1848=0,C1848=0)),"",IFERROR(INDEX($F$27:$F$36,MATCH(C1847,($F$27:$F$36)*($D$27:$D$36&lt;&gt;0),0)),IF(OR(AND(D1847=0,B1847=0,B1848&lt;&gt;0),AND(D1847*D1846&lt;0,B1847&lt;&gt;0)),IF(D1847=0,C1847,C1847*(1-ABS(D1847)/(ABS(D1847)+ABS(D1846)))+C1846*(1-ABS(D1846)/(ABS(D1847)+ABS(D1846)))),"")))</f>
        <v>#NAME?</v>
      </c>
    </row>
    <row r="1848" spans="2:5" x14ac:dyDescent="0.25">
      <c r="B1848" t="e">
        <f t="shared" ca="1" si="59"/>
        <v>#NAME?</v>
      </c>
      <c r="C1848">
        <v>1805</v>
      </c>
      <c r="D1848" t="e">
        <f t="shared" ca="1" si="58"/>
        <v>#NAME?</v>
      </c>
      <c r="E1848" s="115" t="e">
        <f t="array" aca="1" ref="E1848" ca="1">IF(OR(C1847=0,AND(B1849=0,C1849=0)),"",IFERROR(INDEX($F$27:$F$36,MATCH(C1848,($F$27:$F$36)*($D$27:$D$36&lt;&gt;0),0)),IF(OR(AND(D1848=0,B1848=0,B1849&lt;&gt;0),AND(D1848*D1847&lt;0,B1848&lt;&gt;0)),IF(D1848=0,C1848,C1848*(1-ABS(D1848)/(ABS(D1848)+ABS(D1847)))+C1847*(1-ABS(D1847)/(ABS(D1848)+ABS(D1847)))),"")))</f>
        <v>#NAME?</v>
      </c>
    </row>
    <row r="1849" spans="2:5" x14ac:dyDescent="0.25">
      <c r="B1849" t="e">
        <f t="shared" ca="1" si="59"/>
        <v>#NAME?</v>
      </c>
      <c r="C1849">
        <v>1806</v>
      </c>
      <c r="D1849" t="e">
        <f t="shared" ca="1" si="58"/>
        <v>#NAME?</v>
      </c>
      <c r="E1849" s="115" t="e">
        <f t="array" aca="1" ref="E1849" ca="1">IF(OR(C1848=0,AND(B1850=0,C1850=0)),"",IFERROR(INDEX($F$27:$F$36,MATCH(C1849,($F$27:$F$36)*($D$27:$D$36&lt;&gt;0),0)),IF(OR(AND(D1849=0,B1849=0,B1850&lt;&gt;0),AND(D1849*D1848&lt;0,B1849&lt;&gt;0)),IF(D1849=0,C1849,C1849*(1-ABS(D1849)/(ABS(D1849)+ABS(D1848)))+C1848*(1-ABS(D1848)/(ABS(D1849)+ABS(D1848)))),"")))</f>
        <v>#NAME?</v>
      </c>
    </row>
    <row r="1850" spans="2:5" x14ac:dyDescent="0.25">
      <c r="B1850" t="e">
        <f t="shared" ca="1" si="59"/>
        <v>#NAME?</v>
      </c>
      <c r="C1850">
        <v>1807</v>
      </c>
      <c r="D1850" t="e">
        <f t="shared" ca="1" si="58"/>
        <v>#NAME?</v>
      </c>
      <c r="E1850" s="115" t="e">
        <f t="array" aca="1" ref="E1850" ca="1">IF(OR(C1849=0,AND(B1851=0,C1851=0)),"",IFERROR(INDEX($F$27:$F$36,MATCH(C1850,($F$27:$F$36)*($D$27:$D$36&lt;&gt;0),0)),IF(OR(AND(D1850=0,B1850=0,B1851&lt;&gt;0),AND(D1850*D1849&lt;0,B1850&lt;&gt;0)),IF(D1850=0,C1850,C1850*(1-ABS(D1850)/(ABS(D1850)+ABS(D1849)))+C1849*(1-ABS(D1849)/(ABS(D1850)+ABS(D1849)))),"")))</f>
        <v>#NAME?</v>
      </c>
    </row>
    <row r="1851" spans="2:5" x14ac:dyDescent="0.25">
      <c r="B1851" t="e">
        <f t="shared" ca="1" si="59"/>
        <v>#NAME?</v>
      </c>
      <c r="C1851">
        <v>1808</v>
      </c>
      <c r="D1851" t="e">
        <f t="shared" ca="1" si="58"/>
        <v>#NAME?</v>
      </c>
      <c r="E1851" s="115" t="e">
        <f t="array" aca="1" ref="E1851" ca="1">IF(OR(C1850=0,AND(B1852=0,C1852=0)),"",IFERROR(INDEX($F$27:$F$36,MATCH(C1851,($F$27:$F$36)*($D$27:$D$36&lt;&gt;0),0)),IF(OR(AND(D1851=0,B1851=0,B1852&lt;&gt;0),AND(D1851*D1850&lt;0,B1851&lt;&gt;0)),IF(D1851=0,C1851,C1851*(1-ABS(D1851)/(ABS(D1851)+ABS(D1850)))+C1850*(1-ABS(D1850)/(ABS(D1851)+ABS(D1850)))),"")))</f>
        <v>#NAME?</v>
      </c>
    </row>
    <row r="1852" spans="2:5" x14ac:dyDescent="0.25">
      <c r="B1852" t="e">
        <f t="shared" ca="1" si="59"/>
        <v>#NAME?</v>
      </c>
      <c r="C1852">
        <v>1809</v>
      </c>
      <c r="D1852" t="e">
        <f t="shared" ca="1" si="58"/>
        <v>#NAME?</v>
      </c>
      <c r="E1852" s="115" t="e">
        <f t="array" aca="1" ref="E1852" ca="1">IF(OR(C1851=0,AND(B1853=0,C1853=0)),"",IFERROR(INDEX($F$27:$F$36,MATCH(C1852,($F$27:$F$36)*($D$27:$D$36&lt;&gt;0),0)),IF(OR(AND(D1852=0,B1852=0,B1853&lt;&gt;0),AND(D1852*D1851&lt;0,B1852&lt;&gt;0)),IF(D1852=0,C1852,C1852*(1-ABS(D1852)/(ABS(D1852)+ABS(D1851)))+C1851*(1-ABS(D1851)/(ABS(D1852)+ABS(D1851)))),"")))</f>
        <v>#NAME?</v>
      </c>
    </row>
    <row r="1853" spans="2:5" x14ac:dyDescent="0.25">
      <c r="B1853" t="e">
        <f t="shared" ca="1" si="59"/>
        <v>#NAME?</v>
      </c>
      <c r="C1853">
        <v>1810</v>
      </c>
      <c r="D1853" t="e">
        <f t="shared" ca="1" si="58"/>
        <v>#NAME?</v>
      </c>
      <c r="E1853" s="115" t="e">
        <f t="array" aca="1" ref="E1853" ca="1">IF(OR(C1852=0,AND(B1854=0,C1854=0)),"",IFERROR(INDEX($F$27:$F$36,MATCH(C1853,($F$27:$F$36)*($D$27:$D$36&lt;&gt;0),0)),IF(OR(AND(D1853=0,B1853=0,B1854&lt;&gt;0),AND(D1853*D1852&lt;0,B1853&lt;&gt;0)),IF(D1853=0,C1853,C1853*(1-ABS(D1853)/(ABS(D1853)+ABS(D1852)))+C1852*(1-ABS(D1852)/(ABS(D1853)+ABS(D1852)))),"")))</f>
        <v>#NAME?</v>
      </c>
    </row>
    <row r="1854" spans="2:5" x14ac:dyDescent="0.25">
      <c r="B1854" t="e">
        <f t="shared" ca="1" si="59"/>
        <v>#NAME?</v>
      </c>
      <c r="C1854">
        <v>1811</v>
      </c>
      <c r="D1854" t="e">
        <f t="shared" ca="1" si="58"/>
        <v>#NAME?</v>
      </c>
      <c r="E1854" s="115" t="e">
        <f t="array" aca="1" ref="E1854" ca="1">IF(OR(C1853=0,AND(B1855=0,C1855=0)),"",IFERROR(INDEX($F$27:$F$36,MATCH(C1854,($F$27:$F$36)*($D$27:$D$36&lt;&gt;0),0)),IF(OR(AND(D1854=0,B1854=0,B1855&lt;&gt;0),AND(D1854*D1853&lt;0,B1854&lt;&gt;0)),IF(D1854=0,C1854,C1854*(1-ABS(D1854)/(ABS(D1854)+ABS(D1853)))+C1853*(1-ABS(D1853)/(ABS(D1854)+ABS(D1853)))),"")))</f>
        <v>#NAME?</v>
      </c>
    </row>
    <row r="1855" spans="2:5" x14ac:dyDescent="0.25">
      <c r="B1855" t="e">
        <f t="shared" ca="1" si="59"/>
        <v>#NAME?</v>
      </c>
      <c r="C1855">
        <v>1812</v>
      </c>
      <c r="D1855" t="e">
        <f t="shared" ca="1" si="58"/>
        <v>#NAME?</v>
      </c>
      <c r="E1855" s="115" t="e">
        <f t="array" aca="1" ref="E1855" ca="1">IF(OR(C1854=0,AND(B1856=0,C1856=0)),"",IFERROR(INDEX($F$27:$F$36,MATCH(C1855,($F$27:$F$36)*($D$27:$D$36&lt;&gt;0),0)),IF(OR(AND(D1855=0,B1855=0,B1856&lt;&gt;0),AND(D1855*D1854&lt;0,B1855&lt;&gt;0)),IF(D1855=0,C1855,C1855*(1-ABS(D1855)/(ABS(D1855)+ABS(D1854)))+C1854*(1-ABS(D1854)/(ABS(D1855)+ABS(D1854)))),"")))</f>
        <v>#NAME?</v>
      </c>
    </row>
    <row r="1856" spans="2:5" x14ac:dyDescent="0.25">
      <c r="B1856" t="e">
        <f t="shared" ca="1" si="59"/>
        <v>#NAME?</v>
      </c>
      <c r="C1856">
        <v>1813</v>
      </c>
      <c r="D1856" t="e">
        <f t="shared" ca="1" si="58"/>
        <v>#NAME?</v>
      </c>
      <c r="E1856" s="115" t="e">
        <f t="array" aca="1" ref="E1856" ca="1">IF(OR(C1855=0,AND(B1857=0,C1857=0)),"",IFERROR(INDEX($F$27:$F$36,MATCH(C1856,($F$27:$F$36)*($D$27:$D$36&lt;&gt;0),0)),IF(OR(AND(D1856=0,B1856=0,B1857&lt;&gt;0),AND(D1856*D1855&lt;0,B1856&lt;&gt;0)),IF(D1856=0,C1856,C1856*(1-ABS(D1856)/(ABS(D1856)+ABS(D1855)))+C1855*(1-ABS(D1855)/(ABS(D1856)+ABS(D1855)))),"")))</f>
        <v>#NAME?</v>
      </c>
    </row>
    <row r="1857" spans="2:5" x14ac:dyDescent="0.25">
      <c r="B1857" t="e">
        <f t="shared" ca="1" si="59"/>
        <v>#NAME?</v>
      </c>
      <c r="C1857">
        <v>1814</v>
      </c>
      <c r="D1857" t="e">
        <f t="shared" ca="1" si="58"/>
        <v>#NAME?</v>
      </c>
      <c r="E1857" s="115" t="e">
        <f t="array" aca="1" ref="E1857" ca="1">IF(OR(C1856=0,AND(B1858=0,C1858=0)),"",IFERROR(INDEX($F$27:$F$36,MATCH(C1857,($F$27:$F$36)*($D$27:$D$36&lt;&gt;0),0)),IF(OR(AND(D1857=0,B1857=0,B1858&lt;&gt;0),AND(D1857*D1856&lt;0,B1857&lt;&gt;0)),IF(D1857=0,C1857,C1857*(1-ABS(D1857)/(ABS(D1857)+ABS(D1856)))+C1856*(1-ABS(D1856)/(ABS(D1857)+ABS(D1856)))),"")))</f>
        <v>#NAME?</v>
      </c>
    </row>
    <row r="1858" spans="2:5" x14ac:dyDescent="0.25">
      <c r="B1858" t="e">
        <f t="shared" ca="1" si="59"/>
        <v>#NAME?</v>
      </c>
      <c r="C1858">
        <v>1815</v>
      </c>
      <c r="D1858" t="e">
        <f t="shared" ca="1" si="58"/>
        <v>#NAME?</v>
      </c>
      <c r="E1858" s="115" t="e">
        <f t="array" aca="1" ref="E1858" ca="1">IF(OR(C1857=0,AND(B1859=0,C1859=0)),"",IFERROR(INDEX($F$27:$F$36,MATCH(C1858,($F$27:$F$36)*($D$27:$D$36&lt;&gt;0),0)),IF(OR(AND(D1858=0,B1858=0,B1859&lt;&gt;0),AND(D1858*D1857&lt;0,B1858&lt;&gt;0)),IF(D1858=0,C1858,C1858*(1-ABS(D1858)/(ABS(D1858)+ABS(D1857)))+C1857*(1-ABS(D1857)/(ABS(D1858)+ABS(D1857)))),"")))</f>
        <v>#NAME?</v>
      </c>
    </row>
    <row r="1859" spans="2:5" x14ac:dyDescent="0.25">
      <c r="B1859" t="e">
        <f t="shared" ca="1" si="59"/>
        <v>#NAME?</v>
      </c>
      <c r="C1859">
        <v>1816</v>
      </c>
      <c r="D1859" t="e">
        <f t="shared" ca="1" si="58"/>
        <v>#NAME?</v>
      </c>
      <c r="E1859" s="115" t="e">
        <f t="array" aca="1" ref="E1859" ca="1">IF(OR(C1858=0,AND(B1860=0,C1860=0)),"",IFERROR(INDEX($F$27:$F$36,MATCH(C1859,($F$27:$F$36)*($D$27:$D$36&lt;&gt;0),0)),IF(OR(AND(D1859=0,B1859=0,B1860&lt;&gt;0),AND(D1859*D1858&lt;0,B1859&lt;&gt;0)),IF(D1859=0,C1859,C1859*(1-ABS(D1859)/(ABS(D1859)+ABS(D1858)))+C1858*(1-ABS(D1858)/(ABS(D1859)+ABS(D1858)))),"")))</f>
        <v>#NAME?</v>
      </c>
    </row>
    <row r="1860" spans="2:5" x14ac:dyDescent="0.25">
      <c r="B1860" t="e">
        <f t="shared" ca="1" si="59"/>
        <v>#NAME?</v>
      </c>
      <c r="C1860">
        <v>1817</v>
      </c>
      <c r="D1860" t="e">
        <f t="shared" ca="1" si="58"/>
        <v>#NAME?</v>
      </c>
      <c r="E1860" s="115" t="e">
        <f t="array" aca="1" ref="E1860" ca="1">IF(OR(C1859=0,AND(B1861=0,C1861=0)),"",IFERROR(INDEX($F$27:$F$36,MATCH(C1860,($F$27:$F$36)*($D$27:$D$36&lt;&gt;0),0)),IF(OR(AND(D1860=0,B1860=0,B1861&lt;&gt;0),AND(D1860*D1859&lt;0,B1860&lt;&gt;0)),IF(D1860=0,C1860,C1860*(1-ABS(D1860)/(ABS(D1860)+ABS(D1859)))+C1859*(1-ABS(D1859)/(ABS(D1860)+ABS(D1859)))),"")))</f>
        <v>#NAME?</v>
      </c>
    </row>
    <row r="1861" spans="2:5" x14ac:dyDescent="0.25">
      <c r="B1861" t="e">
        <f t="shared" ca="1" si="59"/>
        <v>#NAME?</v>
      </c>
      <c r="C1861">
        <v>1818</v>
      </c>
      <c r="D1861" t="e">
        <f t="shared" ca="1" si="58"/>
        <v>#NAME?</v>
      </c>
      <c r="E1861" s="115" t="e">
        <f t="array" aca="1" ref="E1861" ca="1">IF(OR(C1860=0,AND(B1862=0,C1862=0)),"",IFERROR(INDEX($F$27:$F$36,MATCH(C1861,($F$27:$F$36)*($D$27:$D$36&lt;&gt;0),0)),IF(OR(AND(D1861=0,B1861=0,B1862&lt;&gt;0),AND(D1861*D1860&lt;0,B1861&lt;&gt;0)),IF(D1861=0,C1861,C1861*(1-ABS(D1861)/(ABS(D1861)+ABS(D1860)))+C1860*(1-ABS(D1860)/(ABS(D1861)+ABS(D1860)))),"")))</f>
        <v>#NAME?</v>
      </c>
    </row>
    <row r="1862" spans="2:5" x14ac:dyDescent="0.25">
      <c r="B1862" t="e">
        <f t="shared" ca="1" si="59"/>
        <v>#NAME?</v>
      </c>
      <c r="C1862">
        <v>1819</v>
      </c>
      <c r="D1862" t="e">
        <f t="shared" ca="1" si="58"/>
        <v>#NAME?</v>
      </c>
      <c r="E1862" s="115" t="e">
        <f t="array" aca="1" ref="E1862" ca="1">IF(OR(C1861=0,AND(B1863=0,C1863=0)),"",IFERROR(INDEX($F$27:$F$36,MATCH(C1862,($F$27:$F$36)*($D$27:$D$36&lt;&gt;0),0)),IF(OR(AND(D1862=0,B1862=0,B1863&lt;&gt;0),AND(D1862*D1861&lt;0,B1862&lt;&gt;0)),IF(D1862=0,C1862,C1862*(1-ABS(D1862)/(ABS(D1862)+ABS(D1861)))+C1861*(1-ABS(D1861)/(ABS(D1862)+ABS(D1861)))),"")))</f>
        <v>#NAME?</v>
      </c>
    </row>
    <row r="1863" spans="2:5" x14ac:dyDescent="0.25">
      <c r="B1863" t="e">
        <f t="shared" ca="1" si="59"/>
        <v>#NAME?</v>
      </c>
      <c r="C1863">
        <v>1820</v>
      </c>
      <c r="D1863" t="e">
        <f t="shared" ca="1" si="58"/>
        <v>#NAME?</v>
      </c>
      <c r="E1863" s="115" t="e">
        <f t="array" aca="1" ref="E1863" ca="1">IF(OR(C1862=0,AND(B1864=0,C1864=0)),"",IFERROR(INDEX($F$27:$F$36,MATCH(C1863,($F$27:$F$36)*($D$27:$D$36&lt;&gt;0),0)),IF(OR(AND(D1863=0,B1863=0,B1864&lt;&gt;0),AND(D1863*D1862&lt;0,B1863&lt;&gt;0)),IF(D1863=0,C1863,C1863*(1-ABS(D1863)/(ABS(D1863)+ABS(D1862)))+C1862*(1-ABS(D1862)/(ABS(D1863)+ABS(D1862)))),"")))</f>
        <v>#NAME?</v>
      </c>
    </row>
    <row r="1864" spans="2:5" x14ac:dyDescent="0.25">
      <c r="B1864" t="e">
        <f t="shared" ca="1" si="59"/>
        <v>#NAME?</v>
      </c>
      <c r="C1864">
        <v>1821</v>
      </c>
      <c r="D1864" t="e">
        <f t="shared" ca="1" si="58"/>
        <v>#NAME?</v>
      </c>
      <c r="E1864" s="115" t="e">
        <f t="array" aca="1" ref="E1864" ca="1">IF(OR(C1863=0,AND(B1865=0,C1865=0)),"",IFERROR(INDEX($F$27:$F$36,MATCH(C1864,($F$27:$F$36)*($D$27:$D$36&lt;&gt;0),0)),IF(OR(AND(D1864=0,B1864=0,B1865&lt;&gt;0),AND(D1864*D1863&lt;0,B1864&lt;&gt;0)),IF(D1864=0,C1864,C1864*(1-ABS(D1864)/(ABS(D1864)+ABS(D1863)))+C1863*(1-ABS(D1863)/(ABS(D1864)+ABS(D1863)))),"")))</f>
        <v>#NAME?</v>
      </c>
    </row>
    <row r="1865" spans="2:5" x14ac:dyDescent="0.25">
      <c r="B1865" t="e">
        <f t="shared" ca="1" si="59"/>
        <v>#NAME?</v>
      </c>
      <c r="C1865">
        <v>1822</v>
      </c>
      <c r="D1865" t="e">
        <f t="shared" ca="1" si="58"/>
        <v>#NAME?</v>
      </c>
      <c r="E1865" s="115" t="e">
        <f t="array" aca="1" ref="E1865" ca="1">IF(OR(C1864=0,AND(B1866=0,C1866=0)),"",IFERROR(INDEX($F$27:$F$36,MATCH(C1865,($F$27:$F$36)*($D$27:$D$36&lt;&gt;0),0)),IF(OR(AND(D1865=0,B1865=0,B1866&lt;&gt;0),AND(D1865*D1864&lt;0,B1865&lt;&gt;0)),IF(D1865=0,C1865,C1865*(1-ABS(D1865)/(ABS(D1865)+ABS(D1864)))+C1864*(1-ABS(D1864)/(ABS(D1865)+ABS(D1864)))),"")))</f>
        <v>#NAME?</v>
      </c>
    </row>
    <row r="1866" spans="2:5" x14ac:dyDescent="0.25">
      <c r="B1866" t="e">
        <f t="shared" ca="1" si="59"/>
        <v>#NAME?</v>
      </c>
      <c r="C1866">
        <v>1823</v>
      </c>
      <c r="D1866" t="e">
        <f t="shared" ca="1" si="58"/>
        <v>#NAME?</v>
      </c>
      <c r="E1866" s="115" t="e">
        <f t="array" aca="1" ref="E1866" ca="1">IF(OR(C1865=0,AND(B1867=0,C1867=0)),"",IFERROR(INDEX($F$27:$F$36,MATCH(C1866,($F$27:$F$36)*($D$27:$D$36&lt;&gt;0),0)),IF(OR(AND(D1866=0,B1866=0,B1867&lt;&gt;0),AND(D1866*D1865&lt;0,B1866&lt;&gt;0)),IF(D1866=0,C1866,C1866*(1-ABS(D1866)/(ABS(D1866)+ABS(D1865)))+C1865*(1-ABS(D1865)/(ABS(D1866)+ABS(D1865)))),"")))</f>
        <v>#NAME?</v>
      </c>
    </row>
    <row r="1867" spans="2:5" x14ac:dyDescent="0.25">
      <c r="B1867" t="e">
        <f t="shared" ca="1" si="59"/>
        <v>#NAME?</v>
      </c>
      <c r="C1867">
        <v>1824</v>
      </c>
      <c r="D1867" t="e">
        <f t="shared" ca="1" si="58"/>
        <v>#NAME?</v>
      </c>
      <c r="E1867" s="115" t="e">
        <f t="array" aca="1" ref="E1867" ca="1">IF(OR(C1866=0,AND(B1868=0,C1868=0)),"",IFERROR(INDEX($F$27:$F$36,MATCH(C1867,($F$27:$F$36)*($D$27:$D$36&lt;&gt;0),0)),IF(OR(AND(D1867=0,B1867=0,B1868&lt;&gt;0),AND(D1867*D1866&lt;0,B1867&lt;&gt;0)),IF(D1867=0,C1867,C1867*(1-ABS(D1867)/(ABS(D1867)+ABS(D1866)))+C1866*(1-ABS(D1866)/(ABS(D1867)+ABS(D1866)))),"")))</f>
        <v>#NAME?</v>
      </c>
    </row>
    <row r="1868" spans="2:5" x14ac:dyDescent="0.25">
      <c r="B1868" t="e">
        <f t="shared" ca="1" si="59"/>
        <v>#NAME?</v>
      </c>
      <c r="C1868">
        <v>1825</v>
      </c>
      <c r="D1868" t="e">
        <f t="shared" ca="1" si="58"/>
        <v>#NAME?</v>
      </c>
      <c r="E1868" s="115" t="e">
        <f t="array" aca="1" ref="E1868" ca="1">IF(OR(C1867=0,AND(B1869=0,C1869=0)),"",IFERROR(INDEX($F$27:$F$36,MATCH(C1868,($F$27:$F$36)*($D$27:$D$36&lt;&gt;0),0)),IF(OR(AND(D1868=0,B1868=0,B1869&lt;&gt;0),AND(D1868*D1867&lt;0,B1868&lt;&gt;0)),IF(D1868=0,C1868,C1868*(1-ABS(D1868)/(ABS(D1868)+ABS(D1867)))+C1867*(1-ABS(D1867)/(ABS(D1868)+ABS(D1867)))),"")))</f>
        <v>#NAME?</v>
      </c>
    </row>
    <row r="1869" spans="2:5" x14ac:dyDescent="0.25">
      <c r="B1869" t="e">
        <f t="shared" ca="1" si="59"/>
        <v>#NAME?</v>
      </c>
      <c r="C1869">
        <v>1826</v>
      </c>
      <c r="D1869" t="e">
        <f t="shared" ca="1" si="58"/>
        <v>#NAME?</v>
      </c>
      <c r="E1869" s="115" t="e">
        <f t="array" aca="1" ref="E1869" ca="1">IF(OR(C1868=0,AND(B1870=0,C1870=0)),"",IFERROR(INDEX($F$27:$F$36,MATCH(C1869,($F$27:$F$36)*($D$27:$D$36&lt;&gt;0),0)),IF(OR(AND(D1869=0,B1869=0,B1870&lt;&gt;0),AND(D1869*D1868&lt;0,B1869&lt;&gt;0)),IF(D1869=0,C1869,C1869*(1-ABS(D1869)/(ABS(D1869)+ABS(D1868)))+C1868*(1-ABS(D1868)/(ABS(D1869)+ABS(D1868)))),"")))</f>
        <v>#NAME?</v>
      </c>
    </row>
    <row r="1870" spans="2:5" x14ac:dyDescent="0.25">
      <c r="B1870" t="e">
        <f t="shared" ca="1" si="59"/>
        <v>#NAME?</v>
      </c>
      <c r="C1870">
        <v>1827</v>
      </c>
      <c r="D1870" t="e">
        <f t="shared" ca="1" si="58"/>
        <v>#NAME?</v>
      </c>
      <c r="E1870" s="115" t="e">
        <f t="array" aca="1" ref="E1870" ca="1">IF(OR(C1869=0,AND(B1871=0,C1871=0)),"",IFERROR(INDEX($F$27:$F$36,MATCH(C1870,($F$27:$F$36)*($D$27:$D$36&lt;&gt;0),0)),IF(OR(AND(D1870=0,B1870=0,B1871&lt;&gt;0),AND(D1870*D1869&lt;0,B1870&lt;&gt;0)),IF(D1870=0,C1870,C1870*(1-ABS(D1870)/(ABS(D1870)+ABS(D1869)))+C1869*(1-ABS(D1869)/(ABS(D1870)+ABS(D1869)))),"")))</f>
        <v>#NAME?</v>
      </c>
    </row>
    <row r="1871" spans="2:5" x14ac:dyDescent="0.25">
      <c r="B1871" t="e">
        <f t="shared" ca="1" si="59"/>
        <v>#NAME?</v>
      </c>
      <c r="C1871">
        <v>1828</v>
      </c>
      <c r="D1871" t="e">
        <f t="shared" ca="1" si="58"/>
        <v>#NAME?</v>
      </c>
      <c r="E1871" s="115" t="e">
        <f t="array" aca="1" ref="E1871" ca="1">IF(OR(C1870=0,AND(B1872=0,C1872=0)),"",IFERROR(INDEX($F$27:$F$36,MATCH(C1871,($F$27:$F$36)*($D$27:$D$36&lt;&gt;0),0)),IF(OR(AND(D1871=0,B1871=0,B1872&lt;&gt;0),AND(D1871*D1870&lt;0,B1871&lt;&gt;0)),IF(D1871=0,C1871,C1871*(1-ABS(D1871)/(ABS(D1871)+ABS(D1870)))+C1870*(1-ABS(D1870)/(ABS(D1871)+ABS(D1870)))),"")))</f>
        <v>#NAME?</v>
      </c>
    </row>
    <row r="1872" spans="2:5" x14ac:dyDescent="0.25">
      <c r="B1872" t="e">
        <f t="shared" ca="1" si="59"/>
        <v>#NAME?</v>
      </c>
      <c r="C1872">
        <v>1829</v>
      </c>
      <c r="D1872" t="e">
        <f t="shared" ca="1" si="58"/>
        <v>#NAME?</v>
      </c>
      <c r="E1872" s="115" t="e">
        <f t="array" aca="1" ref="E1872" ca="1">IF(OR(C1871=0,AND(B1873=0,C1873=0)),"",IFERROR(INDEX($F$27:$F$36,MATCH(C1872,($F$27:$F$36)*($D$27:$D$36&lt;&gt;0),0)),IF(OR(AND(D1872=0,B1872=0,B1873&lt;&gt;0),AND(D1872*D1871&lt;0,B1872&lt;&gt;0)),IF(D1872=0,C1872,C1872*(1-ABS(D1872)/(ABS(D1872)+ABS(D1871)))+C1871*(1-ABS(D1871)/(ABS(D1872)+ABS(D1871)))),"")))</f>
        <v>#NAME?</v>
      </c>
    </row>
    <row r="1873" spans="2:5" x14ac:dyDescent="0.25">
      <c r="B1873" t="e">
        <f t="shared" ca="1" si="59"/>
        <v>#NAME?</v>
      </c>
      <c r="C1873">
        <v>1830</v>
      </c>
      <c r="D1873" t="e">
        <f t="shared" ca="1" si="58"/>
        <v>#NAME?</v>
      </c>
      <c r="E1873" s="115" t="e">
        <f t="array" aca="1" ref="E1873" ca="1">IF(OR(C1872=0,AND(B1874=0,C1874=0)),"",IFERROR(INDEX($F$27:$F$36,MATCH(C1873,($F$27:$F$36)*($D$27:$D$36&lt;&gt;0),0)),IF(OR(AND(D1873=0,B1873=0,B1874&lt;&gt;0),AND(D1873*D1872&lt;0,B1873&lt;&gt;0)),IF(D1873=0,C1873,C1873*(1-ABS(D1873)/(ABS(D1873)+ABS(D1872)))+C1872*(1-ABS(D1872)/(ABS(D1873)+ABS(D1872)))),"")))</f>
        <v>#NAME?</v>
      </c>
    </row>
    <row r="1874" spans="2:5" x14ac:dyDescent="0.25">
      <c r="B1874" t="e">
        <f t="shared" ca="1" si="59"/>
        <v>#NAME?</v>
      </c>
      <c r="C1874">
        <v>1831</v>
      </c>
      <c r="D1874" t="e">
        <f t="shared" ca="1" si="58"/>
        <v>#NAME?</v>
      </c>
      <c r="E1874" s="115" t="e">
        <f t="array" aca="1" ref="E1874" ca="1">IF(OR(C1873=0,AND(B1875=0,C1875=0)),"",IFERROR(INDEX($F$27:$F$36,MATCH(C1874,($F$27:$F$36)*($D$27:$D$36&lt;&gt;0),0)),IF(OR(AND(D1874=0,B1874=0,B1875&lt;&gt;0),AND(D1874*D1873&lt;0,B1874&lt;&gt;0)),IF(D1874=0,C1874,C1874*(1-ABS(D1874)/(ABS(D1874)+ABS(D1873)))+C1873*(1-ABS(D1873)/(ABS(D1874)+ABS(D1873)))),"")))</f>
        <v>#NAME?</v>
      </c>
    </row>
    <row r="1875" spans="2:5" x14ac:dyDescent="0.25">
      <c r="B1875" t="e">
        <f t="shared" ca="1" si="59"/>
        <v>#NAME?</v>
      </c>
      <c r="C1875">
        <v>1832</v>
      </c>
      <c r="D1875" t="e">
        <f t="shared" ca="1" si="58"/>
        <v>#NAME?</v>
      </c>
      <c r="E1875" s="115" t="e">
        <f t="array" aca="1" ref="E1875" ca="1">IF(OR(C1874=0,AND(B1876=0,C1876=0)),"",IFERROR(INDEX($F$27:$F$36,MATCH(C1875,($F$27:$F$36)*($D$27:$D$36&lt;&gt;0),0)),IF(OR(AND(D1875=0,B1875=0,B1876&lt;&gt;0),AND(D1875*D1874&lt;0,B1875&lt;&gt;0)),IF(D1875=0,C1875,C1875*(1-ABS(D1875)/(ABS(D1875)+ABS(D1874)))+C1874*(1-ABS(D1874)/(ABS(D1875)+ABS(D1874)))),"")))</f>
        <v>#NAME?</v>
      </c>
    </row>
    <row r="1876" spans="2:5" x14ac:dyDescent="0.25">
      <c r="B1876" t="e">
        <f t="shared" ca="1" si="59"/>
        <v>#NAME?</v>
      </c>
      <c r="C1876">
        <v>1833</v>
      </c>
      <c r="D1876" t="e">
        <f t="shared" ca="1" si="58"/>
        <v>#NAME?</v>
      </c>
      <c r="E1876" s="115" t="e">
        <f t="array" aca="1" ref="E1876" ca="1">IF(OR(C1875=0,AND(B1877=0,C1877=0)),"",IFERROR(INDEX($F$27:$F$36,MATCH(C1876,($F$27:$F$36)*($D$27:$D$36&lt;&gt;0),0)),IF(OR(AND(D1876=0,B1876=0,B1877&lt;&gt;0),AND(D1876*D1875&lt;0,B1876&lt;&gt;0)),IF(D1876=0,C1876,C1876*(1-ABS(D1876)/(ABS(D1876)+ABS(D1875)))+C1875*(1-ABS(D1875)/(ABS(D1876)+ABS(D1875)))),"")))</f>
        <v>#NAME?</v>
      </c>
    </row>
    <row r="1877" spans="2:5" x14ac:dyDescent="0.25">
      <c r="B1877" t="e">
        <f t="shared" ca="1" si="59"/>
        <v>#NAME?</v>
      </c>
      <c r="C1877">
        <v>1834</v>
      </c>
      <c r="D1877" t="e">
        <f t="shared" ca="1" si="58"/>
        <v>#NAME?</v>
      </c>
      <c r="E1877" s="115" t="e">
        <f t="array" aca="1" ref="E1877" ca="1">IF(OR(C1876=0,AND(B1878=0,C1878=0)),"",IFERROR(INDEX($F$27:$F$36,MATCH(C1877,($F$27:$F$36)*($D$27:$D$36&lt;&gt;0),0)),IF(OR(AND(D1877=0,B1877=0,B1878&lt;&gt;0),AND(D1877*D1876&lt;0,B1877&lt;&gt;0)),IF(D1877=0,C1877,C1877*(1-ABS(D1877)/(ABS(D1877)+ABS(D1876)))+C1876*(1-ABS(D1876)/(ABS(D1877)+ABS(D1876)))),"")))</f>
        <v>#NAME?</v>
      </c>
    </row>
    <row r="1878" spans="2:5" x14ac:dyDescent="0.25">
      <c r="B1878" t="e">
        <f t="shared" ca="1" si="59"/>
        <v>#NAME?</v>
      </c>
      <c r="C1878">
        <v>1835</v>
      </c>
      <c r="D1878" t="e">
        <f t="shared" ca="1" si="58"/>
        <v>#NAME?</v>
      </c>
      <c r="E1878" s="115" t="e">
        <f t="array" aca="1" ref="E1878" ca="1">IF(OR(C1877=0,AND(B1879=0,C1879=0)),"",IFERROR(INDEX($F$27:$F$36,MATCH(C1878,($F$27:$F$36)*($D$27:$D$36&lt;&gt;0),0)),IF(OR(AND(D1878=0,B1878=0,B1879&lt;&gt;0),AND(D1878*D1877&lt;0,B1878&lt;&gt;0)),IF(D1878=0,C1878,C1878*(1-ABS(D1878)/(ABS(D1878)+ABS(D1877)))+C1877*(1-ABS(D1877)/(ABS(D1878)+ABS(D1877)))),"")))</f>
        <v>#NAME?</v>
      </c>
    </row>
    <row r="1879" spans="2:5" x14ac:dyDescent="0.25">
      <c r="B1879" t="e">
        <f t="shared" ca="1" si="59"/>
        <v>#NAME?</v>
      </c>
      <c r="C1879">
        <v>1836</v>
      </c>
      <c r="D1879" t="e">
        <f t="shared" ca="1" si="58"/>
        <v>#NAME?</v>
      </c>
      <c r="E1879" s="115" t="e">
        <f t="array" aca="1" ref="E1879" ca="1">IF(OR(C1878=0,AND(B1880=0,C1880=0)),"",IFERROR(INDEX($F$27:$F$36,MATCH(C1879,($F$27:$F$36)*($D$27:$D$36&lt;&gt;0),0)),IF(OR(AND(D1879=0,B1879=0,B1880&lt;&gt;0),AND(D1879*D1878&lt;0,B1879&lt;&gt;0)),IF(D1879=0,C1879,C1879*(1-ABS(D1879)/(ABS(D1879)+ABS(D1878)))+C1878*(1-ABS(D1878)/(ABS(D1879)+ABS(D1878)))),"")))</f>
        <v>#NAME?</v>
      </c>
    </row>
    <row r="1880" spans="2:5" x14ac:dyDescent="0.25">
      <c r="B1880" t="e">
        <f t="shared" ca="1" si="59"/>
        <v>#NAME?</v>
      </c>
      <c r="C1880">
        <v>1837</v>
      </c>
      <c r="D1880" t="e">
        <f t="shared" ca="1" si="58"/>
        <v>#NAME?</v>
      </c>
      <c r="E1880" s="115" t="e">
        <f t="array" aca="1" ref="E1880" ca="1">IF(OR(C1879=0,AND(B1881=0,C1881=0)),"",IFERROR(INDEX($F$27:$F$36,MATCH(C1880,($F$27:$F$36)*($D$27:$D$36&lt;&gt;0),0)),IF(OR(AND(D1880=0,B1880=0,B1881&lt;&gt;0),AND(D1880*D1879&lt;0,B1880&lt;&gt;0)),IF(D1880=0,C1880,C1880*(1-ABS(D1880)/(ABS(D1880)+ABS(D1879)))+C1879*(1-ABS(D1879)/(ABS(D1880)+ABS(D1879)))),"")))</f>
        <v>#NAME?</v>
      </c>
    </row>
    <row r="1881" spans="2:5" x14ac:dyDescent="0.25">
      <c r="B1881" t="e">
        <f t="shared" ca="1" si="59"/>
        <v>#NAME?</v>
      </c>
      <c r="C1881">
        <v>1838</v>
      </c>
      <c r="D1881" t="e">
        <f t="shared" ca="1" si="58"/>
        <v>#NAME?</v>
      </c>
      <c r="E1881" s="115" t="e">
        <f t="array" aca="1" ref="E1881" ca="1">IF(OR(C1880=0,AND(B1882=0,C1882=0)),"",IFERROR(INDEX($F$27:$F$36,MATCH(C1881,($F$27:$F$36)*($D$27:$D$36&lt;&gt;0),0)),IF(OR(AND(D1881=0,B1881=0,B1882&lt;&gt;0),AND(D1881*D1880&lt;0,B1881&lt;&gt;0)),IF(D1881=0,C1881,C1881*(1-ABS(D1881)/(ABS(D1881)+ABS(D1880)))+C1880*(1-ABS(D1880)/(ABS(D1881)+ABS(D1880)))),"")))</f>
        <v>#NAME?</v>
      </c>
    </row>
    <row r="1882" spans="2:5" x14ac:dyDescent="0.25">
      <c r="B1882" t="e">
        <f t="shared" ca="1" si="59"/>
        <v>#NAME?</v>
      </c>
      <c r="C1882">
        <v>1839</v>
      </c>
      <c r="D1882" t="e">
        <f t="shared" ca="1" si="58"/>
        <v>#NAME?</v>
      </c>
      <c r="E1882" s="115" t="e">
        <f t="array" aca="1" ref="E1882" ca="1">IF(OR(C1881=0,AND(B1883=0,C1883=0)),"",IFERROR(INDEX($F$27:$F$36,MATCH(C1882,($F$27:$F$36)*($D$27:$D$36&lt;&gt;0),0)),IF(OR(AND(D1882=0,B1882=0,B1883&lt;&gt;0),AND(D1882*D1881&lt;0,B1882&lt;&gt;0)),IF(D1882=0,C1882,C1882*(1-ABS(D1882)/(ABS(D1882)+ABS(D1881)))+C1881*(1-ABS(D1881)/(ABS(D1882)+ABS(D1881)))),"")))</f>
        <v>#NAME?</v>
      </c>
    </row>
    <row r="1883" spans="2:5" x14ac:dyDescent="0.25">
      <c r="B1883" t="e">
        <f t="shared" ca="1" si="59"/>
        <v>#NAME?</v>
      </c>
      <c r="C1883">
        <v>1840</v>
      </c>
      <c r="D1883" t="e">
        <f t="shared" ca="1" si="58"/>
        <v>#NAME?</v>
      </c>
      <c r="E1883" s="115" t="e">
        <f t="array" aca="1" ref="E1883" ca="1">IF(OR(C1882=0,AND(B1884=0,C1884=0)),"",IFERROR(INDEX($F$27:$F$36,MATCH(C1883,($F$27:$F$36)*($D$27:$D$36&lt;&gt;0),0)),IF(OR(AND(D1883=0,B1883=0,B1884&lt;&gt;0),AND(D1883*D1882&lt;0,B1883&lt;&gt;0)),IF(D1883=0,C1883,C1883*(1-ABS(D1883)/(ABS(D1883)+ABS(D1882)))+C1882*(1-ABS(D1882)/(ABS(D1883)+ABS(D1882)))),"")))</f>
        <v>#NAME?</v>
      </c>
    </row>
    <row r="1884" spans="2:5" x14ac:dyDescent="0.25">
      <c r="B1884" t="e">
        <f t="shared" ca="1" si="59"/>
        <v>#NAME?</v>
      </c>
      <c r="C1884">
        <v>1841</v>
      </c>
      <c r="D1884" t="e">
        <f t="shared" ca="1" si="58"/>
        <v>#NAME?</v>
      </c>
      <c r="E1884" s="115" t="e">
        <f t="array" aca="1" ref="E1884" ca="1">IF(OR(C1883=0,AND(B1885=0,C1885=0)),"",IFERROR(INDEX($F$27:$F$36,MATCH(C1884,($F$27:$F$36)*($D$27:$D$36&lt;&gt;0),0)),IF(OR(AND(D1884=0,B1884=0,B1885&lt;&gt;0),AND(D1884*D1883&lt;0,B1884&lt;&gt;0)),IF(D1884=0,C1884,C1884*(1-ABS(D1884)/(ABS(D1884)+ABS(D1883)))+C1883*(1-ABS(D1883)/(ABS(D1884)+ABS(D1883)))),"")))</f>
        <v>#NAME?</v>
      </c>
    </row>
    <row r="1885" spans="2:5" x14ac:dyDescent="0.25">
      <c r="B1885" t="e">
        <f t="shared" ca="1" si="59"/>
        <v>#NAME?</v>
      </c>
      <c r="C1885">
        <v>1842</v>
      </c>
      <c r="D1885" t="e">
        <f t="shared" ca="1" si="58"/>
        <v>#NAME?</v>
      </c>
      <c r="E1885" s="115" t="e">
        <f t="array" aca="1" ref="E1885" ca="1">IF(OR(C1884=0,AND(B1886=0,C1886=0)),"",IFERROR(INDEX($F$27:$F$36,MATCH(C1885,($F$27:$F$36)*($D$27:$D$36&lt;&gt;0),0)),IF(OR(AND(D1885=0,B1885=0,B1886&lt;&gt;0),AND(D1885*D1884&lt;0,B1885&lt;&gt;0)),IF(D1885=0,C1885,C1885*(1-ABS(D1885)/(ABS(D1885)+ABS(D1884)))+C1884*(1-ABS(D1884)/(ABS(D1885)+ABS(D1884)))),"")))</f>
        <v>#NAME?</v>
      </c>
    </row>
    <row r="1886" spans="2:5" x14ac:dyDescent="0.25">
      <c r="B1886" t="e">
        <f t="shared" ca="1" si="59"/>
        <v>#NAME?</v>
      </c>
      <c r="C1886">
        <v>1843</v>
      </c>
      <c r="D1886" t="e">
        <f t="shared" ca="1" si="58"/>
        <v>#NAME?</v>
      </c>
      <c r="E1886" s="115" t="e">
        <f t="array" aca="1" ref="E1886" ca="1">IF(OR(C1885=0,AND(B1887=0,C1887=0)),"",IFERROR(INDEX($F$27:$F$36,MATCH(C1886,($F$27:$F$36)*($D$27:$D$36&lt;&gt;0),0)),IF(OR(AND(D1886=0,B1886=0,B1887&lt;&gt;0),AND(D1886*D1885&lt;0,B1886&lt;&gt;0)),IF(D1886=0,C1886,C1886*(1-ABS(D1886)/(ABS(D1886)+ABS(D1885)))+C1885*(1-ABS(D1885)/(ABS(D1886)+ABS(D1885)))),"")))</f>
        <v>#NAME?</v>
      </c>
    </row>
    <row r="1887" spans="2:5" x14ac:dyDescent="0.25">
      <c r="B1887" t="e">
        <f t="shared" ca="1" si="59"/>
        <v>#NAME?</v>
      </c>
      <c r="C1887">
        <v>1844</v>
      </c>
      <c r="D1887" t="e">
        <f t="shared" ca="1" si="58"/>
        <v>#NAME?</v>
      </c>
      <c r="E1887" s="115" t="e">
        <f t="array" aca="1" ref="E1887" ca="1">IF(OR(C1886=0,AND(B1888=0,C1888=0)),"",IFERROR(INDEX($F$27:$F$36,MATCH(C1887,($F$27:$F$36)*($D$27:$D$36&lt;&gt;0),0)),IF(OR(AND(D1887=0,B1887=0,B1888&lt;&gt;0),AND(D1887*D1886&lt;0,B1887&lt;&gt;0)),IF(D1887=0,C1887,C1887*(1-ABS(D1887)/(ABS(D1887)+ABS(D1886)))+C1886*(1-ABS(D1886)/(ABS(D1887)+ABS(D1886)))),"")))</f>
        <v>#NAME?</v>
      </c>
    </row>
    <row r="1888" spans="2:5" x14ac:dyDescent="0.25">
      <c r="B1888" t="e">
        <f t="shared" ca="1" si="59"/>
        <v>#NAME?</v>
      </c>
      <c r="C1888">
        <v>1845</v>
      </c>
      <c r="D1888" t="e">
        <f t="shared" ca="1" si="58"/>
        <v>#NAME?</v>
      </c>
      <c r="E1888" s="115" t="e">
        <f t="array" aca="1" ref="E1888" ca="1">IF(OR(C1887=0,AND(B1889=0,C1889=0)),"",IFERROR(INDEX($F$27:$F$36,MATCH(C1888,($F$27:$F$36)*($D$27:$D$36&lt;&gt;0),0)),IF(OR(AND(D1888=0,B1888=0,B1889&lt;&gt;0),AND(D1888*D1887&lt;0,B1888&lt;&gt;0)),IF(D1888=0,C1888,C1888*(1-ABS(D1888)/(ABS(D1888)+ABS(D1887)))+C1887*(1-ABS(D1887)/(ABS(D1888)+ABS(D1887)))),"")))</f>
        <v>#NAME?</v>
      </c>
    </row>
    <row r="1889" spans="2:5" x14ac:dyDescent="0.25">
      <c r="B1889" t="e">
        <f t="shared" ca="1" si="59"/>
        <v>#NAME?</v>
      </c>
      <c r="C1889">
        <v>1846</v>
      </c>
      <c r="D1889" t="e">
        <f t="shared" ca="1" si="58"/>
        <v>#NAME?</v>
      </c>
      <c r="E1889" s="115" t="e">
        <f t="array" aca="1" ref="E1889" ca="1">IF(OR(C1888=0,AND(B1890=0,C1890=0)),"",IFERROR(INDEX($F$27:$F$36,MATCH(C1889,($F$27:$F$36)*($D$27:$D$36&lt;&gt;0),0)),IF(OR(AND(D1889=0,B1889=0,B1890&lt;&gt;0),AND(D1889*D1888&lt;0,B1889&lt;&gt;0)),IF(D1889=0,C1889,C1889*(1-ABS(D1889)/(ABS(D1889)+ABS(D1888)))+C1888*(1-ABS(D1888)/(ABS(D1889)+ABS(D1888)))),"")))</f>
        <v>#NAME?</v>
      </c>
    </row>
    <row r="1890" spans="2:5" x14ac:dyDescent="0.25">
      <c r="B1890" t="e">
        <f t="shared" ca="1" si="59"/>
        <v>#NAME?</v>
      </c>
      <c r="C1890">
        <v>1847</v>
      </c>
      <c r="D1890" t="e">
        <f t="shared" ca="1" si="58"/>
        <v>#NAME?</v>
      </c>
      <c r="E1890" s="115" t="e">
        <f t="array" aca="1" ref="E1890" ca="1">IF(OR(C1889=0,AND(B1891=0,C1891=0)),"",IFERROR(INDEX($F$27:$F$36,MATCH(C1890,($F$27:$F$36)*($D$27:$D$36&lt;&gt;0),0)),IF(OR(AND(D1890=0,B1890=0,B1891&lt;&gt;0),AND(D1890*D1889&lt;0,B1890&lt;&gt;0)),IF(D1890=0,C1890,C1890*(1-ABS(D1890)/(ABS(D1890)+ABS(D1889)))+C1889*(1-ABS(D1889)/(ABS(D1890)+ABS(D1889)))),"")))</f>
        <v>#NAME?</v>
      </c>
    </row>
    <row r="1891" spans="2:5" x14ac:dyDescent="0.25">
      <c r="B1891" t="e">
        <f t="shared" ca="1" si="59"/>
        <v>#NAME?</v>
      </c>
      <c r="C1891">
        <v>1848</v>
      </c>
      <c r="D1891" t="e">
        <f t="shared" ca="1" si="58"/>
        <v>#NAME?</v>
      </c>
      <c r="E1891" s="115" t="e">
        <f t="array" aca="1" ref="E1891" ca="1">IF(OR(C1890=0,AND(B1892=0,C1892=0)),"",IFERROR(INDEX($F$27:$F$36,MATCH(C1891,($F$27:$F$36)*($D$27:$D$36&lt;&gt;0),0)),IF(OR(AND(D1891=0,B1891=0,B1892&lt;&gt;0),AND(D1891*D1890&lt;0,B1891&lt;&gt;0)),IF(D1891=0,C1891,C1891*(1-ABS(D1891)/(ABS(D1891)+ABS(D1890)))+C1890*(1-ABS(D1890)/(ABS(D1891)+ABS(D1890)))),"")))</f>
        <v>#NAME?</v>
      </c>
    </row>
    <row r="1892" spans="2:5" x14ac:dyDescent="0.25">
      <c r="B1892" t="e">
        <f t="shared" ca="1" si="59"/>
        <v>#NAME?</v>
      </c>
      <c r="C1892">
        <v>1849</v>
      </c>
      <c r="D1892" t="e">
        <f t="shared" ca="1" si="58"/>
        <v>#NAME?</v>
      </c>
      <c r="E1892" s="115" t="e">
        <f t="array" aca="1" ref="E1892" ca="1">IF(OR(C1891=0,AND(B1893=0,C1893=0)),"",IFERROR(INDEX($F$27:$F$36,MATCH(C1892,($F$27:$F$36)*($D$27:$D$36&lt;&gt;0),0)),IF(OR(AND(D1892=0,B1892=0,B1893&lt;&gt;0),AND(D1892*D1891&lt;0,B1892&lt;&gt;0)),IF(D1892=0,C1892,C1892*(1-ABS(D1892)/(ABS(D1892)+ABS(D1891)))+C1891*(1-ABS(D1891)/(ABS(D1892)+ABS(D1891)))),"")))</f>
        <v>#NAME?</v>
      </c>
    </row>
    <row r="1893" spans="2:5" x14ac:dyDescent="0.25">
      <c r="B1893" t="e">
        <f t="shared" ca="1" si="59"/>
        <v>#NAME?</v>
      </c>
      <c r="C1893">
        <v>1850</v>
      </c>
      <c r="D1893" t="e">
        <f t="shared" ca="1" si="58"/>
        <v>#NAME?</v>
      </c>
      <c r="E1893" s="115" t="e">
        <f t="array" aca="1" ref="E1893" ca="1">IF(OR(C1892=0,AND(B1894=0,C1894=0)),"",IFERROR(INDEX($F$27:$F$36,MATCH(C1893,($F$27:$F$36)*($D$27:$D$36&lt;&gt;0),0)),IF(OR(AND(D1893=0,B1893=0,B1894&lt;&gt;0),AND(D1893*D1892&lt;0,B1893&lt;&gt;0)),IF(D1893=0,C1893,C1893*(1-ABS(D1893)/(ABS(D1893)+ABS(D1892)))+C1892*(1-ABS(D1892)/(ABS(D1893)+ABS(D1892)))),"")))</f>
        <v>#NAME?</v>
      </c>
    </row>
    <row r="1894" spans="2:5" x14ac:dyDescent="0.25">
      <c r="B1894" t="e">
        <f t="shared" ca="1" si="59"/>
        <v>#NAME?</v>
      </c>
      <c r="C1894">
        <v>1851</v>
      </c>
      <c r="D1894" t="e">
        <f t="shared" ca="1" si="58"/>
        <v>#NAME?</v>
      </c>
      <c r="E1894" s="115" t="e">
        <f t="array" aca="1" ref="E1894" ca="1">IF(OR(C1893=0,AND(B1895=0,C1895=0)),"",IFERROR(INDEX($F$27:$F$36,MATCH(C1894,($F$27:$F$36)*($D$27:$D$36&lt;&gt;0),0)),IF(OR(AND(D1894=0,B1894=0,B1895&lt;&gt;0),AND(D1894*D1893&lt;0,B1894&lt;&gt;0)),IF(D1894=0,C1894,C1894*(1-ABS(D1894)/(ABS(D1894)+ABS(D1893)))+C1893*(1-ABS(D1893)/(ABS(D1894)+ABS(D1893)))),"")))</f>
        <v>#NAME?</v>
      </c>
    </row>
    <row r="1895" spans="2:5" x14ac:dyDescent="0.25">
      <c r="B1895" t="e">
        <f t="shared" ca="1" si="59"/>
        <v>#NAME?</v>
      </c>
      <c r="C1895">
        <v>1852</v>
      </c>
      <c r="D1895" t="e">
        <f t="shared" ca="1" si="58"/>
        <v>#NAME?</v>
      </c>
      <c r="E1895" s="115" t="e">
        <f t="array" aca="1" ref="E1895" ca="1">IF(OR(C1894=0,AND(B1896=0,C1896=0)),"",IFERROR(INDEX($F$27:$F$36,MATCH(C1895,($F$27:$F$36)*($D$27:$D$36&lt;&gt;0),0)),IF(OR(AND(D1895=0,B1895=0,B1896&lt;&gt;0),AND(D1895*D1894&lt;0,B1895&lt;&gt;0)),IF(D1895=0,C1895,C1895*(1-ABS(D1895)/(ABS(D1895)+ABS(D1894)))+C1894*(1-ABS(D1894)/(ABS(D1895)+ABS(D1894)))),"")))</f>
        <v>#NAME?</v>
      </c>
    </row>
    <row r="1896" spans="2:5" x14ac:dyDescent="0.25">
      <c r="B1896" t="e">
        <f t="shared" ca="1" si="59"/>
        <v>#NAME?</v>
      </c>
      <c r="C1896">
        <v>1853</v>
      </c>
      <c r="D1896" t="e">
        <f t="shared" ca="1" si="58"/>
        <v>#NAME?</v>
      </c>
      <c r="E1896" s="115" t="e">
        <f t="array" aca="1" ref="E1896" ca="1">IF(OR(C1895=0,AND(B1897=0,C1897=0)),"",IFERROR(INDEX($F$27:$F$36,MATCH(C1896,($F$27:$F$36)*($D$27:$D$36&lt;&gt;0),0)),IF(OR(AND(D1896=0,B1896=0,B1897&lt;&gt;0),AND(D1896*D1895&lt;0,B1896&lt;&gt;0)),IF(D1896=0,C1896,C1896*(1-ABS(D1896)/(ABS(D1896)+ABS(D1895)))+C1895*(1-ABS(D1895)/(ABS(D1896)+ABS(D1895)))),"")))</f>
        <v>#NAME?</v>
      </c>
    </row>
    <row r="1897" spans="2:5" x14ac:dyDescent="0.25">
      <c r="B1897" t="e">
        <f t="shared" ca="1" si="59"/>
        <v>#NAME?</v>
      </c>
      <c r="C1897">
        <v>1854</v>
      </c>
      <c r="D1897" t="e">
        <f t="shared" ca="1" si="58"/>
        <v>#NAME?</v>
      </c>
      <c r="E1897" s="115" t="e">
        <f t="array" aca="1" ref="E1897" ca="1">IF(OR(C1896=0,AND(B1898=0,C1898=0)),"",IFERROR(INDEX($F$27:$F$36,MATCH(C1897,($F$27:$F$36)*($D$27:$D$36&lt;&gt;0),0)),IF(OR(AND(D1897=0,B1897=0,B1898&lt;&gt;0),AND(D1897*D1896&lt;0,B1897&lt;&gt;0)),IF(D1897=0,C1897,C1897*(1-ABS(D1897)/(ABS(D1897)+ABS(D1896)))+C1896*(1-ABS(D1896)/(ABS(D1897)+ABS(D1896)))),"")))</f>
        <v>#NAME?</v>
      </c>
    </row>
    <row r="1898" spans="2:5" x14ac:dyDescent="0.25">
      <c r="B1898" t="e">
        <f t="shared" ca="1" si="59"/>
        <v>#NAME?</v>
      </c>
      <c r="C1898">
        <v>1855</v>
      </c>
      <c r="D1898" t="e">
        <f t="shared" ca="1" si="58"/>
        <v>#NAME?</v>
      </c>
      <c r="E1898" s="115" t="e">
        <f t="array" aca="1" ref="E1898" ca="1">IF(OR(C1897=0,AND(B1899=0,C1899=0)),"",IFERROR(INDEX($F$27:$F$36,MATCH(C1898,($F$27:$F$36)*($D$27:$D$36&lt;&gt;0),0)),IF(OR(AND(D1898=0,B1898=0,B1899&lt;&gt;0),AND(D1898*D1897&lt;0,B1898&lt;&gt;0)),IF(D1898=0,C1898,C1898*(1-ABS(D1898)/(ABS(D1898)+ABS(D1897)))+C1897*(1-ABS(D1897)/(ABS(D1898)+ABS(D1897)))),"")))</f>
        <v>#NAME?</v>
      </c>
    </row>
    <row r="1899" spans="2:5" x14ac:dyDescent="0.25">
      <c r="B1899" t="e">
        <f t="shared" ca="1" si="59"/>
        <v>#NAME?</v>
      </c>
      <c r="C1899">
        <v>1856</v>
      </c>
      <c r="D1899" t="e">
        <f t="shared" ref="D1899:D1962" ca="1" si="60">SUMPRODUCT(--($J$27:$J$37&gt;0),--($C1899-$F$27:$F$37&gt;0),($D$27:$D$37),($C1899-$F$27:$F$37))+SUMPRODUCT(--($J$27:$J$37&lt;0),--($F$27:$F$37-$C1899&gt;0),($D$27:$D$37),($F$27:$F$37-$C1899))-SUMPRODUCT($D$27:$D$37,$E$27:$E$37)</f>
        <v>#NAME?</v>
      </c>
      <c r="E1899" s="115" t="e">
        <f t="array" aca="1" ref="E1899" ca="1">IF(OR(C1898=0,AND(B1900=0,C1900=0)),"",IFERROR(INDEX($F$27:$F$36,MATCH(C1899,($F$27:$F$36)*($D$27:$D$36&lt;&gt;0),0)),IF(OR(AND(D1899=0,B1899=0,B1900&lt;&gt;0),AND(D1899*D1898&lt;0,B1899&lt;&gt;0)),IF(D1899=0,C1899,C1899*(1-ABS(D1899)/(ABS(D1899)+ABS(D1898)))+C1898*(1-ABS(D1898)/(ABS(D1899)+ABS(D1898)))),"")))</f>
        <v>#NAME?</v>
      </c>
    </row>
    <row r="1900" spans="2:5" x14ac:dyDescent="0.25">
      <c r="B1900" t="e">
        <f t="shared" ref="B1900:B1963" ca="1" si="61">ROUND((D1900-D1899)/(C1900-C1899),12)</f>
        <v>#NAME?</v>
      </c>
      <c r="C1900">
        <v>1857</v>
      </c>
      <c r="D1900" t="e">
        <f t="shared" ca="1" si="60"/>
        <v>#NAME?</v>
      </c>
      <c r="E1900" s="115" t="e">
        <f t="array" aca="1" ref="E1900" ca="1">IF(OR(C1899=0,AND(B1901=0,C1901=0)),"",IFERROR(INDEX($F$27:$F$36,MATCH(C1900,($F$27:$F$36)*($D$27:$D$36&lt;&gt;0),0)),IF(OR(AND(D1900=0,B1900=0,B1901&lt;&gt;0),AND(D1900*D1899&lt;0,B1900&lt;&gt;0)),IF(D1900=0,C1900,C1900*(1-ABS(D1900)/(ABS(D1900)+ABS(D1899)))+C1899*(1-ABS(D1899)/(ABS(D1900)+ABS(D1899)))),"")))</f>
        <v>#NAME?</v>
      </c>
    </row>
    <row r="1901" spans="2:5" x14ac:dyDescent="0.25">
      <c r="B1901" t="e">
        <f t="shared" ca="1" si="61"/>
        <v>#NAME?</v>
      </c>
      <c r="C1901">
        <v>1858</v>
      </c>
      <c r="D1901" t="e">
        <f t="shared" ca="1" si="60"/>
        <v>#NAME?</v>
      </c>
      <c r="E1901" s="115" t="e">
        <f t="array" aca="1" ref="E1901" ca="1">IF(OR(C1900=0,AND(B1902=0,C1902=0)),"",IFERROR(INDEX($F$27:$F$36,MATCH(C1901,($F$27:$F$36)*($D$27:$D$36&lt;&gt;0),0)),IF(OR(AND(D1901=0,B1901=0,B1902&lt;&gt;0),AND(D1901*D1900&lt;0,B1901&lt;&gt;0)),IF(D1901=0,C1901,C1901*(1-ABS(D1901)/(ABS(D1901)+ABS(D1900)))+C1900*(1-ABS(D1900)/(ABS(D1901)+ABS(D1900)))),"")))</f>
        <v>#NAME?</v>
      </c>
    </row>
    <row r="1902" spans="2:5" x14ac:dyDescent="0.25">
      <c r="B1902" t="e">
        <f t="shared" ca="1" si="61"/>
        <v>#NAME?</v>
      </c>
      <c r="C1902">
        <v>1859</v>
      </c>
      <c r="D1902" t="e">
        <f t="shared" ca="1" si="60"/>
        <v>#NAME?</v>
      </c>
      <c r="E1902" s="115" t="e">
        <f t="array" aca="1" ref="E1902" ca="1">IF(OR(C1901=0,AND(B1903=0,C1903=0)),"",IFERROR(INDEX($F$27:$F$36,MATCH(C1902,($F$27:$F$36)*($D$27:$D$36&lt;&gt;0),0)),IF(OR(AND(D1902=0,B1902=0,B1903&lt;&gt;0),AND(D1902*D1901&lt;0,B1902&lt;&gt;0)),IF(D1902=0,C1902,C1902*(1-ABS(D1902)/(ABS(D1902)+ABS(D1901)))+C1901*(1-ABS(D1901)/(ABS(D1902)+ABS(D1901)))),"")))</f>
        <v>#NAME?</v>
      </c>
    </row>
    <row r="1903" spans="2:5" x14ac:dyDescent="0.25">
      <c r="B1903" t="e">
        <f t="shared" ca="1" si="61"/>
        <v>#NAME?</v>
      </c>
      <c r="C1903">
        <v>1860</v>
      </c>
      <c r="D1903" t="e">
        <f t="shared" ca="1" si="60"/>
        <v>#NAME?</v>
      </c>
      <c r="E1903" s="115" t="e">
        <f t="array" aca="1" ref="E1903" ca="1">IF(OR(C1902=0,AND(B1904=0,C1904=0)),"",IFERROR(INDEX($F$27:$F$36,MATCH(C1903,($F$27:$F$36)*($D$27:$D$36&lt;&gt;0),0)),IF(OR(AND(D1903=0,B1903=0,B1904&lt;&gt;0),AND(D1903*D1902&lt;0,B1903&lt;&gt;0)),IF(D1903=0,C1903,C1903*(1-ABS(D1903)/(ABS(D1903)+ABS(D1902)))+C1902*(1-ABS(D1902)/(ABS(D1903)+ABS(D1902)))),"")))</f>
        <v>#NAME?</v>
      </c>
    </row>
    <row r="1904" spans="2:5" x14ac:dyDescent="0.25">
      <c r="B1904" t="e">
        <f t="shared" ca="1" si="61"/>
        <v>#NAME?</v>
      </c>
      <c r="C1904">
        <v>1861</v>
      </c>
      <c r="D1904" t="e">
        <f t="shared" ca="1" si="60"/>
        <v>#NAME?</v>
      </c>
      <c r="E1904" s="115" t="e">
        <f t="array" aca="1" ref="E1904" ca="1">IF(OR(C1903=0,AND(B1905=0,C1905=0)),"",IFERROR(INDEX($F$27:$F$36,MATCH(C1904,($F$27:$F$36)*($D$27:$D$36&lt;&gt;0),0)),IF(OR(AND(D1904=0,B1904=0,B1905&lt;&gt;0),AND(D1904*D1903&lt;0,B1904&lt;&gt;0)),IF(D1904=0,C1904,C1904*(1-ABS(D1904)/(ABS(D1904)+ABS(D1903)))+C1903*(1-ABS(D1903)/(ABS(D1904)+ABS(D1903)))),"")))</f>
        <v>#NAME?</v>
      </c>
    </row>
    <row r="1905" spans="2:5" x14ac:dyDescent="0.25">
      <c r="B1905" t="e">
        <f t="shared" ca="1" si="61"/>
        <v>#NAME?</v>
      </c>
      <c r="C1905">
        <v>1862</v>
      </c>
      <c r="D1905" t="e">
        <f t="shared" ca="1" si="60"/>
        <v>#NAME?</v>
      </c>
      <c r="E1905" s="115" t="e">
        <f t="array" aca="1" ref="E1905" ca="1">IF(OR(C1904=0,AND(B1906=0,C1906=0)),"",IFERROR(INDEX($F$27:$F$36,MATCH(C1905,($F$27:$F$36)*($D$27:$D$36&lt;&gt;0),0)),IF(OR(AND(D1905=0,B1905=0,B1906&lt;&gt;0),AND(D1905*D1904&lt;0,B1905&lt;&gt;0)),IF(D1905=0,C1905,C1905*(1-ABS(D1905)/(ABS(D1905)+ABS(D1904)))+C1904*(1-ABS(D1904)/(ABS(D1905)+ABS(D1904)))),"")))</f>
        <v>#NAME?</v>
      </c>
    </row>
    <row r="1906" spans="2:5" x14ac:dyDescent="0.25">
      <c r="B1906" t="e">
        <f t="shared" ca="1" si="61"/>
        <v>#NAME?</v>
      </c>
      <c r="C1906">
        <v>1863</v>
      </c>
      <c r="D1906" t="e">
        <f t="shared" ca="1" si="60"/>
        <v>#NAME?</v>
      </c>
      <c r="E1906" s="115" t="e">
        <f t="array" aca="1" ref="E1906" ca="1">IF(OR(C1905=0,AND(B1907=0,C1907=0)),"",IFERROR(INDEX($F$27:$F$36,MATCH(C1906,($F$27:$F$36)*($D$27:$D$36&lt;&gt;0),0)),IF(OR(AND(D1906=0,B1906=0,B1907&lt;&gt;0),AND(D1906*D1905&lt;0,B1906&lt;&gt;0)),IF(D1906=0,C1906,C1906*(1-ABS(D1906)/(ABS(D1906)+ABS(D1905)))+C1905*(1-ABS(D1905)/(ABS(D1906)+ABS(D1905)))),"")))</f>
        <v>#NAME?</v>
      </c>
    </row>
    <row r="1907" spans="2:5" x14ac:dyDescent="0.25">
      <c r="B1907" t="e">
        <f t="shared" ca="1" si="61"/>
        <v>#NAME?</v>
      </c>
      <c r="C1907">
        <v>1864</v>
      </c>
      <c r="D1907" t="e">
        <f t="shared" ca="1" si="60"/>
        <v>#NAME?</v>
      </c>
      <c r="E1907" s="115" t="e">
        <f t="array" aca="1" ref="E1907" ca="1">IF(OR(C1906=0,AND(B1908=0,C1908=0)),"",IFERROR(INDEX($F$27:$F$36,MATCH(C1907,($F$27:$F$36)*($D$27:$D$36&lt;&gt;0),0)),IF(OR(AND(D1907=0,B1907=0,B1908&lt;&gt;0),AND(D1907*D1906&lt;0,B1907&lt;&gt;0)),IF(D1907=0,C1907,C1907*(1-ABS(D1907)/(ABS(D1907)+ABS(D1906)))+C1906*(1-ABS(D1906)/(ABS(D1907)+ABS(D1906)))),"")))</f>
        <v>#NAME?</v>
      </c>
    </row>
    <row r="1908" spans="2:5" x14ac:dyDescent="0.25">
      <c r="B1908" t="e">
        <f t="shared" ca="1" si="61"/>
        <v>#NAME?</v>
      </c>
      <c r="C1908">
        <v>1865</v>
      </c>
      <c r="D1908" t="e">
        <f t="shared" ca="1" si="60"/>
        <v>#NAME?</v>
      </c>
      <c r="E1908" s="115" t="e">
        <f t="array" aca="1" ref="E1908" ca="1">IF(OR(C1907=0,AND(B1909=0,C1909=0)),"",IFERROR(INDEX($F$27:$F$36,MATCH(C1908,($F$27:$F$36)*($D$27:$D$36&lt;&gt;0),0)),IF(OR(AND(D1908=0,B1908=0,B1909&lt;&gt;0),AND(D1908*D1907&lt;0,B1908&lt;&gt;0)),IF(D1908=0,C1908,C1908*(1-ABS(D1908)/(ABS(D1908)+ABS(D1907)))+C1907*(1-ABS(D1907)/(ABS(D1908)+ABS(D1907)))),"")))</f>
        <v>#NAME?</v>
      </c>
    </row>
    <row r="1909" spans="2:5" x14ac:dyDescent="0.25">
      <c r="B1909" t="e">
        <f t="shared" ca="1" si="61"/>
        <v>#NAME?</v>
      </c>
      <c r="C1909">
        <v>1866</v>
      </c>
      <c r="D1909" t="e">
        <f t="shared" ca="1" si="60"/>
        <v>#NAME?</v>
      </c>
      <c r="E1909" s="115" t="e">
        <f t="array" aca="1" ref="E1909" ca="1">IF(OR(C1908=0,AND(B1910=0,C1910=0)),"",IFERROR(INDEX($F$27:$F$36,MATCH(C1909,($F$27:$F$36)*($D$27:$D$36&lt;&gt;0),0)),IF(OR(AND(D1909=0,B1909=0,B1910&lt;&gt;0),AND(D1909*D1908&lt;0,B1909&lt;&gt;0)),IF(D1909=0,C1909,C1909*(1-ABS(D1909)/(ABS(D1909)+ABS(D1908)))+C1908*(1-ABS(D1908)/(ABS(D1909)+ABS(D1908)))),"")))</f>
        <v>#NAME?</v>
      </c>
    </row>
    <row r="1910" spans="2:5" x14ac:dyDescent="0.25">
      <c r="B1910" t="e">
        <f t="shared" ca="1" si="61"/>
        <v>#NAME?</v>
      </c>
      <c r="C1910">
        <v>1867</v>
      </c>
      <c r="D1910" t="e">
        <f t="shared" ca="1" si="60"/>
        <v>#NAME?</v>
      </c>
      <c r="E1910" s="115" t="e">
        <f t="array" aca="1" ref="E1910" ca="1">IF(OR(C1909=0,AND(B1911=0,C1911=0)),"",IFERROR(INDEX($F$27:$F$36,MATCH(C1910,($F$27:$F$36)*($D$27:$D$36&lt;&gt;0),0)),IF(OR(AND(D1910=0,B1910=0,B1911&lt;&gt;0),AND(D1910*D1909&lt;0,B1910&lt;&gt;0)),IF(D1910=0,C1910,C1910*(1-ABS(D1910)/(ABS(D1910)+ABS(D1909)))+C1909*(1-ABS(D1909)/(ABS(D1910)+ABS(D1909)))),"")))</f>
        <v>#NAME?</v>
      </c>
    </row>
    <row r="1911" spans="2:5" x14ac:dyDescent="0.25">
      <c r="B1911" t="e">
        <f t="shared" ca="1" si="61"/>
        <v>#NAME?</v>
      </c>
      <c r="C1911">
        <v>1868</v>
      </c>
      <c r="D1911" t="e">
        <f t="shared" ca="1" si="60"/>
        <v>#NAME?</v>
      </c>
      <c r="E1911" s="115" t="e">
        <f t="array" aca="1" ref="E1911" ca="1">IF(OR(C1910=0,AND(B1912=0,C1912=0)),"",IFERROR(INDEX($F$27:$F$36,MATCH(C1911,($F$27:$F$36)*($D$27:$D$36&lt;&gt;0),0)),IF(OR(AND(D1911=0,B1911=0,B1912&lt;&gt;0),AND(D1911*D1910&lt;0,B1911&lt;&gt;0)),IF(D1911=0,C1911,C1911*(1-ABS(D1911)/(ABS(D1911)+ABS(D1910)))+C1910*(1-ABS(D1910)/(ABS(D1911)+ABS(D1910)))),"")))</f>
        <v>#NAME?</v>
      </c>
    </row>
    <row r="1912" spans="2:5" x14ac:dyDescent="0.25">
      <c r="B1912" t="e">
        <f t="shared" ca="1" si="61"/>
        <v>#NAME?</v>
      </c>
      <c r="C1912">
        <v>1869</v>
      </c>
      <c r="D1912" t="e">
        <f t="shared" ca="1" si="60"/>
        <v>#NAME?</v>
      </c>
      <c r="E1912" s="115" t="e">
        <f t="array" aca="1" ref="E1912" ca="1">IF(OR(C1911=0,AND(B1913=0,C1913=0)),"",IFERROR(INDEX($F$27:$F$36,MATCH(C1912,($F$27:$F$36)*($D$27:$D$36&lt;&gt;0),0)),IF(OR(AND(D1912=0,B1912=0,B1913&lt;&gt;0),AND(D1912*D1911&lt;0,B1912&lt;&gt;0)),IF(D1912=0,C1912,C1912*(1-ABS(D1912)/(ABS(D1912)+ABS(D1911)))+C1911*(1-ABS(D1911)/(ABS(D1912)+ABS(D1911)))),"")))</f>
        <v>#NAME?</v>
      </c>
    </row>
    <row r="1913" spans="2:5" x14ac:dyDescent="0.25">
      <c r="B1913" t="e">
        <f t="shared" ca="1" si="61"/>
        <v>#NAME?</v>
      </c>
      <c r="C1913">
        <v>1870</v>
      </c>
      <c r="D1913" t="e">
        <f t="shared" ca="1" si="60"/>
        <v>#NAME?</v>
      </c>
      <c r="E1913" s="115" t="e">
        <f t="array" aca="1" ref="E1913" ca="1">IF(OR(C1912=0,AND(B1914=0,C1914=0)),"",IFERROR(INDEX($F$27:$F$36,MATCH(C1913,($F$27:$F$36)*($D$27:$D$36&lt;&gt;0),0)),IF(OR(AND(D1913=0,B1913=0,B1914&lt;&gt;0),AND(D1913*D1912&lt;0,B1913&lt;&gt;0)),IF(D1913=0,C1913,C1913*(1-ABS(D1913)/(ABS(D1913)+ABS(D1912)))+C1912*(1-ABS(D1912)/(ABS(D1913)+ABS(D1912)))),"")))</f>
        <v>#NAME?</v>
      </c>
    </row>
    <row r="1914" spans="2:5" x14ac:dyDescent="0.25">
      <c r="B1914" t="e">
        <f t="shared" ca="1" si="61"/>
        <v>#NAME?</v>
      </c>
      <c r="C1914">
        <v>1871</v>
      </c>
      <c r="D1914" t="e">
        <f t="shared" ca="1" si="60"/>
        <v>#NAME?</v>
      </c>
      <c r="E1914" s="115" t="e">
        <f t="array" aca="1" ref="E1914" ca="1">IF(OR(C1913=0,AND(B1915=0,C1915=0)),"",IFERROR(INDEX($F$27:$F$36,MATCH(C1914,($F$27:$F$36)*($D$27:$D$36&lt;&gt;0),0)),IF(OR(AND(D1914=0,B1914=0,B1915&lt;&gt;0),AND(D1914*D1913&lt;0,B1914&lt;&gt;0)),IF(D1914=0,C1914,C1914*(1-ABS(D1914)/(ABS(D1914)+ABS(D1913)))+C1913*(1-ABS(D1913)/(ABS(D1914)+ABS(D1913)))),"")))</f>
        <v>#NAME?</v>
      </c>
    </row>
    <row r="1915" spans="2:5" x14ac:dyDescent="0.25">
      <c r="B1915" t="e">
        <f t="shared" ca="1" si="61"/>
        <v>#NAME?</v>
      </c>
      <c r="C1915">
        <v>1872</v>
      </c>
      <c r="D1915" t="e">
        <f t="shared" ca="1" si="60"/>
        <v>#NAME?</v>
      </c>
      <c r="E1915" s="115" t="e">
        <f t="array" aca="1" ref="E1915" ca="1">IF(OR(C1914=0,AND(B1916=0,C1916=0)),"",IFERROR(INDEX($F$27:$F$36,MATCH(C1915,($F$27:$F$36)*($D$27:$D$36&lt;&gt;0),0)),IF(OR(AND(D1915=0,B1915=0,B1916&lt;&gt;0),AND(D1915*D1914&lt;0,B1915&lt;&gt;0)),IF(D1915=0,C1915,C1915*(1-ABS(D1915)/(ABS(D1915)+ABS(D1914)))+C1914*(1-ABS(D1914)/(ABS(D1915)+ABS(D1914)))),"")))</f>
        <v>#NAME?</v>
      </c>
    </row>
    <row r="1916" spans="2:5" x14ac:dyDescent="0.25">
      <c r="B1916" t="e">
        <f t="shared" ca="1" si="61"/>
        <v>#NAME?</v>
      </c>
      <c r="C1916">
        <v>1873</v>
      </c>
      <c r="D1916" t="e">
        <f t="shared" ca="1" si="60"/>
        <v>#NAME?</v>
      </c>
      <c r="E1916" s="115" t="e">
        <f t="array" aca="1" ref="E1916" ca="1">IF(OR(C1915=0,AND(B1917=0,C1917=0)),"",IFERROR(INDEX($F$27:$F$36,MATCH(C1916,($F$27:$F$36)*($D$27:$D$36&lt;&gt;0),0)),IF(OR(AND(D1916=0,B1916=0,B1917&lt;&gt;0),AND(D1916*D1915&lt;0,B1916&lt;&gt;0)),IF(D1916=0,C1916,C1916*(1-ABS(D1916)/(ABS(D1916)+ABS(D1915)))+C1915*(1-ABS(D1915)/(ABS(D1916)+ABS(D1915)))),"")))</f>
        <v>#NAME?</v>
      </c>
    </row>
    <row r="1917" spans="2:5" x14ac:dyDescent="0.25">
      <c r="B1917" t="e">
        <f t="shared" ca="1" si="61"/>
        <v>#NAME?</v>
      </c>
      <c r="C1917">
        <v>1874</v>
      </c>
      <c r="D1917" t="e">
        <f t="shared" ca="1" si="60"/>
        <v>#NAME?</v>
      </c>
      <c r="E1917" s="115" t="e">
        <f t="array" aca="1" ref="E1917" ca="1">IF(OR(C1916=0,AND(B1918=0,C1918=0)),"",IFERROR(INDEX($F$27:$F$36,MATCH(C1917,($F$27:$F$36)*($D$27:$D$36&lt;&gt;0),0)),IF(OR(AND(D1917=0,B1917=0,B1918&lt;&gt;0),AND(D1917*D1916&lt;0,B1917&lt;&gt;0)),IF(D1917=0,C1917,C1917*(1-ABS(D1917)/(ABS(D1917)+ABS(D1916)))+C1916*(1-ABS(D1916)/(ABS(D1917)+ABS(D1916)))),"")))</f>
        <v>#NAME?</v>
      </c>
    </row>
    <row r="1918" spans="2:5" x14ac:dyDescent="0.25">
      <c r="B1918" t="e">
        <f t="shared" ca="1" si="61"/>
        <v>#NAME?</v>
      </c>
      <c r="C1918">
        <v>1875</v>
      </c>
      <c r="D1918" t="e">
        <f t="shared" ca="1" si="60"/>
        <v>#NAME?</v>
      </c>
      <c r="E1918" s="115" t="e">
        <f t="array" aca="1" ref="E1918" ca="1">IF(OR(C1917=0,AND(B1919=0,C1919=0)),"",IFERROR(INDEX($F$27:$F$36,MATCH(C1918,($F$27:$F$36)*($D$27:$D$36&lt;&gt;0),0)),IF(OR(AND(D1918=0,B1918=0,B1919&lt;&gt;0),AND(D1918*D1917&lt;0,B1918&lt;&gt;0)),IF(D1918=0,C1918,C1918*(1-ABS(D1918)/(ABS(D1918)+ABS(D1917)))+C1917*(1-ABS(D1917)/(ABS(D1918)+ABS(D1917)))),"")))</f>
        <v>#NAME?</v>
      </c>
    </row>
    <row r="1919" spans="2:5" x14ac:dyDescent="0.25">
      <c r="B1919" t="e">
        <f t="shared" ca="1" si="61"/>
        <v>#NAME?</v>
      </c>
      <c r="C1919">
        <v>1876</v>
      </c>
      <c r="D1919" t="e">
        <f t="shared" ca="1" si="60"/>
        <v>#NAME?</v>
      </c>
      <c r="E1919" s="115" t="e">
        <f t="array" aca="1" ref="E1919" ca="1">IF(OR(C1918=0,AND(B1920=0,C1920=0)),"",IFERROR(INDEX($F$27:$F$36,MATCH(C1919,($F$27:$F$36)*($D$27:$D$36&lt;&gt;0),0)),IF(OR(AND(D1919=0,B1919=0,B1920&lt;&gt;0),AND(D1919*D1918&lt;0,B1919&lt;&gt;0)),IF(D1919=0,C1919,C1919*(1-ABS(D1919)/(ABS(D1919)+ABS(D1918)))+C1918*(1-ABS(D1918)/(ABS(D1919)+ABS(D1918)))),"")))</f>
        <v>#NAME?</v>
      </c>
    </row>
    <row r="1920" spans="2:5" x14ac:dyDescent="0.25">
      <c r="B1920" t="e">
        <f t="shared" ca="1" si="61"/>
        <v>#NAME?</v>
      </c>
      <c r="C1920">
        <v>1877</v>
      </c>
      <c r="D1920" t="e">
        <f t="shared" ca="1" si="60"/>
        <v>#NAME?</v>
      </c>
      <c r="E1920" s="115" t="e">
        <f t="array" aca="1" ref="E1920" ca="1">IF(OR(C1919=0,AND(B1921=0,C1921=0)),"",IFERROR(INDEX($F$27:$F$36,MATCH(C1920,($F$27:$F$36)*($D$27:$D$36&lt;&gt;0),0)),IF(OR(AND(D1920=0,B1920=0,B1921&lt;&gt;0),AND(D1920*D1919&lt;0,B1920&lt;&gt;0)),IF(D1920=0,C1920,C1920*(1-ABS(D1920)/(ABS(D1920)+ABS(D1919)))+C1919*(1-ABS(D1919)/(ABS(D1920)+ABS(D1919)))),"")))</f>
        <v>#NAME?</v>
      </c>
    </row>
    <row r="1921" spans="2:5" x14ac:dyDescent="0.25">
      <c r="B1921" t="e">
        <f t="shared" ca="1" si="61"/>
        <v>#NAME?</v>
      </c>
      <c r="C1921">
        <v>1878</v>
      </c>
      <c r="D1921" t="e">
        <f t="shared" ca="1" si="60"/>
        <v>#NAME?</v>
      </c>
      <c r="E1921" s="115" t="e">
        <f t="array" aca="1" ref="E1921" ca="1">IF(OR(C1920=0,AND(B1922=0,C1922=0)),"",IFERROR(INDEX($F$27:$F$36,MATCH(C1921,($F$27:$F$36)*($D$27:$D$36&lt;&gt;0),0)),IF(OR(AND(D1921=0,B1921=0,B1922&lt;&gt;0),AND(D1921*D1920&lt;0,B1921&lt;&gt;0)),IF(D1921=0,C1921,C1921*(1-ABS(D1921)/(ABS(D1921)+ABS(D1920)))+C1920*(1-ABS(D1920)/(ABS(D1921)+ABS(D1920)))),"")))</f>
        <v>#NAME?</v>
      </c>
    </row>
    <row r="1922" spans="2:5" x14ac:dyDescent="0.25">
      <c r="B1922" t="e">
        <f t="shared" ca="1" si="61"/>
        <v>#NAME?</v>
      </c>
      <c r="C1922">
        <v>1879</v>
      </c>
      <c r="D1922" t="e">
        <f t="shared" ca="1" si="60"/>
        <v>#NAME?</v>
      </c>
      <c r="E1922" s="115" t="e">
        <f t="array" aca="1" ref="E1922" ca="1">IF(OR(C1921=0,AND(B1923=0,C1923=0)),"",IFERROR(INDEX($F$27:$F$36,MATCH(C1922,($F$27:$F$36)*($D$27:$D$36&lt;&gt;0),0)),IF(OR(AND(D1922=0,B1922=0,B1923&lt;&gt;0),AND(D1922*D1921&lt;0,B1922&lt;&gt;0)),IF(D1922=0,C1922,C1922*(1-ABS(D1922)/(ABS(D1922)+ABS(D1921)))+C1921*(1-ABS(D1921)/(ABS(D1922)+ABS(D1921)))),"")))</f>
        <v>#NAME?</v>
      </c>
    </row>
    <row r="1923" spans="2:5" x14ac:dyDescent="0.25">
      <c r="B1923" t="e">
        <f t="shared" ca="1" si="61"/>
        <v>#NAME?</v>
      </c>
      <c r="C1923">
        <v>1880</v>
      </c>
      <c r="D1923" t="e">
        <f t="shared" ca="1" si="60"/>
        <v>#NAME?</v>
      </c>
      <c r="E1923" s="115" t="e">
        <f t="array" aca="1" ref="E1923" ca="1">IF(OR(C1922=0,AND(B1924=0,C1924=0)),"",IFERROR(INDEX($F$27:$F$36,MATCH(C1923,($F$27:$F$36)*($D$27:$D$36&lt;&gt;0),0)),IF(OR(AND(D1923=0,B1923=0,B1924&lt;&gt;0),AND(D1923*D1922&lt;0,B1923&lt;&gt;0)),IF(D1923=0,C1923,C1923*(1-ABS(D1923)/(ABS(D1923)+ABS(D1922)))+C1922*(1-ABS(D1922)/(ABS(D1923)+ABS(D1922)))),"")))</f>
        <v>#NAME?</v>
      </c>
    </row>
    <row r="1924" spans="2:5" x14ac:dyDescent="0.25">
      <c r="B1924" t="e">
        <f t="shared" ca="1" si="61"/>
        <v>#NAME?</v>
      </c>
      <c r="C1924">
        <v>1881</v>
      </c>
      <c r="D1924" t="e">
        <f t="shared" ca="1" si="60"/>
        <v>#NAME?</v>
      </c>
      <c r="E1924" s="115" t="e">
        <f t="array" aca="1" ref="E1924" ca="1">IF(OR(C1923=0,AND(B1925=0,C1925=0)),"",IFERROR(INDEX($F$27:$F$36,MATCH(C1924,($F$27:$F$36)*($D$27:$D$36&lt;&gt;0),0)),IF(OR(AND(D1924=0,B1924=0,B1925&lt;&gt;0),AND(D1924*D1923&lt;0,B1924&lt;&gt;0)),IF(D1924=0,C1924,C1924*(1-ABS(D1924)/(ABS(D1924)+ABS(D1923)))+C1923*(1-ABS(D1923)/(ABS(D1924)+ABS(D1923)))),"")))</f>
        <v>#NAME?</v>
      </c>
    </row>
    <row r="1925" spans="2:5" x14ac:dyDescent="0.25">
      <c r="B1925" t="e">
        <f t="shared" ca="1" si="61"/>
        <v>#NAME?</v>
      </c>
      <c r="C1925">
        <v>1882</v>
      </c>
      <c r="D1925" t="e">
        <f t="shared" ca="1" si="60"/>
        <v>#NAME?</v>
      </c>
      <c r="E1925" s="115" t="e">
        <f t="array" aca="1" ref="E1925" ca="1">IF(OR(C1924=0,AND(B1926=0,C1926=0)),"",IFERROR(INDEX($F$27:$F$36,MATCH(C1925,($F$27:$F$36)*($D$27:$D$36&lt;&gt;0),0)),IF(OR(AND(D1925=0,B1925=0,B1926&lt;&gt;0),AND(D1925*D1924&lt;0,B1925&lt;&gt;0)),IF(D1925=0,C1925,C1925*(1-ABS(D1925)/(ABS(D1925)+ABS(D1924)))+C1924*(1-ABS(D1924)/(ABS(D1925)+ABS(D1924)))),"")))</f>
        <v>#NAME?</v>
      </c>
    </row>
    <row r="1926" spans="2:5" x14ac:dyDescent="0.25">
      <c r="B1926" t="e">
        <f t="shared" ca="1" si="61"/>
        <v>#NAME?</v>
      </c>
      <c r="C1926">
        <v>1883</v>
      </c>
      <c r="D1926" t="e">
        <f t="shared" ca="1" si="60"/>
        <v>#NAME?</v>
      </c>
      <c r="E1926" s="115" t="e">
        <f t="array" aca="1" ref="E1926" ca="1">IF(OR(C1925=0,AND(B1927=0,C1927=0)),"",IFERROR(INDEX($F$27:$F$36,MATCH(C1926,($F$27:$F$36)*($D$27:$D$36&lt;&gt;0),0)),IF(OR(AND(D1926=0,B1926=0,B1927&lt;&gt;0),AND(D1926*D1925&lt;0,B1926&lt;&gt;0)),IF(D1926=0,C1926,C1926*(1-ABS(D1926)/(ABS(D1926)+ABS(D1925)))+C1925*(1-ABS(D1925)/(ABS(D1926)+ABS(D1925)))),"")))</f>
        <v>#NAME?</v>
      </c>
    </row>
    <row r="1927" spans="2:5" x14ac:dyDescent="0.25">
      <c r="B1927" t="e">
        <f t="shared" ca="1" si="61"/>
        <v>#NAME?</v>
      </c>
      <c r="C1927">
        <v>1884</v>
      </c>
      <c r="D1927" t="e">
        <f t="shared" ca="1" si="60"/>
        <v>#NAME?</v>
      </c>
      <c r="E1927" s="115" t="e">
        <f t="array" aca="1" ref="E1927" ca="1">IF(OR(C1926=0,AND(B1928=0,C1928=0)),"",IFERROR(INDEX($F$27:$F$36,MATCH(C1927,($F$27:$F$36)*($D$27:$D$36&lt;&gt;0),0)),IF(OR(AND(D1927=0,B1927=0,B1928&lt;&gt;0),AND(D1927*D1926&lt;0,B1927&lt;&gt;0)),IF(D1927=0,C1927,C1927*(1-ABS(D1927)/(ABS(D1927)+ABS(D1926)))+C1926*(1-ABS(D1926)/(ABS(D1927)+ABS(D1926)))),"")))</f>
        <v>#NAME?</v>
      </c>
    </row>
    <row r="1928" spans="2:5" x14ac:dyDescent="0.25">
      <c r="B1928" t="e">
        <f t="shared" ca="1" si="61"/>
        <v>#NAME?</v>
      </c>
      <c r="C1928">
        <v>1885</v>
      </c>
      <c r="D1928" t="e">
        <f t="shared" ca="1" si="60"/>
        <v>#NAME?</v>
      </c>
      <c r="E1928" s="115" t="e">
        <f t="array" aca="1" ref="E1928" ca="1">IF(OR(C1927=0,AND(B1929=0,C1929=0)),"",IFERROR(INDEX($F$27:$F$36,MATCH(C1928,($F$27:$F$36)*($D$27:$D$36&lt;&gt;0),0)),IF(OR(AND(D1928=0,B1928=0,B1929&lt;&gt;0),AND(D1928*D1927&lt;0,B1928&lt;&gt;0)),IF(D1928=0,C1928,C1928*(1-ABS(D1928)/(ABS(D1928)+ABS(D1927)))+C1927*(1-ABS(D1927)/(ABS(D1928)+ABS(D1927)))),"")))</f>
        <v>#NAME?</v>
      </c>
    </row>
    <row r="1929" spans="2:5" x14ac:dyDescent="0.25">
      <c r="B1929" t="e">
        <f t="shared" ca="1" si="61"/>
        <v>#NAME?</v>
      </c>
      <c r="C1929">
        <v>1886</v>
      </c>
      <c r="D1929" t="e">
        <f t="shared" ca="1" si="60"/>
        <v>#NAME?</v>
      </c>
      <c r="E1929" s="115" t="e">
        <f t="array" aca="1" ref="E1929" ca="1">IF(OR(C1928=0,AND(B1930=0,C1930=0)),"",IFERROR(INDEX($F$27:$F$36,MATCH(C1929,($F$27:$F$36)*($D$27:$D$36&lt;&gt;0),0)),IF(OR(AND(D1929=0,B1929=0,B1930&lt;&gt;0),AND(D1929*D1928&lt;0,B1929&lt;&gt;0)),IF(D1929=0,C1929,C1929*(1-ABS(D1929)/(ABS(D1929)+ABS(D1928)))+C1928*(1-ABS(D1928)/(ABS(D1929)+ABS(D1928)))),"")))</f>
        <v>#NAME?</v>
      </c>
    </row>
    <row r="1930" spans="2:5" x14ac:dyDescent="0.25">
      <c r="B1930" t="e">
        <f t="shared" ca="1" si="61"/>
        <v>#NAME?</v>
      </c>
      <c r="C1930">
        <v>1887</v>
      </c>
      <c r="D1930" t="e">
        <f t="shared" ca="1" si="60"/>
        <v>#NAME?</v>
      </c>
      <c r="E1930" s="115" t="e">
        <f t="array" aca="1" ref="E1930" ca="1">IF(OR(C1929=0,AND(B1931=0,C1931=0)),"",IFERROR(INDEX($F$27:$F$36,MATCH(C1930,($F$27:$F$36)*($D$27:$D$36&lt;&gt;0),0)),IF(OR(AND(D1930=0,B1930=0,B1931&lt;&gt;0),AND(D1930*D1929&lt;0,B1930&lt;&gt;0)),IF(D1930=0,C1930,C1930*(1-ABS(D1930)/(ABS(D1930)+ABS(D1929)))+C1929*(1-ABS(D1929)/(ABS(D1930)+ABS(D1929)))),"")))</f>
        <v>#NAME?</v>
      </c>
    </row>
    <row r="1931" spans="2:5" x14ac:dyDescent="0.25">
      <c r="B1931" t="e">
        <f t="shared" ca="1" si="61"/>
        <v>#NAME?</v>
      </c>
      <c r="C1931">
        <v>1888</v>
      </c>
      <c r="D1931" t="e">
        <f t="shared" ca="1" si="60"/>
        <v>#NAME?</v>
      </c>
      <c r="E1931" s="115" t="e">
        <f t="array" aca="1" ref="E1931" ca="1">IF(OR(C1930=0,AND(B1932=0,C1932=0)),"",IFERROR(INDEX($F$27:$F$36,MATCH(C1931,($F$27:$F$36)*($D$27:$D$36&lt;&gt;0),0)),IF(OR(AND(D1931=0,B1931=0,B1932&lt;&gt;0),AND(D1931*D1930&lt;0,B1931&lt;&gt;0)),IF(D1931=0,C1931,C1931*(1-ABS(D1931)/(ABS(D1931)+ABS(D1930)))+C1930*(1-ABS(D1930)/(ABS(D1931)+ABS(D1930)))),"")))</f>
        <v>#NAME?</v>
      </c>
    </row>
    <row r="1932" spans="2:5" x14ac:dyDescent="0.25">
      <c r="B1932" t="e">
        <f t="shared" ca="1" si="61"/>
        <v>#NAME?</v>
      </c>
      <c r="C1932">
        <v>1889</v>
      </c>
      <c r="D1932" t="e">
        <f t="shared" ca="1" si="60"/>
        <v>#NAME?</v>
      </c>
      <c r="E1932" s="115" t="e">
        <f t="array" aca="1" ref="E1932" ca="1">IF(OR(C1931=0,AND(B1933=0,C1933=0)),"",IFERROR(INDEX($F$27:$F$36,MATCH(C1932,($F$27:$F$36)*($D$27:$D$36&lt;&gt;0),0)),IF(OR(AND(D1932=0,B1932=0,B1933&lt;&gt;0),AND(D1932*D1931&lt;0,B1932&lt;&gt;0)),IF(D1932=0,C1932,C1932*(1-ABS(D1932)/(ABS(D1932)+ABS(D1931)))+C1931*(1-ABS(D1931)/(ABS(D1932)+ABS(D1931)))),"")))</f>
        <v>#NAME?</v>
      </c>
    </row>
    <row r="1933" spans="2:5" x14ac:dyDescent="0.25">
      <c r="B1933" t="e">
        <f t="shared" ca="1" si="61"/>
        <v>#NAME?</v>
      </c>
      <c r="C1933">
        <v>1890</v>
      </c>
      <c r="D1933" t="e">
        <f t="shared" ca="1" si="60"/>
        <v>#NAME?</v>
      </c>
      <c r="E1933" s="115" t="e">
        <f t="array" aca="1" ref="E1933" ca="1">IF(OR(C1932=0,AND(B1934=0,C1934=0)),"",IFERROR(INDEX($F$27:$F$36,MATCH(C1933,($F$27:$F$36)*($D$27:$D$36&lt;&gt;0),0)),IF(OR(AND(D1933=0,B1933=0,B1934&lt;&gt;0),AND(D1933*D1932&lt;0,B1933&lt;&gt;0)),IF(D1933=0,C1933,C1933*(1-ABS(D1933)/(ABS(D1933)+ABS(D1932)))+C1932*(1-ABS(D1932)/(ABS(D1933)+ABS(D1932)))),"")))</f>
        <v>#NAME?</v>
      </c>
    </row>
    <row r="1934" spans="2:5" x14ac:dyDescent="0.25">
      <c r="B1934" t="e">
        <f t="shared" ca="1" si="61"/>
        <v>#NAME?</v>
      </c>
      <c r="C1934">
        <v>1891</v>
      </c>
      <c r="D1934" t="e">
        <f t="shared" ca="1" si="60"/>
        <v>#NAME?</v>
      </c>
      <c r="E1934" s="115" t="e">
        <f t="array" aca="1" ref="E1934" ca="1">IF(OR(C1933=0,AND(B1935=0,C1935=0)),"",IFERROR(INDEX($F$27:$F$36,MATCH(C1934,($F$27:$F$36)*($D$27:$D$36&lt;&gt;0),0)),IF(OR(AND(D1934=0,B1934=0,B1935&lt;&gt;0),AND(D1934*D1933&lt;0,B1934&lt;&gt;0)),IF(D1934=0,C1934,C1934*(1-ABS(D1934)/(ABS(D1934)+ABS(D1933)))+C1933*(1-ABS(D1933)/(ABS(D1934)+ABS(D1933)))),"")))</f>
        <v>#NAME?</v>
      </c>
    </row>
    <row r="1935" spans="2:5" x14ac:dyDescent="0.25">
      <c r="B1935" t="e">
        <f t="shared" ca="1" si="61"/>
        <v>#NAME?</v>
      </c>
      <c r="C1935">
        <v>1892</v>
      </c>
      <c r="D1935" t="e">
        <f t="shared" ca="1" si="60"/>
        <v>#NAME?</v>
      </c>
      <c r="E1935" s="115" t="e">
        <f t="array" aca="1" ref="E1935" ca="1">IF(OR(C1934=0,AND(B1936=0,C1936=0)),"",IFERROR(INDEX($F$27:$F$36,MATCH(C1935,($F$27:$F$36)*($D$27:$D$36&lt;&gt;0),0)),IF(OR(AND(D1935=0,B1935=0,B1936&lt;&gt;0),AND(D1935*D1934&lt;0,B1935&lt;&gt;0)),IF(D1935=0,C1935,C1935*(1-ABS(D1935)/(ABS(D1935)+ABS(D1934)))+C1934*(1-ABS(D1934)/(ABS(D1935)+ABS(D1934)))),"")))</f>
        <v>#NAME?</v>
      </c>
    </row>
    <row r="1936" spans="2:5" x14ac:dyDescent="0.25">
      <c r="B1936" t="e">
        <f t="shared" ca="1" si="61"/>
        <v>#NAME?</v>
      </c>
      <c r="C1936">
        <v>1893</v>
      </c>
      <c r="D1936" t="e">
        <f t="shared" ca="1" si="60"/>
        <v>#NAME?</v>
      </c>
      <c r="E1936" s="115" t="e">
        <f t="array" aca="1" ref="E1936" ca="1">IF(OR(C1935=0,AND(B1937=0,C1937=0)),"",IFERROR(INDEX($F$27:$F$36,MATCH(C1936,($F$27:$F$36)*($D$27:$D$36&lt;&gt;0),0)),IF(OR(AND(D1936=0,B1936=0,B1937&lt;&gt;0),AND(D1936*D1935&lt;0,B1936&lt;&gt;0)),IF(D1936=0,C1936,C1936*(1-ABS(D1936)/(ABS(D1936)+ABS(D1935)))+C1935*(1-ABS(D1935)/(ABS(D1936)+ABS(D1935)))),"")))</f>
        <v>#NAME?</v>
      </c>
    </row>
    <row r="1937" spans="2:5" x14ac:dyDescent="0.25">
      <c r="B1937" t="e">
        <f t="shared" ca="1" si="61"/>
        <v>#NAME?</v>
      </c>
      <c r="C1937">
        <v>1894</v>
      </c>
      <c r="D1937" t="e">
        <f t="shared" ca="1" si="60"/>
        <v>#NAME?</v>
      </c>
      <c r="E1937" s="115" t="e">
        <f t="array" aca="1" ref="E1937" ca="1">IF(OR(C1936=0,AND(B1938=0,C1938=0)),"",IFERROR(INDEX($F$27:$F$36,MATCH(C1937,($F$27:$F$36)*($D$27:$D$36&lt;&gt;0),0)),IF(OR(AND(D1937=0,B1937=0,B1938&lt;&gt;0),AND(D1937*D1936&lt;0,B1937&lt;&gt;0)),IF(D1937=0,C1937,C1937*(1-ABS(D1937)/(ABS(D1937)+ABS(D1936)))+C1936*(1-ABS(D1936)/(ABS(D1937)+ABS(D1936)))),"")))</f>
        <v>#NAME?</v>
      </c>
    </row>
    <row r="1938" spans="2:5" x14ac:dyDescent="0.25">
      <c r="B1938" t="e">
        <f t="shared" ca="1" si="61"/>
        <v>#NAME?</v>
      </c>
      <c r="C1938">
        <v>1895</v>
      </c>
      <c r="D1938" t="e">
        <f t="shared" ca="1" si="60"/>
        <v>#NAME?</v>
      </c>
      <c r="E1938" s="115" t="e">
        <f t="array" aca="1" ref="E1938" ca="1">IF(OR(C1937=0,AND(B1939=0,C1939=0)),"",IFERROR(INDEX($F$27:$F$36,MATCH(C1938,($F$27:$F$36)*($D$27:$D$36&lt;&gt;0),0)),IF(OR(AND(D1938=0,B1938=0,B1939&lt;&gt;0),AND(D1938*D1937&lt;0,B1938&lt;&gt;0)),IF(D1938=0,C1938,C1938*(1-ABS(D1938)/(ABS(D1938)+ABS(D1937)))+C1937*(1-ABS(D1937)/(ABS(D1938)+ABS(D1937)))),"")))</f>
        <v>#NAME?</v>
      </c>
    </row>
    <row r="1939" spans="2:5" x14ac:dyDescent="0.25">
      <c r="B1939" t="e">
        <f t="shared" ca="1" si="61"/>
        <v>#NAME?</v>
      </c>
      <c r="C1939">
        <v>1896</v>
      </c>
      <c r="D1939" t="e">
        <f t="shared" ca="1" si="60"/>
        <v>#NAME?</v>
      </c>
      <c r="E1939" s="115" t="e">
        <f t="array" aca="1" ref="E1939" ca="1">IF(OR(C1938=0,AND(B1940=0,C1940=0)),"",IFERROR(INDEX($F$27:$F$36,MATCH(C1939,($F$27:$F$36)*($D$27:$D$36&lt;&gt;0),0)),IF(OR(AND(D1939=0,B1939=0,B1940&lt;&gt;0),AND(D1939*D1938&lt;0,B1939&lt;&gt;0)),IF(D1939=0,C1939,C1939*(1-ABS(D1939)/(ABS(D1939)+ABS(D1938)))+C1938*(1-ABS(D1938)/(ABS(D1939)+ABS(D1938)))),"")))</f>
        <v>#NAME?</v>
      </c>
    </row>
    <row r="1940" spans="2:5" x14ac:dyDescent="0.25">
      <c r="B1940" t="e">
        <f t="shared" ca="1" si="61"/>
        <v>#NAME?</v>
      </c>
      <c r="C1940">
        <v>1897</v>
      </c>
      <c r="D1940" t="e">
        <f t="shared" ca="1" si="60"/>
        <v>#NAME?</v>
      </c>
      <c r="E1940" s="115" t="e">
        <f t="array" aca="1" ref="E1940" ca="1">IF(OR(C1939=0,AND(B1941=0,C1941=0)),"",IFERROR(INDEX($F$27:$F$36,MATCH(C1940,($F$27:$F$36)*($D$27:$D$36&lt;&gt;0),0)),IF(OR(AND(D1940=0,B1940=0,B1941&lt;&gt;0),AND(D1940*D1939&lt;0,B1940&lt;&gt;0)),IF(D1940=0,C1940,C1940*(1-ABS(D1940)/(ABS(D1940)+ABS(D1939)))+C1939*(1-ABS(D1939)/(ABS(D1940)+ABS(D1939)))),"")))</f>
        <v>#NAME?</v>
      </c>
    </row>
    <row r="1941" spans="2:5" x14ac:dyDescent="0.25">
      <c r="B1941" t="e">
        <f t="shared" ca="1" si="61"/>
        <v>#NAME?</v>
      </c>
      <c r="C1941">
        <v>1898</v>
      </c>
      <c r="D1941" t="e">
        <f t="shared" ca="1" si="60"/>
        <v>#NAME?</v>
      </c>
      <c r="E1941" s="115" t="e">
        <f t="array" aca="1" ref="E1941" ca="1">IF(OR(C1940=0,AND(B1942=0,C1942=0)),"",IFERROR(INDEX($F$27:$F$36,MATCH(C1941,($F$27:$F$36)*($D$27:$D$36&lt;&gt;0),0)),IF(OR(AND(D1941=0,B1941=0,B1942&lt;&gt;0),AND(D1941*D1940&lt;0,B1941&lt;&gt;0)),IF(D1941=0,C1941,C1941*(1-ABS(D1941)/(ABS(D1941)+ABS(D1940)))+C1940*(1-ABS(D1940)/(ABS(D1941)+ABS(D1940)))),"")))</f>
        <v>#NAME?</v>
      </c>
    </row>
    <row r="1942" spans="2:5" x14ac:dyDescent="0.25">
      <c r="B1942" t="e">
        <f t="shared" ca="1" si="61"/>
        <v>#NAME?</v>
      </c>
      <c r="C1942">
        <v>1899</v>
      </c>
      <c r="D1942" t="e">
        <f t="shared" ca="1" si="60"/>
        <v>#NAME?</v>
      </c>
      <c r="E1942" s="115" t="e">
        <f t="array" aca="1" ref="E1942" ca="1">IF(OR(C1941=0,AND(B1943=0,C1943=0)),"",IFERROR(INDEX($F$27:$F$36,MATCH(C1942,($F$27:$F$36)*($D$27:$D$36&lt;&gt;0),0)),IF(OR(AND(D1942=0,B1942=0,B1943&lt;&gt;0),AND(D1942*D1941&lt;0,B1942&lt;&gt;0)),IF(D1942=0,C1942,C1942*(1-ABS(D1942)/(ABS(D1942)+ABS(D1941)))+C1941*(1-ABS(D1941)/(ABS(D1942)+ABS(D1941)))),"")))</f>
        <v>#NAME?</v>
      </c>
    </row>
    <row r="1943" spans="2:5" x14ac:dyDescent="0.25">
      <c r="B1943" t="e">
        <f t="shared" ca="1" si="61"/>
        <v>#NAME?</v>
      </c>
      <c r="C1943">
        <v>1900</v>
      </c>
      <c r="D1943" t="e">
        <f t="shared" ca="1" si="60"/>
        <v>#NAME?</v>
      </c>
      <c r="E1943" s="115" t="e">
        <f t="array" aca="1" ref="E1943" ca="1">IF(OR(C1942=0,AND(B1944=0,C1944=0)),"",IFERROR(INDEX($F$27:$F$36,MATCH(C1943,($F$27:$F$36)*($D$27:$D$36&lt;&gt;0),0)),IF(OR(AND(D1943=0,B1943=0,B1944&lt;&gt;0),AND(D1943*D1942&lt;0,B1943&lt;&gt;0)),IF(D1943=0,C1943,C1943*(1-ABS(D1943)/(ABS(D1943)+ABS(D1942)))+C1942*(1-ABS(D1942)/(ABS(D1943)+ABS(D1942)))),"")))</f>
        <v>#NAME?</v>
      </c>
    </row>
    <row r="1944" spans="2:5" x14ac:dyDescent="0.25">
      <c r="B1944" t="e">
        <f t="shared" ca="1" si="61"/>
        <v>#NAME?</v>
      </c>
      <c r="C1944">
        <v>1901</v>
      </c>
      <c r="D1944" t="e">
        <f t="shared" ca="1" si="60"/>
        <v>#NAME?</v>
      </c>
      <c r="E1944" s="115" t="e">
        <f t="array" aca="1" ref="E1944" ca="1">IF(OR(C1943=0,AND(B1945=0,C1945=0)),"",IFERROR(INDEX($F$27:$F$36,MATCH(C1944,($F$27:$F$36)*($D$27:$D$36&lt;&gt;0),0)),IF(OR(AND(D1944=0,B1944=0,B1945&lt;&gt;0),AND(D1944*D1943&lt;0,B1944&lt;&gt;0)),IF(D1944=0,C1944,C1944*(1-ABS(D1944)/(ABS(D1944)+ABS(D1943)))+C1943*(1-ABS(D1943)/(ABS(D1944)+ABS(D1943)))),"")))</f>
        <v>#NAME?</v>
      </c>
    </row>
    <row r="1945" spans="2:5" x14ac:dyDescent="0.25">
      <c r="B1945" t="e">
        <f t="shared" ca="1" si="61"/>
        <v>#NAME?</v>
      </c>
      <c r="C1945">
        <v>1902</v>
      </c>
      <c r="D1945" t="e">
        <f t="shared" ca="1" si="60"/>
        <v>#NAME?</v>
      </c>
      <c r="E1945" s="115" t="e">
        <f t="array" aca="1" ref="E1945" ca="1">IF(OR(C1944=0,AND(B1946=0,C1946=0)),"",IFERROR(INDEX($F$27:$F$36,MATCH(C1945,($F$27:$F$36)*($D$27:$D$36&lt;&gt;0),0)),IF(OR(AND(D1945=0,B1945=0,B1946&lt;&gt;0),AND(D1945*D1944&lt;0,B1945&lt;&gt;0)),IF(D1945=0,C1945,C1945*(1-ABS(D1945)/(ABS(D1945)+ABS(D1944)))+C1944*(1-ABS(D1944)/(ABS(D1945)+ABS(D1944)))),"")))</f>
        <v>#NAME?</v>
      </c>
    </row>
    <row r="1946" spans="2:5" x14ac:dyDescent="0.25">
      <c r="B1946" t="e">
        <f t="shared" ca="1" si="61"/>
        <v>#NAME?</v>
      </c>
      <c r="C1946">
        <v>1903</v>
      </c>
      <c r="D1946" t="e">
        <f t="shared" ca="1" si="60"/>
        <v>#NAME?</v>
      </c>
      <c r="E1946" s="115" t="e">
        <f t="array" aca="1" ref="E1946" ca="1">IF(OR(C1945=0,AND(B1947=0,C1947=0)),"",IFERROR(INDEX($F$27:$F$36,MATCH(C1946,($F$27:$F$36)*($D$27:$D$36&lt;&gt;0),0)),IF(OR(AND(D1946=0,B1946=0,B1947&lt;&gt;0),AND(D1946*D1945&lt;0,B1946&lt;&gt;0)),IF(D1946=0,C1946,C1946*(1-ABS(D1946)/(ABS(D1946)+ABS(D1945)))+C1945*(1-ABS(D1945)/(ABS(D1946)+ABS(D1945)))),"")))</f>
        <v>#NAME?</v>
      </c>
    </row>
    <row r="1947" spans="2:5" x14ac:dyDescent="0.25">
      <c r="B1947" t="e">
        <f t="shared" ca="1" si="61"/>
        <v>#NAME?</v>
      </c>
      <c r="C1947">
        <v>1904</v>
      </c>
      <c r="D1947" t="e">
        <f t="shared" ca="1" si="60"/>
        <v>#NAME?</v>
      </c>
      <c r="E1947" s="115" t="e">
        <f t="array" aca="1" ref="E1947" ca="1">IF(OR(C1946=0,AND(B1948=0,C1948=0)),"",IFERROR(INDEX($F$27:$F$36,MATCH(C1947,($F$27:$F$36)*($D$27:$D$36&lt;&gt;0),0)),IF(OR(AND(D1947=0,B1947=0,B1948&lt;&gt;0),AND(D1947*D1946&lt;0,B1947&lt;&gt;0)),IF(D1947=0,C1947,C1947*(1-ABS(D1947)/(ABS(D1947)+ABS(D1946)))+C1946*(1-ABS(D1946)/(ABS(D1947)+ABS(D1946)))),"")))</f>
        <v>#NAME?</v>
      </c>
    </row>
    <row r="1948" spans="2:5" x14ac:dyDescent="0.25">
      <c r="B1948" t="e">
        <f t="shared" ca="1" si="61"/>
        <v>#NAME?</v>
      </c>
      <c r="C1948">
        <v>1905</v>
      </c>
      <c r="D1948" t="e">
        <f t="shared" ca="1" si="60"/>
        <v>#NAME?</v>
      </c>
      <c r="E1948" s="115" t="e">
        <f t="array" aca="1" ref="E1948" ca="1">IF(OR(C1947=0,AND(B1949=0,C1949=0)),"",IFERROR(INDEX($F$27:$F$36,MATCH(C1948,($F$27:$F$36)*($D$27:$D$36&lt;&gt;0),0)),IF(OR(AND(D1948=0,B1948=0,B1949&lt;&gt;0),AND(D1948*D1947&lt;0,B1948&lt;&gt;0)),IF(D1948=0,C1948,C1948*(1-ABS(D1948)/(ABS(D1948)+ABS(D1947)))+C1947*(1-ABS(D1947)/(ABS(D1948)+ABS(D1947)))),"")))</f>
        <v>#NAME?</v>
      </c>
    </row>
    <row r="1949" spans="2:5" x14ac:dyDescent="0.25">
      <c r="B1949" t="e">
        <f t="shared" ca="1" si="61"/>
        <v>#NAME?</v>
      </c>
      <c r="C1949">
        <v>1906</v>
      </c>
      <c r="D1949" t="e">
        <f t="shared" ca="1" si="60"/>
        <v>#NAME?</v>
      </c>
      <c r="E1949" s="115" t="e">
        <f t="array" aca="1" ref="E1949" ca="1">IF(OR(C1948=0,AND(B1950=0,C1950=0)),"",IFERROR(INDEX($F$27:$F$36,MATCH(C1949,($F$27:$F$36)*($D$27:$D$36&lt;&gt;0),0)),IF(OR(AND(D1949=0,B1949=0,B1950&lt;&gt;0),AND(D1949*D1948&lt;0,B1949&lt;&gt;0)),IF(D1949=0,C1949,C1949*(1-ABS(D1949)/(ABS(D1949)+ABS(D1948)))+C1948*(1-ABS(D1948)/(ABS(D1949)+ABS(D1948)))),"")))</f>
        <v>#NAME?</v>
      </c>
    </row>
    <row r="1950" spans="2:5" x14ac:dyDescent="0.25">
      <c r="B1950" t="e">
        <f t="shared" ca="1" si="61"/>
        <v>#NAME?</v>
      </c>
      <c r="C1950">
        <v>1907</v>
      </c>
      <c r="D1950" t="e">
        <f t="shared" ca="1" si="60"/>
        <v>#NAME?</v>
      </c>
      <c r="E1950" s="115" t="e">
        <f t="array" aca="1" ref="E1950" ca="1">IF(OR(C1949=0,AND(B1951=0,C1951=0)),"",IFERROR(INDEX($F$27:$F$36,MATCH(C1950,($F$27:$F$36)*($D$27:$D$36&lt;&gt;0),0)),IF(OR(AND(D1950=0,B1950=0,B1951&lt;&gt;0),AND(D1950*D1949&lt;0,B1950&lt;&gt;0)),IF(D1950=0,C1950,C1950*(1-ABS(D1950)/(ABS(D1950)+ABS(D1949)))+C1949*(1-ABS(D1949)/(ABS(D1950)+ABS(D1949)))),"")))</f>
        <v>#NAME?</v>
      </c>
    </row>
    <row r="1951" spans="2:5" x14ac:dyDescent="0.25">
      <c r="B1951" t="e">
        <f t="shared" ca="1" si="61"/>
        <v>#NAME?</v>
      </c>
      <c r="C1951">
        <v>1908</v>
      </c>
      <c r="D1951" t="e">
        <f t="shared" ca="1" si="60"/>
        <v>#NAME?</v>
      </c>
      <c r="E1951" s="115" t="e">
        <f t="array" aca="1" ref="E1951" ca="1">IF(OR(C1950=0,AND(B1952=0,C1952=0)),"",IFERROR(INDEX($F$27:$F$36,MATCH(C1951,($F$27:$F$36)*($D$27:$D$36&lt;&gt;0),0)),IF(OR(AND(D1951=0,B1951=0,B1952&lt;&gt;0),AND(D1951*D1950&lt;0,B1951&lt;&gt;0)),IF(D1951=0,C1951,C1951*(1-ABS(D1951)/(ABS(D1951)+ABS(D1950)))+C1950*(1-ABS(D1950)/(ABS(D1951)+ABS(D1950)))),"")))</f>
        <v>#NAME?</v>
      </c>
    </row>
    <row r="1952" spans="2:5" x14ac:dyDescent="0.25">
      <c r="B1952" t="e">
        <f t="shared" ca="1" si="61"/>
        <v>#NAME?</v>
      </c>
      <c r="C1952">
        <v>1909</v>
      </c>
      <c r="D1952" t="e">
        <f t="shared" ca="1" si="60"/>
        <v>#NAME?</v>
      </c>
      <c r="E1952" s="115" t="e">
        <f t="array" aca="1" ref="E1952" ca="1">IF(OR(C1951=0,AND(B1953=0,C1953=0)),"",IFERROR(INDEX($F$27:$F$36,MATCH(C1952,($F$27:$F$36)*($D$27:$D$36&lt;&gt;0),0)),IF(OR(AND(D1952=0,B1952=0,B1953&lt;&gt;0),AND(D1952*D1951&lt;0,B1952&lt;&gt;0)),IF(D1952=0,C1952,C1952*(1-ABS(D1952)/(ABS(D1952)+ABS(D1951)))+C1951*(1-ABS(D1951)/(ABS(D1952)+ABS(D1951)))),"")))</f>
        <v>#NAME?</v>
      </c>
    </row>
    <row r="1953" spans="2:5" x14ac:dyDescent="0.25">
      <c r="B1953" t="e">
        <f t="shared" ca="1" si="61"/>
        <v>#NAME?</v>
      </c>
      <c r="C1953">
        <v>1910</v>
      </c>
      <c r="D1953" t="e">
        <f t="shared" ca="1" si="60"/>
        <v>#NAME?</v>
      </c>
      <c r="E1953" s="115" t="e">
        <f t="array" aca="1" ref="E1953" ca="1">IF(OR(C1952=0,AND(B1954=0,C1954=0)),"",IFERROR(INDEX($F$27:$F$36,MATCH(C1953,($F$27:$F$36)*($D$27:$D$36&lt;&gt;0),0)),IF(OR(AND(D1953=0,B1953=0,B1954&lt;&gt;0),AND(D1953*D1952&lt;0,B1953&lt;&gt;0)),IF(D1953=0,C1953,C1953*(1-ABS(D1953)/(ABS(D1953)+ABS(D1952)))+C1952*(1-ABS(D1952)/(ABS(D1953)+ABS(D1952)))),"")))</f>
        <v>#NAME?</v>
      </c>
    </row>
    <row r="1954" spans="2:5" x14ac:dyDescent="0.25">
      <c r="B1954" t="e">
        <f t="shared" ca="1" si="61"/>
        <v>#NAME?</v>
      </c>
      <c r="C1954">
        <v>1911</v>
      </c>
      <c r="D1954" t="e">
        <f t="shared" ca="1" si="60"/>
        <v>#NAME?</v>
      </c>
      <c r="E1954" s="115" t="e">
        <f t="array" aca="1" ref="E1954" ca="1">IF(OR(C1953=0,AND(B1955=0,C1955=0)),"",IFERROR(INDEX($F$27:$F$36,MATCH(C1954,($F$27:$F$36)*($D$27:$D$36&lt;&gt;0),0)),IF(OR(AND(D1954=0,B1954=0,B1955&lt;&gt;0),AND(D1954*D1953&lt;0,B1954&lt;&gt;0)),IF(D1954=0,C1954,C1954*(1-ABS(D1954)/(ABS(D1954)+ABS(D1953)))+C1953*(1-ABS(D1953)/(ABS(D1954)+ABS(D1953)))),"")))</f>
        <v>#NAME?</v>
      </c>
    </row>
    <row r="1955" spans="2:5" x14ac:dyDescent="0.25">
      <c r="B1955" t="e">
        <f t="shared" ca="1" si="61"/>
        <v>#NAME?</v>
      </c>
      <c r="C1955">
        <v>1912</v>
      </c>
      <c r="D1955" t="e">
        <f t="shared" ca="1" si="60"/>
        <v>#NAME?</v>
      </c>
      <c r="E1955" s="115" t="e">
        <f t="array" aca="1" ref="E1955" ca="1">IF(OR(C1954=0,AND(B1956=0,C1956=0)),"",IFERROR(INDEX($F$27:$F$36,MATCH(C1955,($F$27:$F$36)*($D$27:$D$36&lt;&gt;0),0)),IF(OR(AND(D1955=0,B1955=0,B1956&lt;&gt;0),AND(D1955*D1954&lt;0,B1955&lt;&gt;0)),IF(D1955=0,C1955,C1955*(1-ABS(D1955)/(ABS(D1955)+ABS(D1954)))+C1954*(1-ABS(D1954)/(ABS(D1955)+ABS(D1954)))),"")))</f>
        <v>#NAME?</v>
      </c>
    </row>
    <row r="1956" spans="2:5" x14ac:dyDescent="0.25">
      <c r="B1956" t="e">
        <f t="shared" ca="1" si="61"/>
        <v>#NAME?</v>
      </c>
      <c r="C1956">
        <v>1913</v>
      </c>
      <c r="D1956" t="e">
        <f t="shared" ca="1" si="60"/>
        <v>#NAME?</v>
      </c>
      <c r="E1956" s="115" t="e">
        <f t="array" aca="1" ref="E1956" ca="1">IF(OR(C1955=0,AND(B1957=0,C1957=0)),"",IFERROR(INDEX($F$27:$F$36,MATCH(C1956,($F$27:$F$36)*($D$27:$D$36&lt;&gt;0),0)),IF(OR(AND(D1956=0,B1956=0,B1957&lt;&gt;0),AND(D1956*D1955&lt;0,B1956&lt;&gt;0)),IF(D1956=0,C1956,C1956*(1-ABS(D1956)/(ABS(D1956)+ABS(D1955)))+C1955*(1-ABS(D1955)/(ABS(D1956)+ABS(D1955)))),"")))</f>
        <v>#NAME?</v>
      </c>
    </row>
    <row r="1957" spans="2:5" x14ac:dyDescent="0.25">
      <c r="B1957" t="e">
        <f t="shared" ca="1" si="61"/>
        <v>#NAME?</v>
      </c>
      <c r="C1957">
        <v>1914</v>
      </c>
      <c r="D1957" t="e">
        <f t="shared" ca="1" si="60"/>
        <v>#NAME?</v>
      </c>
      <c r="E1957" s="115" t="e">
        <f t="array" aca="1" ref="E1957" ca="1">IF(OR(C1956=0,AND(B1958=0,C1958=0)),"",IFERROR(INDEX($F$27:$F$36,MATCH(C1957,($F$27:$F$36)*($D$27:$D$36&lt;&gt;0),0)),IF(OR(AND(D1957=0,B1957=0,B1958&lt;&gt;0),AND(D1957*D1956&lt;0,B1957&lt;&gt;0)),IF(D1957=0,C1957,C1957*(1-ABS(D1957)/(ABS(D1957)+ABS(D1956)))+C1956*(1-ABS(D1956)/(ABS(D1957)+ABS(D1956)))),"")))</f>
        <v>#NAME?</v>
      </c>
    </row>
    <row r="1958" spans="2:5" x14ac:dyDescent="0.25">
      <c r="B1958" t="e">
        <f t="shared" ca="1" si="61"/>
        <v>#NAME?</v>
      </c>
      <c r="C1958">
        <v>1915</v>
      </c>
      <c r="D1958" t="e">
        <f t="shared" ca="1" si="60"/>
        <v>#NAME?</v>
      </c>
      <c r="E1958" s="115" t="e">
        <f t="array" aca="1" ref="E1958" ca="1">IF(OR(C1957=0,AND(B1959=0,C1959=0)),"",IFERROR(INDEX($F$27:$F$36,MATCH(C1958,($F$27:$F$36)*($D$27:$D$36&lt;&gt;0),0)),IF(OR(AND(D1958=0,B1958=0,B1959&lt;&gt;0),AND(D1958*D1957&lt;0,B1958&lt;&gt;0)),IF(D1958=0,C1958,C1958*(1-ABS(D1958)/(ABS(D1958)+ABS(D1957)))+C1957*(1-ABS(D1957)/(ABS(D1958)+ABS(D1957)))),"")))</f>
        <v>#NAME?</v>
      </c>
    </row>
    <row r="1959" spans="2:5" x14ac:dyDescent="0.25">
      <c r="B1959" t="e">
        <f t="shared" ca="1" si="61"/>
        <v>#NAME?</v>
      </c>
      <c r="C1959">
        <v>1916</v>
      </c>
      <c r="D1959" t="e">
        <f t="shared" ca="1" si="60"/>
        <v>#NAME?</v>
      </c>
      <c r="E1959" s="115" t="e">
        <f t="array" aca="1" ref="E1959" ca="1">IF(OR(C1958=0,AND(B1960=0,C1960=0)),"",IFERROR(INDEX($F$27:$F$36,MATCH(C1959,($F$27:$F$36)*($D$27:$D$36&lt;&gt;0),0)),IF(OR(AND(D1959=0,B1959=0,B1960&lt;&gt;0),AND(D1959*D1958&lt;0,B1959&lt;&gt;0)),IF(D1959=0,C1959,C1959*(1-ABS(D1959)/(ABS(D1959)+ABS(D1958)))+C1958*(1-ABS(D1958)/(ABS(D1959)+ABS(D1958)))),"")))</f>
        <v>#NAME?</v>
      </c>
    </row>
    <row r="1960" spans="2:5" x14ac:dyDescent="0.25">
      <c r="B1960" t="e">
        <f t="shared" ca="1" si="61"/>
        <v>#NAME?</v>
      </c>
      <c r="C1960">
        <v>1917</v>
      </c>
      <c r="D1960" t="e">
        <f t="shared" ca="1" si="60"/>
        <v>#NAME?</v>
      </c>
      <c r="E1960" s="115" t="e">
        <f t="array" aca="1" ref="E1960" ca="1">IF(OR(C1959=0,AND(B1961=0,C1961=0)),"",IFERROR(INDEX($F$27:$F$36,MATCH(C1960,($F$27:$F$36)*($D$27:$D$36&lt;&gt;0),0)),IF(OR(AND(D1960=0,B1960=0,B1961&lt;&gt;0),AND(D1960*D1959&lt;0,B1960&lt;&gt;0)),IF(D1960=0,C1960,C1960*(1-ABS(D1960)/(ABS(D1960)+ABS(D1959)))+C1959*(1-ABS(D1959)/(ABS(D1960)+ABS(D1959)))),"")))</f>
        <v>#NAME?</v>
      </c>
    </row>
    <row r="1961" spans="2:5" x14ac:dyDescent="0.25">
      <c r="B1961" t="e">
        <f t="shared" ca="1" si="61"/>
        <v>#NAME?</v>
      </c>
      <c r="C1961">
        <v>1918</v>
      </c>
      <c r="D1961" t="e">
        <f t="shared" ca="1" si="60"/>
        <v>#NAME?</v>
      </c>
      <c r="E1961" s="115" t="e">
        <f t="array" aca="1" ref="E1961" ca="1">IF(OR(C1960=0,AND(B1962=0,C1962=0)),"",IFERROR(INDEX($F$27:$F$36,MATCH(C1961,($F$27:$F$36)*($D$27:$D$36&lt;&gt;0),0)),IF(OR(AND(D1961=0,B1961=0,B1962&lt;&gt;0),AND(D1961*D1960&lt;0,B1961&lt;&gt;0)),IF(D1961=0,C1961,C1961*(1-ABS(D1961)/(ABS(D1961)+ABS(D1960)))+C1960*(1-ABS(D1960)/(ABS(D1961)+ABS(D1960)))),"")))</f>
        <v>#NAME?</v>
      </c>
    </row>
    <row r="1962" spans="2:5" x14ac:dyDescent="0.25">
      <c r="B1962" t="e">
        <f t="shared" ca="1" si="61"/>
        <v>#NAME?</v>
      </c>
      <c r="C1962">
        <v>1919</v>
      </c>
      <c r="D1962" t="e">
        <f t="shared" ca="1" si="60"/>
        <v>#NAME?</v>
      </c>
      <c r="E1962" s="115" t="e">
        <f t="array" aca="1" ref="E1962" ca="1">IF(OR(C1961=0,AND(B1963=0,C1963=0)),"",IFERROR(INDEX($F$27:$F$36,MATCH(C1962,($F$27:$F$36)*($D$27:$D$36&lt;&gt;0),0)),IF(OR(AND(D1962=0,B1962=0,B1963&lt;&gt;0),AND(D1962*D1961&lt;0,B1962&lt;&gt;0)),IF(D1962=0,C1962,C1962*(1-ABS(D1962)/(ABS(D1962)+ABS(D1961)))+C1961*(1-ABS(D1961)/(ABS(D1962)+ABS(D1961)))),"")))</f>
        <v>#NAME?</v>
      </c>
    </row>
    <row r="1963" spans="2:5" x14ac:dyDescent="0.25">
      <c r="B1963" t="e">
        <f t="shared" ca="1" si="61"/>
        <v>#NAME?</v>
      </c>
      <c r="C1963">
        <v>1920</v>
      </c>
      <c r="D1963" t="e">
        <f t="shared" ref="D1963:D2026" ca="1" si="62">SUMPRODUCT(--($J$27:$J$37&gt;0),--($C1963-$F$27:$F$37&gt;0),($D$27:$D$37),($C1963-$F$27:$F$37))+SUMPRODUCT(--($J$27:$J$37&lt;0),--($F$27:$F$37-$C1963&gt;0),($D$27:$D$37),($F$27:$F$37-$C1963))-SUMPRODUCT($D$27:$D$37,$E$27:$E$37)</f>
        <v>#NAME?</v>
      </c>
      <c r="E1963" s="115" t="e">
        <f t="array" aca="1" ref="E1963" ca="1">IF(OR(C1962=0,AND(B1964=0,C1964=0)),"",IFERROR(INDEX($F$27:$F$36,MATCH(C1963,($F$27:$F$36)*($D$27:$D$36&lt;&gt;0),0)),IF(OR(AND(D1963=0,B1963=0,B1964&lt;&gt;0),AND(D1963*D1962&lt;0,B1963&lt;&gt;0)),IF(D1963=0,C1963,C1963*(1-ABS(D1963)/(ABS(D1963)+ABS(D1962)))+C1962*(1-ABS(D1962)/(ABS(D1963)+ABS(D1962)))),"")))</f>
        <v>#NAME?</v>
      </c>
    </row>
    <row r="1964" spans="2:5" x14ac:dyDescent="0.25">
      <c r="B1964" t="e">
        <f t="shared" ref="B1964:B2027" ca="1" si="63">ROUND((D1964-D1963)/(C1964-C1963),12)</f>
        <v>#NAME?</v>
      </c>
      <c r="C1964">
        <v>1921</v>
      </c>
      <c r="D1964" t="e">
        <f t="shared" ca="1" si="62"/>
        <v>#NAME?</v>
      </c>
      <c r="E1964" s="115" t="e">
        <f t="array" aca="1" ref="E1964" ca="1">IF(OR(C1963=0,AND(B1965=0,C1965=0)),"",IFERROR(INDEX($F$27:$F$36,MATCH(C1964,($F$27:$F$36)*($D$27:$D$36&lt;&gt;0),0)),IF(OR(AND(D1964=0,B1964=0,B1965&lt;&gt;0),AND(D1964*D1963&lt;0,B1964&lt;&gt;0)),IF(D1964=0,C1964,C1964*(1-ABS(D1964)/(ABS(D1964)+ABS(D1963)))+C1963*(1-ABS(D1963)/(ABS(D1964)+ABS(D1963)))),"")))</f>
        <v>#NAME?</v>
      </c>
    </row>
    <row r="1965" spans="2:5" x14ac:dyDescent="0.25">
      <c r="B1965" t="e">
        <f t="shared" ca="1" si="63"/>
        <v>#NAME?</v>
      </c>
      <c r="C1965">
        <v>1922</v>
      </c>
      <c r="D1965" t="e">
        <f t="shared" ca="1" si="62"/>
        <v>#NAME?</v>
      </c>
      <c r="E1965" s="115" t="e">
        <f t="array" aca="1" ref="E1965" ca="1">IF(OR(C1964=0,AND(B1966=0,C1966=0)),"",IFERROR(INDEX($F$27:$F$36,MATCH(C1965,($F$27:$F$36)*($D$27:$D$36&lt;&gt;0),0)),IF(OR(AND(D1965=0,B1965=0,B1966&lt;&gt;0),AND(D1965*D1964&lt;0,B1965&lt;&gt;0)),IF(D1965=0,C1965,C1965*(1-ABS(D1965)/(ABS(D1965)+ABS(D1964)))+C1964*(1-ABS(D1964)/(ABS(D1965)+ABS(D1964)))),"")))</f>
        <v>#NAME?</v>
      </c>
    </row>
    <row r="1966" spans="2:5" x14ac:dyDescent="0.25">
      <c r="B1966" t="e">
        <f t="shared" ca="1" si="63"/>
        <v>#NAME?</v>
      </c>
      <c r="C1966">
        <v>1923</v>
      </c>
      <c r="D1966" t="e">
        <f t="shared" ca="1" si="62"/>
        <v>#NAME?</v>
      </c>
      <c r="E1966" s="115" t="e">
        <f t="array" aca="1" ref="E1966" ca="1">IF(OR(C1965=0,AND(B1967=0,C1967=0)),"",IFERROR(INDEX($F$27:$F$36,MATCH(C1966,($F$27:$F$36)*($D$27:$D$36&lt;&gt;0),0)),IF(OR(AND(D1966=0,B1966=0,B1967&lt;&gt;0),AND(D1966*D1965&lt;0,B1966&lt;&gt;0)),IF(D1966=0,C1966,C1966*(1-ABS(D1966)/(ABS(D1966)+ABS(D1965)))+C1965*(1-ABS(D1965)/(ABS(D1966)+ABS(D1965)))),"")))</f>
        <v>#NAME?</v>
      </c>
    </row>
    <row r="1967" spans="2:5" x14ac:dyDescent="0.25">
      <c r="B1967" t="e">
        <f t="shared" ca="1" si="63"/>
        <v>#NAME?</v>
      </c>
      <c r="C1967">
        <v>1924</v>
      </c>
      <c r="D1967" t="e">
        <f t="shared" ca="1" si="62"/>
        <v>#NAME?</v>
      </c>
      <c r="E1967" s="115" t="e">
        <f t="array" aca="1" ref="E1967" ca="1">IF(OR(C1966=0,AND(B1968=0,C1968=0)),"",IFERROR(INDEX($F$27:$F$36,MATCH(C1967,($F$27:$F$36)*($D$27:$D$36&lt;&gt;0),0)),IF(OR(AND(D1967=0,B1967=0,B1968&lt;&gt;0),AND(D1967*D1966&lt;0,B1967&lt;&gt;0)),IF(D1967=0,C1967,C1967*(1-ABS(D1967)/(ABS(D1967)+ABS(D1966)))+C1966*(1-ABS(D1966)/(ABS(D1967)+ABS(D1966)))),"")))</f>
        <v>#NAME?</v>
      </c>
    </row>
    <row r="1968" spans="2:5" x14ac:dyDescent="0.25">
      <c r="B1968" t="e">
        <f t="shared" ca="1" si="63"/>
        <v>#NAME?</v>
      </c>
      <c r="C1968">
        <v>1925</v>
      </c>
      <c r="D1968" t="e">
        <f t="shared" ca="1" si="62"/>
        <v>#NAME?</v>
      </c>
      <c r="E1968" s="115" t="e">
        <f t="array" aca="1" ref="E1968" ca="1">IF(OR(C1967=0,AND(B1969=0,C1969=0)),"",IFERROR(INDEX($F$27:$F$36,MATCH(C1968,($F$27:$F$36)*($D$27:$D$36&lt;&gt;0),0)),IF(OR(AND(D1968=0,B1968=0,B1969&lt;&gt;0),AND(D1968*D1967&lt;0,B1968&lt;&gt;0)),IF(D1968=0,C1968,C1968*(1-ABS(D1968)/(ABS(D1968)+ABS(D1967)))+C1967*(1-ABS(D1967)/(ABS(D1968)+ABS(D1967)))),"")))</f>
        <v>#NAME?</v>
      </c>
    </row>
    <row r="1969" spans="2:5" x14ac:dyDescent="0.25">
      <c r="B1969" t="e">
        <f t="shared" ca="1" si="63"/>
        <v>#NAME?</v>
      </c>
      <c r="C1969">
        <v>1926</v>
      </c>
      <c r="D1969" t="e">
        <f t="shared" ca="1" si="62"/>
        <v>#NAME?</v>
      </c>
      <c r="E1969" s="115" t="e">
        <f t="array" aca="1" ref="E1969" ca="1">IF(OR(C1968=0,AND(B1970=0,C1970=0)),"",IFERROR(INDEX($F$27:$F$36,MATCH(C1969,($F$27:$F$36)*($D$27:$D$36&lt;&gt;0),0)),IF(OR(AND(D1969=0,B1969=0,B1970&lt;&gt;0),AND(D1969*D1968&lt;0,B1969&lt;&gt;0)),IF(D1969=0,C1969,C1969*(1-ABS(D1969)/(ABS(D1969)+ABS(D1968)))+C1968*(1-ABS(D1968)/(ABS(D1969)+ABS(D1968)))),"")))</f>
        <v>#NAME?</v>
      </c>
    </row>
    <row r="1970" spans="2:5" x14ac:dyDescent="0.25">
      <c r="B1970" t="e">
        <f t="shared" ca="1" si="63"/>
        <v>#NAME?</v>
      </c>
      <c r="C1970">
        <v>1927</v>
      </c>
      <c r="D1970" t="e">
        <f t="shared" ca="1" si="62"/>
        <v>#NAME?</v>
      </c>
      <c r="E1970" s="115" t="e">
        <f t="array" aca="1" ref="E1970" ca="1">IF(OR(C1969=0,AND(B1971=0,C1971=0)),"",IFERROR(INDEX($F$27:$F$36,MATCH(C1970,($F$27:$F$36)*($D$27:$D$36&lt;&gt;0),0)),IF(OR(AND(D1970=0,B1970=0,B1971&lt;&gt;0),AND(D1970*D1969&lt;0,B1970&lt;&gt;0)),IF(D1970=0,C1970,C1970*(1-ABS(D1970)/(ABS(D1970)+ABS(D1969)))+C1969*(1-ABS(D1969)/(ABS(D1970)+ABS(D1969)))),"")))</f>
        <v>#NAME?</v>
      </c>
    </row>
    <row r="1971" spans="2:5" x14ac:dyDescent="0.25">
      <c r="B1971" t="e">
        <f t="shared" ca="1" si="63"/>
        <v>#NAME?</v>
      </c>
      <c r="C1971">
        <v>1928</v>
      </c>
      <c r="D1971" t="e">
        <f t="shared" ca="1" si="62"/>
        <v>#NAME?</v>
      </c>
      <c r="E1971" s="115" t="e">
        <f t="array" aca="1" ref="E1971" ca="1">IF(OR(C1970=0,AND(B1972=0,C1972=0)),"",IFERROR(INDEX($F$27:$F$36,MATCH(C1971,($F$27:$F$36)*($D$27:$D$36&lt;&gt;0),0)),IF(OR(AND(D1971=0,B1971=0,B1972&lt;&gt;0),AND(D1971*D1970&lt;0,B1971&lt;&gt;0)),IF(D1971=0,C1971,C1971*(1-ABS(D1971)/(ABS(D1971)+ABS(D1970)))+C1970*(1-ABS(D1970)/(ABS(D1971)+ABS(D1970)))),"")))</f>
        <v>#NAME?</v>
      </c>
    </row>
    <row r="1972" spans="2:5" x14ac:dyDescent="0.25">
      <c r="B1972" t="e">
        <f t="shared" ca="1" si="63"/>
        <v>#NAME?</v>
      </c>
      <c r="C1972">
        <v>1929</v>
      </c>
      <c r="D1972" t="e">
        <f t="shared" ca="1" si="62"/>
        <v>#NAME?</v>
      </c>
      <c r="E1972" s="115" t="e">
        <f t="array" aca="1" ref="E1972" ca="1">IF(OR(C1971=0,AND(B1973=0,C1973=0)),"",IFERROR(INDEX($F$27:$F$36,MATCH(C1972,($F$27:$F$36)*($D$27:$D$36&lt;&gt;0),0)),IF(OR(AND(D1972=0,B1972=0,B1973&lt;&gt;0),AND(D1972*D1971&lt;0,B1972&lt;&gt;0)),IF(D1972=0,C1972,C1972*(1-ABS(D1972)/(ABS(D1972)+ABS(D1971)))+C1971*(1-ABS(D1971)/(ABS(D1972)+ABS(D1971)))),"")))</f>
        <v>#NAME?</v>
      </c>
    </row>
    <row r="1973" spans="2:5" x14ac:dyDescent="0.25">
      <c r="B1973" t="e">
        <f t="shared" ca="1" si="63"/>
        <v>#NAME?</v>
      </c>
      <c r="C1973">
        <v>1930</v>
      </c>
      <c r="D1973" t="e">
        <f t="shared" ca="1" si="62"/>
        <v>#NAME?</v>
      </c>
      <c r="E1973" s="115" t="e">
        <f t="array" aca="1" ref="E1973" ca="1">IF(OR(C1972=0,AND(B1974=0,C1974=0)),"",IFERROR(INDEX($F$27:$F$36,MATCH(C1973,($F$27:$F$36)*($D$27:$D$36&lt;&gt;0),0)),IF(OR(AND(D1973=0,B1973=0,B1974&lt;&gt;0),AND(D1973*D1972&lt;0,B1973&lt;&gt;0)),IF(D1973=0,C1973,C1973*(1-ABS(D1973)/(ABS(D1973)+ABS(D1972)))+C1972*(1-ABS(D1972)/(ABS(D1973)+ABS(D1972)))),"")))</f>
        <v>#NAME?</v>
      </c>
    </row>
    <row r="1974" spans="2:5" x14ac:dyDescent="0.25">
      <c r="B1974" t="e">
        <f t="shared" ca="1" si="63"/>
        <v>#NAME?</v>
      </c>
      <c r="C1974">
        <v>1931</v>
      </c>
      <c r="D1974" t="e">
        <f t="shared" ca="1" si="62"/>
        <v>#NAME?</v>
      </c>
      <c r="E1974" s="115" t="e">
        <f t="array" aca="1" ref="E1974" ca="1">IF(OR(C1973=0,AND(B1975=0,C1975=0)),"",IFERROR(INDEX($F$27:$F$36,MATCH(C1974,($F$27:$F$36)*($D$27:$D$36&lt;&gt;0),0)),IF(OR(AND(D1974=0,B1974=0,B1975&lt;&gt;0),AND(D1974*D1973&lt;0,B1974&lt;&gt;0)),IF(D1974=0,C1974,C1974*(1-ABS(D1974)/(ABS(D1974)+ABS(D1973)))+C1973*(1-ABS(D1973)/(ABS(D1974)+ABS(D1973)))),"")))</f>
        <v>#NAME?</v>
      </c>
    </row>
    <row r="1975" spans="2:5" x14ac:dyDescent="0.25">
      <c r="B1975" t="e">
        <f t="shared" ca="1" si="63"/>
        <v>#NAME?</v>
      </c>
      <c r="C1975">
        <v>1932</v>
      </c>
      <c r="D1975" t="e">
        <f t="shared" ca="1" si="62"/>
        <v>#NAME?</v>
      </c>
      <c r="E1975" s="115" t="e">
        <f t="array" aca="1" ref="E1975" ca="1">IF(OR(C1974=0,AND(B1976=0,C1976=0)),"",IFERROR(INDEX($F$27:$F$36,MATCH(C1975,($F$27:$F$36)*($D$27:$D$36&lt;&gt;0),0)),IF(OR(AND(D1975=0,B1975=0,B1976&lt;&gt;0),AND(D1975*D1974&lt;0,B1975&lt;&gt;0)),IF(D1975=0,C1975,C1975*(1-ABS(D1975)/(ABS(D1975)+ABS(D1974)))+C1974*(1-ABS(D1974)/(ABS(D1975)+ABS(D1974)))),"")))</f>
        <v>#NAME?</v>
      </c>
    </row>
    <row r="1976" spans="2:5" x14ac:dyDescent="0.25">
      <c r="B1976" t="e">
        <f t="shared" ca="1" si="63"/>
        <v>#NAME?</v>
      </c>
      <c r="C1976">
        <v>1933</v>
      </c>
      <c r="D1976" t="e">
        <f t="shared" ca="1" si="62"/>
        <v>#NAME?</v>
      </c>
      <c r="E1976" s="115" t="e">
        <f t="array" aca="1" ref="E1976" ca="1">IF(OR(C1975=0,AND(B1977=0,C1977=0)),"",IFERROR(INDEX($F$27:$F$36,MATCH(C1976,($F$27:$F$36)*($D$27:$D$36&lt;&gt;0),0)),IF(OR(AND(D1976=0,B1976=0,B1977&lt;&gt;0),AND(D1976*D1975&lt;0,B1976&lt;&gt;0)),IF(D1976=0,C1976,C1976*(1-ABS(D1976)/(ABS(D1976)+ABS(D1975)))+C1975*(1-ABS(D1975)/(ABS(D1976)+ABS(D1975)))),"")))</f>
        <v>#NAME?</v>
      </c>
    </row>
    <row r="1977" spans="2:5" x14ac:dyDescent="0.25">
      <c r="B1977" t="e">
        <f t="shared" ca="1" si="63"/>
        <v>#NAME?</v>
      </c>
      <c r="C1977">
        <v>1934</v>
      </c>
      <c r="D1977" t="e">
        <f t="shared" ca="1" si="62"/>
        <v>#NAME?</v>
      </c>
      <c r="E1977" s="115" t="e">
        <f t="array" aca="1" ref="E1977" ca="1">IF(OR(C1976=0,AND(B1978=0,C1978=0)),"",IFERROR(INDEX($F$27:$F$36,MATCH(C1977,($F$27:$F$36)*($D$27:$D$36&lt;&gt;0),0)),IF(OR(AND(D1977=0,B1977=0,B1978&lt;&gt;0),AND(D1977*D1976&lt;0,B1977&lt;&gt;0)),IF(D1977=0,C1977,C1977*(1-ABS(D1977)/(ABS(D1977)+ABS(D1976)))+C1976*(1-ABS(D1976)/(ABS(D1977)+ABS(D1976)))),"")))</f>
        <v>#NAME?</v>
      </c>
    </row>
    <row r="1978" spans="2:5" x14ac:dyDescent="0.25">
      <c r="B1978" t="e">
        <f t="shared" ca="1" si="63"/>
        <v>#NAME?</v>
      </c>
      <c r="C1978">
        <v>1935</v>
      </c>
      <c r="D1978" t="e">
        <f t="shared" ca="1" si="62"/>
        <v>#NAME?</v>
      </c>
      <c r="E1978" s="115" t="e">
        <f t="array" aca="1" ref="E1978" ca="1">IF(OR(C1977=0,AND(B1979=0,C1979=0)),"",IFERROR(INDEX($F$27:$F$36,MATCH(C1978,($F$27:$F$36)*($D$27:$D$36&lt;&gt;0),0)),IF(OR(AND(D1978=0,B1978=0,B1979&lt;&gt;0),AND(D1978*D1977&lt;0,B1978&lt;&gt;0)),IF(D1978=0,C1978,C1978*(1-ABS(D1978)/(ABS(D1978)+ABS(D1977)))+C1977*(1-ABS(D1977)/(ABS(D1978)+ABS(D1977)))),"")))</f>
        <v>#NAME?</v>
      </c>
    </row>
    <row r="1979" spans="2:5" x14ac:dyDescent="0.25">
      <c r="B1979" t="e">
        <f t="shared" ca="1" si="63"/>
        <v>#NAME?</v>
      </c>
      <c r="C1979">
        <v>1936</v>
      </c>
      <c r="D1979" t="e">
        <f t="shared" ca="1" si="62"/>
        <v>#NAME?</v>
      </c>
      <c r="E1979" s="115" t="e">
        <f t="array" aca="1" ref="E1979" ca="1">IF(OR(C1978=0,AND(B1980=0,C1980=0)),"",IFERROR(INDEX($F$27:$F$36,MATCH(C1979,($F$27:$F$36)*($D$27:$D$36&lt;&gt;0),0)),IF(OR(AND(D1979=0,B1979=0,B1980&lt;&gt;0),AND(D1979*D1978&lt;0,B1979&lt;&gt;0)),IF(D1979=0,C1979,C1979*(1-ABS(D1979)/(ABS(D1979)+ABS(D1978)))+C1978*(1-ABS(D1978)/(ABS(D1979)+ABS(D1978)))),"")))</f>
        <v>#NAME?</v>
      </c>
    </row>
    <row r="1980" spans="2:5" x14ac:dyDescent="0.25">
      <c r="B1980" t="e">
        <f t="shared" ca="1" si="63"/>
        <v>#NAME?</v>
      </c>
      <c r="C1980">
        <v>1937</v>
      </c>
      <c r="D1980" t="e">
        <f t="shared" ca="1" si="62"/>
        <v>#NAME?</v>
      </c>
      <c r="E1980" s="115" t="e">
        <f t="array" aca="1" ref="E1980" ca="1">IF(OR(C1979=0,AND(B1981=0,C1981=0)),"",IFERROR(INDEX($F$27:$F$36,MATCH(C1980,($F$27:$F$36)*($D$27:$D$36&lt;&gt;0),0)),IF(OR(AND(D1980=0,B1980=0,B1981&lt;&gt;0),AND(D1980*D1979&lt;0,B1980&lt;&gt;0)),IF(D1980=0,C1980,C1980*(1-ABS(D1980)/(ABS(D1980)+ABS(D1979)))+C1979*(1-ABS(D1979)/(ABS(D1980)+ABS(D1979)))),"")))</f>
        <v>#NAME?</v>
      </c>
    </row>
    <row r="1981" spans="2:5" x14ac:dyDescent="0.25">
      <c r="B1981" t="e">
        <f t="shared" ca="1" si="63"/>
        <v>#NAME?</v>
      </c>
      <c r="C1981">
        <v>1938</v>
      </c>
      <c r="D1981" t="e">
        <f t="shared" ca="1" si="62"/>
        <v>#NAME?</v>
      </c>
      <c r="E1981" s="115" t="e">
        <f t="array" aca="1" ref="E1981" ca="1">IF(OR(C1980=0,AND(B1982=0,C1982=0)),"",IFERROR(INDEX($F$27:$F$36,MATCH(C1981,($F$27:$F$36)*($D$27:$D$36&lt;&gt;0),0)),IF(OR(AND(D1981=0,B1981=0,B1982&lt;&gt;0),AND(D1981*D1980&lt;0,B1981&lt;&gt;0)),IF(D1981=0,C1981,C1981*(1-ABS(D1981)/(ABS(D1981)+ABS(D1980)))+C1980*(1-ABS(D1980)/(ABS(D1981)+ABS(D1980)))),"")))</f>
        <v>#NAME?</v>
      </c>
    </row>
    <row r="1982" spans="2:5" x14ac:dyDescent="0.25">
      <c r="B1982" t="e">
        <f t="shared" ca="1" si="63"/>
        <v>#NAME?</v>
      </c>
      <c r="C1982">
        <v>1939</v>
      </c>
      <c r="D1982" t="e">
        <f t="shared" ca="1" si="62"/>
        <v>#NAME?</v>
      </c>
      <c r="E1982" s="115" t="e">
        <f t="array" aca="1" ref="E1982" ca="1">IF(OR(C1981=0,AND(B1983=0,C1983=0)),"",IFERROR(INDEX($F$27:$F$36,MATCH(C1982,($F$27:$F$36)*($D$27:$D$36&lt;&gt;0),0)),IF(OR(AND(D1982=0,B1982=0,B1983&lt;&gt;0),AND(D1982*D1981&lt;0,B1982&lt;&gt;0)),IF(D1982=0,C1982,C1982*(1-ABS(D1982)/(ABS(D1982)+ABS(D1981)))+C1981*(1-ABS(D1981)/(ABS(D1982)+ABS(D1981)))),"")))</f>
        <v>#NAME?</v>
      </c>
    </row>
    <row r="1983" spans="2:5" x14ac:dyDescent="0.25">
      <c r="B1983" t="e">
        <f t="shared" ca="1" si="63"/>
        <v>#NAME?</v>
      </c>
      <c r="C1983">
        <v>1940</v>
      </c>
      <c r="D1983" t="e">
        <f t="shared" ca="1" si="62"/>
        <v>#NAME?</v>
      </c>
      <c r="E1983" s="115" t="e">
        <f t="array" aca="1" ref="E1983" ca="1">IF(OR(C1982=0,AND(B1984=0,C1984=0)),"",IFERROR(INDEX($F$27:$F$36,MATCH(C1983,($F$27:$F$36)*($D$27:$D$36&lt;&gt;0),0)),IF(OR(AND(D1983=0,B1983=0,B1984&lt;&gt;0),AND(D1983*D1982&lt;0,B1983&lt;&gt;0)),IF(D1983=0,C1983,C1983*(1-ABS(D1983)/(ABS(D1983)+ABS(D1982)))+C1982*(1-ABS(D1982)/(ABS(D1983)+ABS(D1982)))),"")))</f>
        <v>#NAME?</v>
      </c>
    </row>
    <row r="1984" spans="2:5" x14ac:dyDescent="0.25">
      <c r="B1984" t="e">
        <f t="shared" ca="1" si="63"/>
        <v>#NAME?</v>
      </c>
      <c r="C1984">
        <v>1941</v>
      </c>
      <c r="D1984" t="e">
        <f t="shared" ca="1" si="62"/>
        <v>#NAME?</v>
      </c>
      <c r="E1984" s="115" t="e">
        <f t="array" aca="1" ref="E1984" ca="1">IF(OR(C1983=0,AND(B1985=0,C1985=0)),"",IFERROR(INDEX($F$27:$F$36,MATCH(C1984,($F$27:$F$36)*($D$27:$D$36&lt;&gt;0),0)),IF(OR(AND(D1984=0,B1984=0,B1985&lt;&gt;0),AND(D1984*D1983&lt;0,B1984&lt;&gt;0)),IF(D1984=0,C1984,C1984*(1-ABS(D1984)/(ABS(D1984)+ABS(D1983)))+C1983*(1-ABS(D1983)/(ABS(D1984)+ABS(D1983)))),"")))</f>
        <v>#NAME?</v>
      </c>
    </row>
    <row r="1985" spans="2:5" x14ac:dyDescent="0.25">
      <c r="B1985" t="e">
        <f t="shared" ca="1" si="63"/>
        <v>#NAME?</v>
      </c>
      <c r="C1985">
        <v>1942</v>
      </c>
      <c r="D1985" t="e">
        <f t="shared" ca="1" si="62"/>
        <v>#NAME?</v>
      </c>
      <c r="E1985" s="115" t="e">
        <f t="array" aca="1" ref="E1985" ca="1">IF(OR(C1984=0,AND(B1986=0,C1986=0)),"",IFERROR(INDEX($F$27:$F$36,MATCH(C1985,($F$27:$F$36)*($D$27:$D$36&lt;&gt;0),0)),IF(OR(AND(D1985=0,B1985=0,B1986&lt;&gt;0),AND(D1985*D1984&lt;0,B1985&lt;&gt;0)),IF(D1985=0,C1985,C1985*(1-ABS(D1985)/(ABS(D1985)+ABS(D1984)))+C1984*(1-ABS(D1984)/(ABS(D1985)+ABS(D1984)))),"")))</f>
        <v>#NAME?</v>
      </c>
    </row>
    <row r="1986" spans="2:5" x14ac:dyDescent="0.25">
      <c r="B1986" t="e">
        <f t="shared" ca="1" si="63"/>
        <v>#NAME?</v>
      </c>
      <c r="C1986">
        <v>1943</v>
      </c>
      <c r="D1986" t="e">
        <f t="shared" ca="1" si="62"/>
        <v>#NAME?</v>
      </c>
      <c r="E1986" s="115" t="e">
        <f t="array" aca="1" ref="E1986" ca="1">IF(OR(C1985=0,AND(B1987=0,C1987=0)),"",IFERROR(INDEX($F$27:$F$36,MATCH(C1986,($F$27:$F$36)*($D$27:$D$36&lt;&gt;0),0)),IF(OR(AND(D1986=0,B1986=0,B1987&lt;&gt;0),AND(D1986*D1985&lt;0,B1986&lt;&gt;0)),IF(D1986=0,C1986,C1986*(1-ABS(D1986)/(ABS(D1986)+ABS(D1985)))+C1985*(1-ABS(D1985)/(ABS(D1986)+ABS(D1985)))),"")))</f>
        <v>#NAME?</v>
      </c>
    </row>
    <row r="1987" spans="2:5" x14ac:dyDescent="0.25">
      <c r="B1987" t="e">
        <f t="shared" ca="1" si="63"/>
        <v>#NAME?</v>
      </c>
      <c r="C1987">
        <v>1944</v>
      </c>
      <c r="D1987" t="e">
        <f t="shared" ca="1" si="62"/>
        <v>#NAME?</v>
      </c>
      <c r="E1987" s="115" t="e">
        <f t="array" aca="1" ref="E1987" ca="1">IF(OR(C1986=0,AND(B1988=0,C1988=0)),"",IFERROR(INDEX($F$27:$F$36,MATCH(C1987,($F$27:$F$36)*($D$27:$D$36&lt;&gt;0),0)),IF(OR(AND(D1987=0,B1987=0,B1988&lt;&gt;0),AND(D1987*D1986&lt;0,B1987&lt;&gt;0)),IF(D1987=0,C1987,C1987*(1-ABS(D1987)/(ABS(D1987)+ABS(D1986)))+C1986*(1-ABS(D1986)/(ABS(D1987)+ABS(D1986)))),"")))</f>
        <v>#NAME?</v>
      </c>
    </row>
    <row r="1988" spans="2:5" x14ac:dyDescent="0.25">
      <c r="B1988" t="e">
        <f t="shared" ca="1" si="63"/>
        <v>#NAME?</v>
      </c>
      <c r="C1988">
        <v>1945</v>
      </c>
      <c r="D1988" t="e">
        <f t="shared" ca="1" si="62"/>
        <v>#NAME?</v>
      </c>
      <c r="E1988" s="115" t="e">
        <f t="array" aca="1" ref="E1988" ca="1">IF(OR(C1987=0,AND(B1989=0,C1989=0)),"",IFERROR(INDEX($F$27:$F$36,MATCH(C1988,($F$27:$F$36)*($D$27:$D$36&lt;&gt;0),0)),IF(OR(AND(D1988=0,B1988=0,B1989&lt;&gt;0),AND(D1988*D1987&lt;0,B1988&lt;&gt;0)),IF(D1988=0,C1988,C1988*(1-ABS(D1988)/(ABS(D1988)+ABS(D1987)))+C1987*(1-ABS(D1987)/(ABS(D1988)+ABS(D1987)))),"")))</f>
        <v>#NAME?</v>
      </c>
    </row>
    <row r="1989" spans="2:5" x14ac:dyDescent="0.25">
      <c r="B1989" t="e">
        <f t="shared" ca="1" si="63"/>
        <v>#NAME?</v>
      </c>
      <c r="C1989">
        <v>1946</v>
      </c>
      <c r="D1989" t="e">
        <f t="shared" ca="1" si="62"/>
        <v>#NAME?</v>
      </c>
      <c r="E1989" s="115" t="e">
        <f t="array" aca="1" ref="E1989" ca="1">IF(OR(C1988=0,AND(B1990=0,C1990=0)),"",IFERROR(INDEX($F$27:$F$36,MATCH(C1989,($F$27:$F$36)*($D$27:$D$36&lt;&gt;0),0)),IF(OR(AND(D1989=0,B1989=0,B1990&lt;&gt;0),AND(D1989*D1988&lt;0,B1989&lt;&gt;0)),IF(D1989=0,C1989,C1989*(1-ABS(D1989)/(ABS(D1989)+ABS(D1988)))+C1988*(1-ABS(D1988)/(ABS(D1989)+ABS(D1988)))),"")))</f>
        <v>#NAME?</v>
      </c>
    </row>
    <row r="1990" spans="2:5" x14ac:dyDescent="0.25">
      <c r="B1990" t="e">
        <f t="shared" ca="1" si="63"/>
        <v>#NAME?</v>
      </c>
      <c r="C1990">
        <v>1947</v>
      </c>
      <c r="D1990" t="e">
        <f t="shared" ca="1" si="62"/>
        <v>#NAME?</v>
      </c>
      <c r="E1990" s="115" t="e">
        <f t="array" aca="1" ref="E1990" ca="1">IF(OR(C1989=0,AND(B1991=0,C1991=0)),"",IFERROR(INDEX($F$27:$F$36,MATCH(C1990,($F$27:$F$36)*($D$27:$D$36&lt;&gt;0),0)),IF(OR(AND(D1990=0,B1990=0,B1991&lt;&gt;0),AND(D1990*D1989&lt;0,B1990&lt;&gt;0)),IF(D1990=0,C1990,C1990*(1-ABS(D1990)/(ABS(D1990)+ABS(D1989)))+C1989*(1-ABS(D1989)/(ABS(D1990)+ABS(D1989)))),"")))</f>
        <v>#NAME?</v>
      </c>
    </row>
    <row r="1991" spans="2:5" x14ac:dyDescent="0.25">
      <c r="B1991" t="e">
        <f t="shared" ca="1" si="63"/>
        <v>#NAME?</v>
      </c>
      <c r="C1991">
        <v>1948</v>
      </c>
      <c r="D1991" t="e">
        <f t="shared" ca="1" si="62"/>
        <v>#NAME?</v>
      </c>
      <c r="E1991" s="115" t="e">
        <f t="array" aca="1" ref="E1991" ca="1">IF(OR(C1990=0,AND(B1992=0,C1992=0)),"",IFERROR(INDEX($F$27:$F$36,MATCH(C1991,($F$27:$F$36)*($D$27:$D$36&lt;&gt;0),0)),IF(OR(AND(D1991=0,B1991=0,B1992&lt;&gt;0),AND(D1991*D1990&lt;0,B1991&lt;&gt;0)),IF(D1991=0,C1991,C1991*(1-ABS(D1991)/(ABS(D1991)+ABS(D1990)))+C1990*(1-ABS(D1990)/(ABS(D1991)+ABS(D1990)))),"")))</f>
        <v>#NAME?</v>
      </c>
    </row>
    <row r="1992" spans="2:5" x14ac:dyDescent="0.25">
      <c r="B1992" t="e">
        <f t="shared" ca="1" si="63"/>
        <v>#NAME?</v>
      </c>
      <c r="C1992">
        <v>1949</v>
      </c>
      <c r="D1992" t="e">
        <f t="shared" ca="1" si="62"/>
        <v>#NAME?</v>
      </c>
      <c r="E1992" s="115" t="e">
        <f t="array" aca="1" ref="E1992" ca="1">IF(OR(C1991=0,AND(B1993=0,C1993=0)),"",IFERROR(INDEX($F$27:$F$36,MATCH(C1992,($F$27:$F$36)*($D$27:$D$36&lt;&gt;0),0)),IF(OR(AND(D1992=0,B1992=0,B1993&lt;&gt;0),AND(D1992*D1991&lt;0,B1992&lt;&gt;0)),IF(D1992=0,C1992,C1992*(1-ABS(D1992)/(ABS(D1992)+ABS(D1991)))+C1991*(1-ABS(D1991)/(ABS(D1992)+ABS(D1991)))),"")))</f>
        <v>#NAME?</v>
      </c>
    </row>
    <row r="1993" spans="2:5" x14ac:dyDescent="0.25">
      <c r="B1993" t="e">
        <f t="shared" ca="1" si="63"/>
        <v>#NAME?</v>
      </c>
      <c r="C1993">
        <v>1950</v>
      </c>
      <c r="D1993" t="e">
        <f t="shared" ca="1" si="62"/>
        <v>#NAME?</v>
      </c>
      <c r="E1993" s="115" t="e">
        <f t="array" aca="1" ref="E1993" ca="1">IF(OR(C1992=0,AND(B1994=0,C1994=0)),"",IFERROR(INDEX($F$27:$F$36,MATCH(C1993,($F$27:$F$36)*($D$27:$D$36&lt;&gt;0),0)),IF(OR(AND(D1993=0,B1993=0,B1994&lt;&gt;0),AND(D1993*D1992&lt;0,B1993&lt;&gt;0)),IF(D1993=0,C1993,C1993*(1-ABS(D1993)/(ABS(D1993)+ABS(D1992)))+C1992*(1-ABS(D1992)/(ABS(D1993)+ABS(D1992)))),"")))</f>
        <v>#NAME?</v>
      </c>
    </row>
    <row r="1994" spans="2:5" x14ac:dyDescent="0.25">
      <c r="B1994" t="e">
        <f t="shared" ca="1" si="63"/>
        <v>#NAME?</v>
      </c>
      <c r="C1994">
        <v>1951</v>
      </c>
      <c r="D1994" t="e">
        <f t="shared" ca="1" si="62"/>
        <v>#NAME?</v>
      </c>
      <c r="E1994" s="115" t="e">
        <f t="array" aca="1" ref="E1994" ca="1">IF(OR(C1993=0,AND(B1995=0,C1995=0)),"",IFERROR(INDEX($F$27:$F$36,MATCH(C1994,($F$27:$F$36)*($D$27:$D$36&lt;&gt;0),0)),IF(OR(AND(D1994=0,B1994=0,B1995&lt;&gt;0),AND(D1994*D1993&lt;0,B1994&lt;&gt;0)),IF(D1994=0,C1994,C1994*(1-ABS(D1994)/(ABS(D1994)+ABS(D1993)))+C1993*(1-ABS(D1993)/(ABS(D1994)+ABS(D1993)))),"")))</f>
        <v>#NAME?</v>
      </c>
    </row>
    <row r="1995" spans="2:5" x14ac:dyDescent="0.25">
      <c r="B1995" t="e">
        <f t="shared" ca="1" si="63"/>
        <v>#NAME?</v>
      </c>
      <c r="C1995">
        <v>1952</v>
      </c>
      <c r="D1995" t="e">
        <f t="shared" ca="1" si="62"/>
        <v>#NAME?</v>
      </c>
      <c r="E1995" s="115" t="e">
        <f t="array" aca="1" ref="E1995" ca="1">IF(OR(C1994=0,AND(B1996=0,C1996=0)),"",IFERROR(INDEX($F$27:$F$36,MATCH(C1995,($F$27:$F$36)*($D$27:$D$36&lt;&gt;0),0)),IF(OR(AND(D1995=0,B1995=0,B1996&lt;&gt;0),AND(D1995*D1994&lt;0,B1995&lt;&gt;0)),IF(D1995=0,C1995,C1995*(1-ABS(D1995)/(ABS(D1995)+ABS(D1994)))+C1994*(1-ABS(D1994)/(ABS(D1995)+ABS(D1994)))),"")))</f>
        <v>#NAME?</v>
      </c>
    </row>
    <row r="1996" spans="2:5" x14ac:dyDescent="0.25">
      <c r="B1996" t="e">
        <f t="shared" ca="1" si="63"/>
        <v>#NAME?</v>
      </c>
      <c r="C1996">
        <v>1953</v>
      </c>
      <c r="D1996" t="e">
        <f t="shared" ca="1" si="62"/>
        <v>#NAME?</v>
      </c>
      <c r="E1996" s="115" t="e">
        <f t="array" aca="1" ref="E1996" ca="1">IF(OR(C1995=0,AND(B1997=0,C1997=0)),"",IFERROR(INDEX($F$27:$F$36,MATCH(C1996,($F$27:$F$36)*($D$27:$D$36&lt;&gt;0),0)),IF(OR(AND(D1996=0,B1996=0,B1997&lt;&gt;0),AND(D1996*D1995&lt;0,B1996&lt;&gt;0)),IF(D1996=0,C1996,C1996*(1-ABS(D1996)/(ABS(D1996)+ABS(D1995)))+C1995*(1-ABS(D1995)/(ABS(D1996)+ABS(D1995)))),"")))</f>
        <v>#NAME?</v>
      </c>
    </row>
    <row r="1997" spans="2:5" x14ac:dyDescent="0.25">
      <c r="B1997" t="e">
        <f t="shared" ca="1" si="63"/>
        <v>#NAME?</v>
      </c>
      <c r="C1997">
        <v>1954</v>
      </c>
      <c r="D1997" t="e">
        <f t="shared" ca="1" si="62"/>
        <v>#NAME?</v>
      </c>
      <c r="E1997" s="115" t="e">
        <f t="array" aca="1" ref="E1997" ca="1">IF(OR(C1996=0,AND(B1998=0,C1998=0)),"",IFERROR(INDEX($F$27:$F$36,MATCH(C1997,($F$27:$F$36)*($D$27:$D$36&lt;&gt;0),0)),IF(OR(AND(D1997=0,B1997=0,B1998&lt;&gt;0),AND(D1997*D1996&lt;0,B1997&lt;&gt;0)),IF(D1997=0,C1997,C1997*(1-ABS(D1997)/(ABS(D1997)+ABS(D1996)))+C1996*(1-ABS(D1996)/(ABS(D1997)+ABS(D1996)))),"")))</f>
        <v>#NAME?</v>
      </c>
    </row>
    <row r="1998" spans="2:5" x14ac:dyDescent="0.25">
      <c r="B1998" t="e">
        <f t="shared" ca="1" si="63"/>
        <v>#NAME?</v>
      </c>
      <c r="C1998">
        <v>1955</v>
      </c>
      <c r="D1998" t="e">
        <f t="shared" ca="1" si="62"/>
        <v>#NAME?</v>
      </c>
      <c r="E1998" s="115" t="e">
        <f t="array" aca="1" ref="E1998" ca="1">IF(OR(C1997=0,AND(B1999=0,C1999=0)),"",IFERROR(INDEX($F$27:$F$36,MATCH(C1998,($F$27:$F$36)*($D$27:$D$36&lt;&gt;0),0)),IF(OR(AND(D1998=0,B1998=0,B1999&lt;&gt;0),AND(D1998*D1997&lt;0,B1998&lt;&gt;0)),IF(D1998=0,C1998,C1998*(1-ABS(D1998)/(ABS(D1998)+ABS(D1997)))+C1997*(1-ABS(D1997)/(ABS(D1998)+ABS(D1997)))),"")))</f>
        <v>#NAME?</v>
      </c>
    </row>
    <row r="1999" spans="2:5" x14ac:dyDescent="0.25">
      <c r="B1999" t="e">
        <f t="shared" ca="1" si="63"/>
        <v>#NAME?</v>
      </c>
      <c r="C1999">
        <v>1956</v>
      </c>
      <c r="D1999" t="e">
        <f t="shared" ca="1" si="62"/>
        <v>#NAME?</v>
      </c>
      <c r="E1999" s="115" t="e">
        <f t="array" aca="1" ref="E1999" ca="1">IF(OR(C1998=0,AND(B2000=0,C2000=0)),"",IFERROR(INDEX($F$27:$F$36,MATCH(C1999,($F$27:$F$36)*($D$27:$D$36&lt;&gt;0),0)),IF(OR(AND(D1999=0,B1999=0,B2000&lt;&gt;0),AND(D1999*D1998&lt;0,B1999&lt;&gt;0)),IF(D1999=0,C1999,C1999*(1-ABS(D1999)/(ABS(D1999)+ABS(D1998)))+C1998*(1-ABS(D1998)/(ABS(D1999)+ABS(D1998)))),"")))</f>
        <v>#NAME?</v>
      </c>
    </row>
    <row r="2000" spans="2:5" x14ac:dyDescent="0.25">
      <c r="B2000" t="e">
        <f t="shared" ca="1" si="63"/>
        <v>#NAME?</v>
      </c>
      <c r="C2000">
        <v>1957</v>
      </c>
      <c r="D2000" t="e">
        <f t="shared" ca="1" si="62"/>
        <v>#NAME?</v>
      </c>
      <c r="E2000" s="115" t="e">
        <f t="array" aca="1" ref="E2000" ca="1">IF(OR(C1999=0,AND(B2001=0,C2001=0)),"",IFERROR(INDEX($F$27:$F$36,MATCH(C2000,($F$27:$F$36)*($D$27:$D$36&lt;&gt;0),0)),IF(OR(AND(D2000=0,B2000=0,B2001&lt;&gt;0),AND(D2000*D1999&lt;0,B2000&lt;&gt;0)),IF(D2000=0,C2000,C2000*(1-ABS(D2000)/(ABS(D2000)+ABS(D1999)))+C1999*(1-ABS(D1999)/(ABS(D2000)+ABS(D1999)))),"")))</f>
        <v>#NAME?</v>
      </c>
    </row>
    <row r="2001" spans="2:5" x14ac:dyDescent="0.25">
      <c r="B2001" t="e">
        <f t="shared" ca="1" si="63"/>
        <v>#NAME?</v>
      </c>
      <c r="C2001">
        <v>1958</v>
      </c>
      <c r="D2001" t="e">
        <f t="shared" ca="1" si="62"/>
        <v>#NAME?</v>
      </c>
      <c r="E2001" s="115" t="e">
        <f t="array" aca="1" ref="E2001" ca="1">IF(OR(C2000=0,AND(B2002=0,C2002=0)),"",IFERROR(INDEX($F$27:$F$36,MATCH(C2001,($F$27:$F$36)*($D$27:$D$36&lt;&gt;0),0)),IF(OR(AND(D2001=0,B2001=0,B2002&lt;&gt;0),AND(D2001*D2000&lt;0,B2001&lt;&gt;0)),IF(D2001=0,C2001,C2001*(1-ABS(D2001)/(ABS(D2001)+ABS(D2000)))+C2000*(1-ABS(D2000)/(ABS(D2001)+ABS(D2000)))),"")))</f>
        <v>#NAME?</v>
      </c>
    </row>
    <row r="2002" spans="2:5" x14ac:dyDescent="0.25">
      <c r="B2002" t="e">
        <f t="shared" ca="1" si="63"/>
        <v>#NAME?</v>
      </c>
      <c r="C2002">
        <v>1959</v>
      </c>
      <c r="D2002" t="e">
        <f t="shared" ca="1" si="62"/>
        <v>#NAME?</v>
      </c>
      <c r="E2002" s="115" t="e">
        <f t="array" aca="1" ref="E2002" ca="1">IF(OR(C2001=0,AND(B2003=0,C2003=0)),"",IFERROR(INDEX($F$27:$F$36,MATCH(C2002,($F$27:$F$36)*($D$27:$D$36&lt;&gt;0),0)),IF(OR(AND(D2002=0,B2002=0,B2003&lt;&gt;0),AND(D2002*D2001&lt;0,B2002&lt;&gt;0)),IF(D2002=0,C2002,C2002*(1-ABS(D2002)/(ABS(D2002)+ABS(D2001)))+C2001*(1-ABS(D2001)/(ABS(D2002)+ABS(D2001)))),"")))</f>
        <v>#NAME?</v>
      </c>
    </row>
    <row r="2003" spans="2:5" x14ac:dyDescent="0.25">
      <c r="B2003" t="e">
        <f t="shared" ca="1" si="63"/>
        <v>#NAME?</v>
      </c>
      <c r="C2003">
        <v>1960</v>
      </c>
      <c r="D2003" t="e">
        <f t="shared" ca="1" si="62"/>
        <v>#NAME?</v>
      </c>
      <c r="E2003" s="115" t="e">
        <f t="array" aca="1" ref="E2003" ca="1">IF(OR(C2002=0,AND(B2004=0,C2004=0)),"",IFERROR(INDEX($F$27:$F$36,MATCH(C2003,($F$27:$F$36)*($D$27:$D$36&lt;&gt;0),0)),IF(OR(AND(D2003=0,B2003=0,B2004&lt;&gt;0),AND(D2003*D2002&lt;0,B2003&lt;&gt;0)),IF(D2003=0,C2003,C2003*(1-ABS(D2003)/(ABS(D2003)+ABS(D2002)))+C2002*(1-ABS(D2002)/(ABS(D2003)+ABS(D2002)))),"")))</f>
        <v>#NAME?</v>
      </c>
    </row>
    <row r="2004" spans="2:5" x14ac:dyDescent="0.25">
      <c r="B2004" t="e">
        <f t="shared" ca="1" si="63"/>
        <v>#NAME?</v>
      </c>
      <c r="C2004">
        <v>1961</v>
      </c>
      <c r="D2004" t="e">
        <f t="shared" ca="1" si="62"/>
        <v>#NAME?</v>
      </c>
      <c r="E2004" s="115" t="e">
        <f t="array" aca="1" ref="E2004" ca="1">IF(OR(C2003=0,AND(B2005=0,C2005=0)),"",IFERROR(INDEX($F$27:$F$36,MATCH(C2004,($F$27:$F$36)*($D$27:$D$36&lt;&gt;0),0)),IF(OR(AND(D2004=0,B2004=0,B2005&lt;&gt;0),AND(D2004*D2003&lt;0,B2004&lt;&gt;0)),IF(D2004=0,C2004,C2004*(1-ABS(D2004)/(ABS(D2004)+ABS(D2003)))+C2003*(1-ABS(D2003)/(ABS(D2004)+ABS(D2003)))),"")))</f>
        <v>#NAME?</v>
      </c>
    </row>
    <row r="2005" spans="2:5" x14ac:dyDescent="0.25">
      <c r="B2005" t="e">
        <f t="shared" ca="1" si="63"/>
        <v>#NAME?</v>
      </c>
      <c r="C2005">
        <v>1962</v>
      </c>
      <c r="D2005" t="e">
        <f t="shared" ca="1" si="62"/>
        <v>#NAME?</v>
      </c>
      <c r="E2005" s="115" t="e">
        <f t="array" aca="1" ref="E2005" ca="1">IF(OR(C2004=0,AND(B2006=0,C2006=0)),"",IFERROR(INDEX($F$27:$F$36,MATCH(C2005,($F$27:$F$36)*($D$27:$D$36&lt;&gt;0),0)),IF(OR(AND(D2005=0,B2005=0,B2006&lt;&gt;0),AND(D2005*D2004&lt;0,B2005&lt;&gt;0)),IF(D2005=0,C2005,C2005*(1-ABS(D2005)/(ABS(D2005)+ABS(D2004)))+C2004*(1-ABS(D2004)/(ABS(D2005)+ABS(D2004)))),"")))</f>
        <v>#NAME?</v>
      </c>
    </row>
    <row r="2006" spans="2:5" x14ac:dyDescent="0.25">
      <c r="B2006" t="e">
        <f t="shared" ca="1" si="63"/>
        <v>#NAME?</v>
      </c>
      <c r="C2006">
        <v>1963</v>
      </c>
      <c r="D2006" t="e">
        <f t="shared" ca="1" si="62"/>
        <v>#NAME?</v>
      </c>
      <c r="E2006" s="115" t="e">
        <f t="array" aca="1" ref="E2006" ca="1">IF(OR(C2005=0,AND(B2007=0,C2007=0)),"",IFERROR(INDEX($F$27:$F$36,MATCH(C2006,($F$27:$F$36)*($D$27:$D$36&lt;&gt;0),0)),IF(OR(AND(D2006=0,B2006=0,B2007&lt;&gt;0),AND(D2006*D2005&lt;0,B2006&lt;&gt;0)),IF(D2006=0,C2006,C2006*(1-ABS(D2006)/(ABS(D2006)+ABS(D2005)))+C2005*(1-ABS(D2005)/(ABS(D2006)+ABS(D2005)))),"")))</f>
        <v>#NAME?</v>
      </c>
    </row>
    <row r="2007" spans="2:5" x14ac:dyDescent="0.25">
      <c r="B2007" t="e">
        <f t="shared" ca="1" si="63"/>
        <v>#NAME?</v>
      </c>
      <c r="C2007">
        <v>1964</v>
      </c>
      <c r="D2007" t="e">
        <f t="shared" ca="1" si="62"/>
        <v>#NAME?</v>
      </c>
      <c r="E2007" s="115" t="e">
        <f t="array" aca="1" ref="E2007" ca="1">IF(OR(C2006=0,AND(B2008=0,C2008=0)),"",IFERROR(INDEX($F$27:$F$36,MATCH(C2007,($F$27:$F$36)*($D$27:$D$36&lt;&gt;0),0)),IF(OR(AND(D2007=0,B2007=0,B2008&lt;&gt;0),AND(D2007*D2006&lt;0,B2007&lt;&gt;0)),IF(D2007=0,C2007,C2007*(1-ABS(D2007)/(ABS(D2007)+ABS(D2006)))+C2006*(1-ABS(D2006)/(ABS(D2007)+ABS(D2006)))),"")))</f>
        <v>#NAME?</v>
      </c>
    </row>
    <row r="2008" spans="2:5" x14ac:dyDescent="0.25">
      <c r="B2008" t="e">
        <f t="shared" ca="1" si="63"/>
        <v>#NAME?</v>
      </c>
      <c r="C2008">
        <v>1965</v>
      </c>
      <c r="D2008" t="e">
        <f t="shared" ca="1" si="62"/>
        <v>#NAME?</v>
      </c>
      <c r="E2008" s="115" t="e">
        <f t="array" aca="1" ref="E2008" ca="1">IF(OR(C2007=0,AND(B2009=0,C2009=0)),"",IFERROR(INDEX($F$27:$F$36,MATCH(C2008,($F$27:$F$36)*($D$27:$D$36&lt;&gt;0),0)),IF(OR(AND(D2008=0,B2008=0,B2009&lt;&gt;0),AND(D2008*D2007&lt;0,B2008&lt;&gt;0)),IF(D2008=0,C2008,C2008*(1-ABS(D2008)/(ABS(D2008)+ABS(D2007)))+C2007*(1-ABS(D2007)/(ABS(D2008)+ABS(D2007)))),"")))</f>
        <v>#NAME?</v>
      </c>
    </row>
    <row r="2009" spans="2:5" x14ac:dyDescent="0.25">
      <c r="B2009" t="e">
        <f t="shared" ca="1" si="63"/>
        <v>#NAME?</v>
      </c>
      <c r="C2009">
        <v>1966</v>
      </c>
      <c r="D2009" t="e">
        <f t="shared" ca="1" si="62"/>
        <v>#NAME?</v>
      </c>
      <c r="E2009" s="115" t="e">
        <f t="array" aca="1" ref="E2009" ca="1">IF(OR(C2008=0,AND(B2010=0,C2010=0)),"",IFERROR(INDEX($F$27:$F$36,MATCH(C2009,($F$27:$F$36)*($D$27:$D$36&lt;&gt;0),0)),IF(OR(AND(D2009=0,B2009=0,B2010&lt;&gt;0),AND(D2009*D2008&lt;0,B2009&lt;&gt;0)),IF(D2009=0,C2009,C2009*(1-ABS(D2009)/(ABS(D2009)+ABS(D2008)))+C2008*(1-ABS(D2008)/(ABS(D2009)+ABS(D2008)))),"")))</f>
        <v>#NAME?</v>
      </c>
    </row>
    <row r="2010" spans="2:5" x14ac:dyDescent="0.25">
      <c r="B2010" t="e">
        <f t="shared" ca="1" si="63"/>
        <v>#NAME?</v>
      </c>
      <c r="C2010">
        <v>1967</v>
      </c>
      <c r="D2010" t="e">
        <f t="shared" ca="1" si="62"/>
        <v>#NAME?</v>
      </c>
      <c r="E2010" s="115" t="e">
        <f t="array" aca="1" ref="E2010" ca="1">IF(OR(C2009=0,AND(B2011=0,C2011=0)),"",IFERROR(INDEX($F$27:$F$36,MATCH(C2010,($F$27:$F$36)*($D$27:$D$36&lt;&gt;0),0)),IF(OR(AND(D2010=0,B2010=0,B2011&lt;&gt;0),AND(D2010*D2009&lt;0,B2010&lt;&gt;0)),IF(D2010=0,C2010,C2010*(1-ABS(D2010)/(ABS(D2010)+ABS(D2009)))+C2009*(1-ABS(D2009)/(ABS(D2010)+ABS(D2009)))),"")))</f>
        <v>#NAME?</v>
      </c>
    </row>
    <row r="2011" spans="2:5" x14ac:dyDescent="0.25">
      <c r="B2011" t="e">
        <f t="shared" ca="1" si="63"/>
        <v>#NAME?</v>
      </c>
      <c r="C2011">
        <v>1968</v>
      </c>
      <c r="D2011" t="e">
        <f t="shared" ca="1" si="62"/>
        <v>#NAME?</v>
      </c>
      <c r="E2011" s="115" t="e">
        <f t="array" aca="1" ref="E2011" ca="1">IF(OR(C2010=0,AND(B2012=0,C2012=0)),"",IFERROR(INDEX($F$27:$F$36,MATCH(C2011,($F$27:$F$36)*($D$27:$D$36&lt;&gt;0),0)),IF(OR(AND(D2011=0,B2011=0,B2012&lt;&gt;0),AND(D2011*D2010&lt;0,B2011&lt;&gt;0)),IF(D2011=0,C2011,C2011*(1-ABS(D2011)/(ABS(D2011)+ABS(D2010)))+C2010*(1-ABS(D2010)/(ABS(D2011)+ABS(D2010)))),"")))</f>
        <v>#NAME?</v>
      </c>
    </row>
    <row r="2012" spans="2:5" x14ac:dyDescent="0.25">
      <c r="B2012" t="e">
        <f t="shared" ca="1" si="63"/>
        <v>#NAME?</v>
      </c>
      <c r="C2012">
        <v>1969</v>
      </c>
      <c r="D2012" t="e">
        <f t="shared" ca="1" si="62"/>
        <v>#NAME?</v>
      </c>
      <c r="E2012" s="115" t="e">
        <f t="array" aca="1" ref="E2012" ca="1">IF(OR(C2011=0,AND(B2013=0,C2013=0)),"",IFERROR(INDEX($F$27:$F$36,MATCH(C2012,($F$27:$F$36)*($D$27:$D$36&lt;&gt;0),0)),IF(OR(AND(D2012=0,B2012=0,B2013&lt;&gt;0),AND(D2012*D2011&lt;0,B2012&lt;&gt;0)),IF(D2012=0,C2012,C2012*(1-ABS(D2012)/(ABS(D2012)+ABS(D2011)))+C2011*(1-ABS(D2011)/(ABS(D2012)+ABS(D2011)))),"")))</f>
        <v>#NAME?</v>
      </c>
    </row>
    <row r="2013" spans="2:5" x14ac:dyDescent="0.25">
      <c r="B2013" t="e">
        <f t="shared" ca="1" si="63"/>
        <v>#NAME?</v>
      </c>
      <c r="C2013">
        <v>1970</v>
      </c>
      <c r="D2013" t="e">
        <f t="shared" ca="1" si="62"/>
        <v>#NAME?</v>
      </c>
      <c r="E2013" s="115" t="e">
        <f t="array" aca="1" ref="E2013" ca="1">IF(OR(C2012=0,AND(B2014=0,C2014=0)),"",IFERROR(INDEX($F$27:$F$36,MATCH(C2013,($F$27:$F$36)*($D$27:$D$36&lt;&gt;0),0)),IF(OR(AND(D2013=0,B2013=0,B2014&lt;&gt;0),AND(D2013*D2012&lt;0,B2013&lt;&gt;0)),IF(D2013=0,C2013,C2013*(1-ABS(D2013)/(ABS(D2013)+ABS(D2012)))+C2012*(1-ABS(D2012)/(ABS(D2013)+ABS(D2012)))),"")))</f>
        <v>#NAME?</v>
      </c>
    </row>
    <row r="2014" spans="2:5" x14ac:dyDescent="0.25">
      <c r="B2014" t="e">
        <f t="shared" ca="1" si="63"/>
        <v>#NAME?</v>
      </c>
      <c r="C2014">
        <v>1971</v>
      </c>
      <c r="D2014" t="e">
        <f t="shared" ca="1" si="62"/>
        <v>#NAME?</v>
      </c>
      <c r="E2014" s="115" t="e">
        <f t="array" aca="1" ref="E2014" ca="1">IF(OR(C2013=0,AND(B2015=0,C2015=0)),"",IFERROR(INDEX($F$27:$F$36,MATCH(C2014,($F$27:$F$36)*($D$27:$D$36&lt;&gt;0),0)),IF(OR(AND(D2014=0,B2014=0,B2015&lt;&gt;0),AND(D2014*D2013&lt;0,B2014&lt;&gt;0)),IF(D2014=0,C2014,C2014*(1-ABS(D2014)/(ABS(D2014)+ABS(D2013)))+C2013*(1-ABS(D2013)/(ABS(D2014)+ABS(D2013)))),"")))</f>
        <v>#NAME?</v>
      </c>
    </row>
    <row r="2015" spans="2:5" x14ac:dyDescent="0.25">
      <c r="B2015" t="e">
        <f t="shared" ca="1" si="63"/>
        <v>#NAME?</v>
      </c>
      <c r="C2015">
        <v>1972</v>
      </c>
      <c r="D2015" t="e">
        <f t="shared" ca="1" si="62"/>
        <v>#NAME?</v>
      </c>
      <c r="E2015" s="115" t="e">
        <f t="array" aca="1" ref="E2015" ca="1">IF(OR(C2014=0,AND(B2016=0,C2016=0)),"",IFERROR(INDEX($F$27:$F$36,MATCH(C2015,($F$27:$F$36)*($D$27:$D$36&lt;&gt;0),0)),IF(OR(AND(D2015=0,B2015=0,B2016&lt;&gt;0),AND(D2015*D2014&lt;0,B2015&lt;&gt;0)),IF(D2015=0,C2015,C2015*(1-ABS(D2015)/(ABS(D2015)+ABS(D2014)))+C2014*(1-ABS(D2014)/(ABS(D2015)+ABS(D2014)))),"")))</f>
        <v>#NAME?</v>
      </c>
    </row>
    <row r="2016" spans="2:5" x14ac:dyDescent="0.25">
      <c r="B2016" t="e">
        <f t="shared" ca="1" si="63"/>
        <v>#NAME?</v>
      </c>
      <c r="C2016">
        <v>1973</v>
      </c>
      <c r="D2016" t="e">
        <f t="shared" ca="1" si="62"/>
        <v>#NAME?</v>
      </c>
      <c r="E2016" s="115" t="e">
        <f t="array" aca="1" ref="E2016" ca="1">IF(OR(C2015=0,AND(B2017=0,C2017=0)),"",IFERROR(INDEX($F$27:$F$36,MATCH(C2016,($F$27:$F$36)*($D$27:$D$36&lt;&gt;0),0)),IF(OR(AND(D2016=0,B2016=0,B2017&lt;&gt;0),AND(D2016*D2015&lt;0,B2016&lt;&gt;0)),IF(D2016=0,C2016,C2016*(1-ABS(D2016)/(ABS(D2016)+ABS(D2015)))+C2015*(1-ABS(D2015)/(ABS(D2016)+ABS(D2015)))),"")))</f>
        <v>#NAME?</v>
      </c>
    </row>
    <row r="2017" spans="2:5" x14ac:dyDescent="0.25">
      <c r="B2017" t="e">
        <f t="shared" ca="1" si="63"/>
        <v>#NAME?</v>
      </c>
      <c r="C2017">
        <v>1974</v>
      </c>
      <c r="D2017" t="e">
        <f t="shared" ca="1" si="62"/>
        <v>#NAME?</v>
      </c>
      <c r="E2017" s="115" t="e">
        <f t="array" aca="1" ref="E2017" ca="1">IF(OR(C2016=0,AND(B2018=0,C2018=0)),"",IFERROR(INDEX($F$27:$F$36,MATCH(C2017,($F$27:$F$36)*($D$27:$D$36&lt;&gt;0),0)),IF(OR(AND(D2017=0,B2017=0,B2018&lt;&gt;0),AND(D2017*D2016&lt;0,B2017&lt;&gt;0)),IF(D2017=0,C2017,C2017*(1-ABS(D2017)/(ABS(D2017)+ABS(D2016)))+C2016*(1-ABS(D2016)/(ABS(D2017)+ABS(D2016)))),"")))</f>
        <v>#NAME?</v>
      </c>
    </row>
    <row r="2018" spans="2:5" x14ac:dyDescent="0.25">
      <c r="B2018" t="e">
        <f t="shared" ca="1" si="63"/>
        <v>#NAME?</v>
      </c>
      <c r="C2018">
        <v>1975</v>
      </c>
      <c r="D2018" t="e">
        <f t="shared" ca="1" si="62"/>
        <v>#NAME?</v>
      </c>
      <c r="E2018" s="115" t="e">
        <f t="array" aca="1" ref="E2018" ca="1">IF(OR(C2017=0,AND(B2019=0,C2019=0)),"",IFERROR(INDEX($F$27:$F$36,MATCH(C2018,($F$27:$F$36)*($D$27:$D$36&lt;&gt;0),0)),IF(OR(AND(D2018=0,B2018=0,B2019&lt;&gt;0),AND(D2018*D2017&lt;0,B2018&lt;&gt;0)),IF(D2018=0,C2018,C2018*(1-ABS(D2018)/(ABS(D2018)+ABS(D2017)))+C2017*(1-ABS(D2017)/(ABS(D2018)+ABS(D2017)))),"")))</f>
        <v>#NAME?</v>
      </c>
    </row>
    <row r="2019" spans="2:5" x14ac:dyDescent="0.25">
      <c r="B2019" t="e">
        <f t="shared" ca="1" si="63"/>
        <v>#NAME?</v>
      </c>
      <c r="C2019">
        <v>1976</v>
      </c>
      <c r="D2019" t="e">
        <f t="shared" ca="1" si="62"/>
        <v>#NAME?</v>
      </c>
      <c r="E2019" s="115" t="e">
        <f t="array" aca="1" ref="E2019" ca="1">IF(OR(C2018=0,AND(B2020=0,C2020=0)),"",IFERROR(INDEX($F$27:$F$36,MATCH(C2019,($F$27:$F$36)*($D$27:$D$36&lt;&gt;0),0)),IF(OR(AND(D2019=0,B2019=0,B2020&lt;&gt;0),AND(D2019*D2018&lt;0,B2019&lt;&gt;0)),IF(D2019=0,C2019,C2019*(1-ABS(D2019)/(ABS(D2019)+ABS(D2018)))+C2018*(1-ABS(D2018)/(ABS(D2019)+ABS(D2018)))),"")))</f>
        <v>#NAME?</v>
      </c>
    </row>
    <row r="2020" spans="2:5" x14ac:dyDescent="0.25">
      <c r="B2020" t="e">
        <f t="shared" ca="1" si="63"/>
        <v>#NAME?</v>
      </c>
      <c r="C2020">
        <v>1977</v>
      </c>
      <c r="D2020" t="e">
        <f t="shared" ca="1" si="62"/>
        <v>#NAME?</v>
      </c>
      <c r="E2020" s="115" t="e">
        <f t="array" aca="1" ref="E2020" ca="1">IF(OR(C2019=0,AND(B2021=0,C2021=0)),"",IFERROR(INDEX($F$27:$F$36,MATCH(C2020,($F$27:$F$36)*($D$27:$D$36&lt;&gt;0),0)),IF(OR(AND(D2020=0,B2020=0,B2021&lt;&gt;0),AND(D2020*D2019&lt;0,B2020&lt;&gt;0)),IF(D2020=0,C2020,C2020*(1-ABS(D2020)/(ABS(D2020)+ABS(D2019)))+C2019*(1-ABS(D2019)/(ABS(D2020)+ABS(D2019)))),"")))</f>
        <v>#NAME?</v>
      </c>
    </row>
    <row r="2021" spans="2:5" x14ac:dyDescent="0.25">
      <c r="B2021" t="e">
        <f t="shared" ca="1" si="63"/>
        <v>#NAME?</v>
      </c>
      <c r="C2021">
        <v>1978</v>
      </c>
      <c r="D2021" t="e">
        <f t="shared" ca="1" si="62"/>
        <v>#NAME?</v>
      </c>
      <c r="E2021" s="115" t="e">
        <f t="array" aca="1" ref="E2021" ca="1">IF(OR(C2020=0,AND(B2022=0,C2022=0)),"",IFERROR(INDEX($F$27:$F$36,MATCH(C2021,($F$27:$F$36)*($D$27:$D$36&lt;&gt;0),0)),IF(OR(AND(D2021=0,B2021=0,B2022&lt;&gt;0),AND(D2021*D2020&lt;0,B2021&lt;&gt;0)),IF(D2021=0,C2021,C2021*(1-ABS(D2021)/(ABS(D2021)+ABS(D2020)))+C2020*(1-ABS(D2020)/(ABS(D2021)+ABS(D2020)))),"")))</f>
        <v>#NAME?</v>
      </c>
    </row>
    <row r="2022" spans="2:5" x14ac:dyDescent="0.25">
      <c r="B2022" t="e">
        <f t="shared" ca="1" si="63"/>
        <v>#NAME?</v>
      </c>
      <c r="C2022">
        <v>1979</v>
      </c>
      <c r="D2022" t="e">
        <f t="shared" ca="1" si="62"/>
        <v>#NAME?</v>
      </c>
      <c r="E2022" s="115" t="e">
        <f t="array" aca="1" ref="E2022" ca="1">IF(OR(C2021=0,AND(B2023=0,C2023=0)),"",IFERROR(INDEX($F$27:$F$36,MATCH(C2022,($F$27:$F$36)*($D$27:$D$36&lt;&gt;0),0)),IF(OR(AND(D2022=0,B2022=0,B2023&lt;&gt;0),AND(D2022*D2021&lt;0,B2022&lt;&gt;0)),IF(D2022=0,C2022,C2022*(1-ABS(D2022)/(ABS(D2022)+ABS(D2021)))+C2021*(1-ABS(D2021)/(ABS(D2022)+ABS(D2021)))),"")))</f>
        <v>#NAME?</v>
      </c>
    </row>
    <row r="2023" spans="2:5" x14ac:dyDescent="0.25">
      <c r="B2023" t="e">
        <f t="shared" ca="1" si="63"/>
        <v>#NAME?</v>
      </c>
      <c r="C2023">
        <v>1980</v>
      </c>
      <c r="D2023" t="e">
        <f t="shared" ca="1" si="62"/>
        <v>#NAME?</v>
      </c>
      <c r="E2023" s="115" t="e">
        <f t="array" aca="1" ref="E2023" ca="1">IF(OR(C2022=0,AND(B2024=0,C2024=0)),"",IFERROR(INDEX($F$27:$F$36,MATCH(C2023,($F$27:$F$36)*($D$27:$D$36&lt;&gt;0),0)),IF(OR(AND(D2023=0,B2023=0,B2024&lt;&gt;0),AND(D2023*D2022&lt;0,B2023&lt;&gt;0)),IF(D2023=0,C2023,C2023*(1-ABS(D2023)/(ABS(D2023)+ABS(D2022)))+C2022*(1-ABS(D2022)/(ABS(D2023)+ABS(D2022)))),"")))</f>
        <v>#NAME?</v>
      </c>
    </row>
    <row r="2024" spans="2:5" x14ac:dyDescent="0.25">
      <c r="B2024" t="e">
        <f t="shared" ca="1" si="63"/>
        <v>#NAME?</v>
      </c>
      <c r="C2024">
        <v>1981</v>
      </c>
      <c r="D2024" t="e">
        <f t="shared" ca="1" si="62"/>
        <v>#NAME?</v>
      </c>
      <c r="E2024" s="115" t="e">
        <f t="array" aca="1" ref="E2024" ca="1">IF(OR(C2023=0,AND(B2025=0,C2025=0)),"",IFERROR(INDEX($F$27:$F$36,MATCH(C2024,($F$27:$F$36)*($D$27:$D$36&lt;&gt;0),0)),IF(OR(AND(D2024=0,B2024=0,B2025&lt;&gt;0),AND(D2024*D2023&lt;0,B2024&lt;&gt;0)),IF(D2024=0,C2024,C2024*(1-ABS(D2024)/(ABS(D2024)+ABS(D2023)))+C2023*(1-ABS(D2023)/(ABS(D2024)+ABS(D2023)))),"")))</f>
        <v>#NAME?</v>
      </c>
    </row>
    <row r="2025" spans="2:5" x14ac:dyDescent="0.25">
      <c r="B2025" t="e">
        <f t="shared" ca="1" si="63"/>
        <v>#NAME?</v>
      </c>
      <c r="C2025">
        <v>1982</v>
      </c>
      <c r="D2025" t="e">
        <f t="shared" ca="1" si="62"/>
        <v>#NAME?</v>
      </c>
      <c r="E2025" s="115" t="e">
        <f t="array" aca="1" ref="E2025" ca="1">IF(OR(C2024=0,AND(B2026=0,C2026=0)),"",IFERROR(INDEX($F$27:$F$36,MATCH(C2025,($F$27:$F$36)*($D$27:$D$36&lt;&gt;0),0)),IF(OR(AND(D2025=0,B2025=0,B2026&lt;&gt;0),AND(D2025*D2024&lt;0,B2025&lt;&gt;0)),IF(D2025=0,C2025,C2025*(1-ABS(D2025)/(ABS(D2025)+ABS(D2024)))+C2024*(1-ABS(D2024)/(ABS(D2025)+ABS(D2024)))),"")))</f>
        <v>#NAME?</v>
      </c>
    </row>
    <row r="2026" spans="2:5" x14ac:dyDescent="0.25">
      <c r="B2026" t="e">
        <f t="shared" ca="1" si="63"/>
        <v>#NAME?</v>
      </c>
      <c r="C2026">
        <v>1983</v>
      </c>
      <c r="D2026" t="e">
        <f t="shared" ca="1" si="62"/>
        <v>#NAME?</v>
      </c>
      <c r="E2026" s="115" t="e">
        <f t="array" aca="1" ref="E2026" ca="1">IF(OR(C2025=0,AND(B2027=0,C2027=0)),"",IFERROR(INDEX($F$27:$F$36,MATCH(C2026,($F$27:$F$36)*($D$27:$D$36&lt;&gt;0),0)),IF(OR(AND(D2026=0,B2026=0,B2027&lt;&gt;0),AND(D2026*D2025&lt;0,B2026&lt;&gt;0)),IF(D2026=0,C2026,C2026*(1-ABS(D2026)/(ABS(D2026)+ABS(D2025)))+C2025*(1-ABS(D2025)/(ABS(D2026)+ABS(D2025)))),"")))</f>
        <v>#NAME?</v>
      </c>
    </row>
    <row r="2027" spans="2:5" x14ac:dyDescent="0.25">
      <c r="B2027" t="e">
        <f t="shared" ca="1" si="63"/>
        <v>#NAME?</v>
      </c>
      <c r="C2027">
        <v>1984</v>
      </c>
      <c r="D2027" t="e">
        <f t="shared" ref="D2027:D2090" ca="1" si="64">SUMPRODUCT(--($J$27:$J$37&gt;0),--($C2027-$F$27:$F$37&gt;0),($D$27:$D$37),($C2027-$F$27:$F$37))+SUMPRODUCT(--($J$27:$J$37&lt;0),--($F$27:$F$37-$C2027&gt;0),($D$27:$D$37),($F$27:$F$37-$C2027))-SUMPRODUCT($D$27:$D$37,$E$27:$E$37)</f>
        <v>#NAME?</v>
      </c>
      <c r="E2027" s="115" t="e">
        <f t="array" aca="1" ref="E2027" ca="1">IF(OR(C2026=0,AND(B2028=0,C2028=0)),"",IFERROR(INDEX($F$27:$F$36,MATCH(C2027,($F$27:$F$36)*($D$27:$D$36&lt;&gt;0),0)),IF(OR(AND(D2027=0,B2027=0,B2028&lt;&gt;0),AND(D2027*D2026&lt;0,B2027&lt;&gt;0)),IF(D2027=0,C2027,C2027*(1-ABS(D2027)/(ABS(D2027)+ABS(D2026)))+C2026*(1-ABS(D2026)/(ABS(D2027)+ABS(D2026)))),"")))</f>
        <v>#NAME?</v>
      </c>
    </row>
    <row r="2028" spans="2:5" x14ac:dyDescent="0.25">
      <c r="B2028" t="e">
        <f t="shared" ref="B2028:B2091" ca="1" si="65">ROUND((D2028-D2027)/(C2028-C2027),12)</f>
        <v>#NAME?</v>
      </c>
      <c r="C2028">
        <v>1985</v>
      </c>
      <c r="D2028" t="e">
        <f t="shared" ca="1" si="64"/>
        <v>#NAME?</v>
      </c>
      <c r="E2028" s="115" t="e">
        <f t="array" aca="1" ref="E2028" ca="1">IF(OR(C2027=0,AND(B2029=0,C2029=0)),"",IFERROR(INDEX($F$27:$F$36,MATCH(C2028,($F$27:$F$36)*($D$27:$D$36&lt;&gt;0),0)),IF(OR(AND(D2028=0,B2028=0,B2029&lt;&gt;0),AND(D2028*D2027&lt;0,B2028&lt;&gt;0)),IF(D2028=0,C2028,C2028*(1-ABS(D2028)/(ABS(D2028)+ABS(D2027)))+C2027*(1-ABS(D2027)/(ABS(D2028)+ABS(D2027)))),"")))</f>
        <v>#NAME?</v>
      </c>
    </row>
    <row r="2029" spans="2:5" x14ac:dyDescent="0.25">
      <c r="B2029" t="e">
        <f t="shared" ca="1" si="65"/>
        <v>#NAME?</v>
      </c>
      <c r="C2029">
        <v>1986</v>
      </c>
      <c r="D2029" t="e">
        <f t="shared" ca="1" si="64"/>
        <v>#NAME?</v>
      </c>
      <c r="E2029" s="115" t="e">
        <f t="array" aca="1" ref="E2029" ca="1">IF(OR(C2028=0,AND(B2030=0,C2030=0)),"",IFERROR(INDEX($F$27:$F$36,MATCH(C2029,($F$27:$F$36)*($D$27:$D$36&lt;&gt;0),0)),IF(OR(AND(D2029=0,B2029=0,B2030&lt;&gt;0),AND(D2029*D2028&lt;0,B2029&lt;&gt;0)),IF(D2029=0,C2029,C2029*(1-ABS(D2029)/(ABS(D2029)+ABS(D2028)))+C2028*(1-ABS(D2028)/(ABS(D2029)+ABS(D2028)))),"")))</f>
        <v>#NAME?</v>
      </c>
    </row>
    <row r="2030" spans="2:5" x14ac:dyDescent="0.25">
      <c r="B2030" t="e">
        <f t="shared" ca="1" si="65"/>
        <v>#NAME?</v>
      </c>
      <c r="C2030">
        <v>1987</v>
      </c>
      <c r="D2030" t="e">
        <f t="shared" ca="1" si="64"/>
        <v>#NAME?</v>
      </c>
      <c r="E2030" s="115" t="e">
        <f t="array" aca="1" ref="E2030" ca="1">IF(OR(C2029=0,AND(B2031=0,C2031=0)),"",IFERROR(INDEX($F$27:$F$36,MATCH(C2030,($F$27:$F$36)*($D$27:$D$36&lt;&gt;0),0)),IF(OR(AND(D2030=0,B2030=0,B2031&lt;&gt;0),AND(D2030*D2029&lt;0,B2030&lt;&gt;0)),IF(D2030=0,C2030,C2030*(1-ABS(D2030)/(ABS(D2030)+ABS(D2029)))+C2029*(1-ABS(D2029)/(ABS(D2030)+ABS(D2029)))),"")))</f>
        <v>#NAME?</v>
      </c>
    </row>
    <row r="2031" spans="2:5" x14ac:dyDescent="0.25">
      <c r="B2031" t="e">
        <f t="shared" ca="1" si="65"/>
        <v>#NAME?</v>
      </c>
      <c r="C2031">
        <v>1988</v>
      </c>
      <c r="D2031" t="e">
        <f t="shared" ca="1" si="64"/>
        <v>#NAME?</v>
      </c>
      <c r="E2031" s="115" t="e">
        <f t="array" aca="1" ref="E2031" ca="1">IF(OR(C2030=0,AND(B2032=0,C2032=0)),"",IFERROR(INDEX($F$27:$F$36,MATCH(C2031,($F$27:$F$36)*($D$27:$D$36&lt;&gt;0),0)),IF(OR(AND(D2031=0,B2031=0,B2032&lt;&gt;0),AND(D2031*D2030&lt;0,B2031&lt;&gt;0)),IF(D2031=0,C2031,C2031*(1-ABS(D2031)/(ABS(D2031)+ABS(D2030)))+C2030*(1-ABS(D2030)/(ABS(D2031)+ABS(D2030)))),"")))</f>
        <v>#NAME?</v>
      </c>
    </row>
    <row r="2032" spans="2:5" x14ac:dyDescent="0.25">
      <c r="B2032" t="e">
        <f t="shared" ca="1" si="65"/>
        <v>#NAME?</v>
      </c>
      <c r="C2032">
        <v>1989</v>
      </c>
      <c r="D2032" t="e">
        <f t="shared" ca="1" si="64"/>
        <v>#NAME?</v>
      </c>
      <c r="E2032" s="115" t="e">
        <f t="array" aca="1" ref="E2032" ca="1">IF(OR(C2031=0,AND(B2033=0,C2033=0)),"",IFERROR(INDEX($F$27:$F$36,MATCH(C2032,($F$27:$F$36)*($D$27:$D$36&lt;&gt;0),0)),IF(OR(AND(D2032=0,B2032=0,B2033&lt;&gt;0),AND(D2032*D2031&lt;0,B2032&lt;&gt;0)),IF(D2032=0,C2032,C2032*(1-ABS(D2032)/(ABS(D2032)+ABS(D2031)))+C2031*(1-ABS(D2031)/(ABS(D2032)+ABS(D2031)))),"")))</f>
        <v>#NAME?</v>
      </c>
    </row>
    <row r="2033" spans="2:5" x14ac:dyDescent="0.25">
      <c r="B2033" t="e">
        <f t="shared" ca="1" si="65"/>
        <v>#NAME?</v>
      </c>
      <c r="C2033">
        <v>1990</v>
      </c>
      <c r="D2033" t="e">
        <f t="shared" ca="1" si="64"/>
        <v>#NAME?</v>
      </c>
      <c r="E2033" s="115" t="e">
        <f t="array" aca="1" ref="E2033" ca="1">IF(OR(C2032=0,AND(B2034=0,C2034=0)),"",IFERROR(INDEX($F$27:$F$36,MATCH(C2033,($F$27:$F$36)*($D$27:$D$36&lt;&gt;0),0)),IF(OR(AND(D2033=0,B2033=0,B2034&lt;&gt;0),AND(D2033*D2032&lt;0,B2033&lt;&gt;0)),IF(D2033=0,C2033,C2033*(1-ABS(D2033)/(ABS(D2033)+ABS(D2032)))+C2032*(1-ABS(D2032)/(ABS(D2033)+ABS(D2032)))),"")))</f>
        <v>#NAME?</v>
      </c>
    </row>
    <row r="2034" spans="2:5" x14ac:dyDescent="0.25">
      <c r="B2034" t="e">
        <f t="shared" ca="1" si="65"/>
        <v>#NAME?</v>
      </c>
      <c r="C2034">
        <v>1991</v>
      </c>
      <c r="D2034" t="e">
        <f t="shared" ca="1" si="64"/>
        <v>#NAME?</v>
      </c>
      <c r="E2034" s="115" t="e">
        <f t="array" aca="1" ref="E2034" ca="1">IF(OR(C2033=0,AND(B2035=0,C2035=0)),"",IFERROR(INDEX($F$27:$F$36,MATCH(C2034,($F$27:$F$36)*($D$27:$D$36&lt;&gt;0),0)),IF(OR(AND(D2034=0,B2034=0,B2035&lt;&gt;0),AND(D2034*D2033&lt;0,B2034&lt;&gt;0)),IF(D2034=0,C2034,C2034*(1-ABS(D2034)/(ABS(D2034)+ABS(D2033)))+C2033*(1-ABS(D2033)/(ABS(D2034)+ABS(D2033)))),"")))</f>
        <v>#NAME?</v>
      </c>
    </row>
    <row r="2035" spans="2:5" x14ac:dyDescent="0.25">
      <c r="B2035" t="e">
        <f t="shared" ca="1" si="65"/>
        <v>#NAME?</v>
      </c>
      <c r="C2035">
        <v>1992</v>
      </c>
      <c r="D2035" t="e">
        <f t="shared" ca="1" si="64"/>
        <v>#NAME?</v>
      </c>
      <c r="E2035" s="115" t="e">
        <f t="array" aca="1" ref="E2035" ca="1">IF(OR(C2034=0,AND(B2036=0,C2036=0)),"",IFERROR(INDEX($F$27:$F$36,MATCH(C2035,($F$27:$F$36)*($D$27:$D$36&lt;&gt;0),0)),IF(OR(AND(D2035=0,B2035=0,B2036&lt;&gt;0),AND(D2035*D2034&lt;0,B2035&lt;&gt;0)),IF(D2035=0,C2035,C2035*(1-ABS(D2035)/(ABS(D2035)+ABS(D2034)))+C2034*(1-ABS(D2034)/(ABS(D2035)+ABS(D2034)))),"")))</f>
        <v>#NAME?</v>
      </c>
    </row>
    <row r="2036" spans="2:5" x14ac:dyDescent="0.25">
      <c r="B2036" t="e">
        <f t="shared" ca="1" si="65"/>
        <v>#NAME?</v>
      </c>
      <c r="C2036">
        <v>1993</v>
      </c>
      <c r="D2036" t="e">
        <f t="shared" ca="1" si="64"/>
        <v>#NAME?</v>
      </c>
      <c r="E2036" s="115" t="e">
        <f t="array" aca="1" ref="E2036" ca="1">IF(OR(C2035=0,AND(B2037=0,C2037=0)),"",IFERROR(INDEX($F$27:$F$36,MATCH(C2036,($F$27:$F$36)*($D$27:$D$36&lt;&gt;0),0)),IF(OR(AND(D2036=0,B2036=0,B2037&lt;&gt;0),AND(D2036*D2035&lt;0,B2036&lt;&gt;0)),IF(D2036=0,C2036,C2036*(1-ABS(D2036)/(ABS(D2036)+ABS(D2035)))+C2035*(1-ABS(D2035)/(ABS(D2036)+ABS(D2035)))),"")))</f>
        <v>#NAME?</v>
      </c>
    </row>
    <row r="2037" spans="2:5" x14ac:dyDescent="0.25">
      <c r="B2037" t="e">
        <f t="shared" ca="1" si="65"/>
        <v>#NAME?</v>
      </c>
      <c r="C2037">
        <v>1994</v>
      </c>
      <c r="D2037" t="e">
        <f t="shared" ca="1" si="64"/>
        <v>#NAME?</v>
      </c>
      <c r="E2037" s="115" t="e">
        <f t="array" aca="1" ref="E2037" ca="1">IF(OR(C2036=0,AND(B2038=0,C2038=0)),"",IFERROR(INDEX($F$27:$F$36,MATCH(C2037,($F$27:$F$36)*($D$27:$D$36&lt;&gt;0),0)),IF(OR(AND(D2037=0,B2037=0,B2038&lt;&gt;0),AND(D2037*D2036&lt;0,B2037&lt;&gt;0)),IF(D2037=0,C2037,C2037*(1-ABS(D2037)/(ABS(D2037)+ABS(D2036)))+C2036*(1-ABS(D2036)/(ABS(D2037)+ABS(D2036)))),"")))</f>
        <v>#NAME?</v>
      </c>
    </row>
    <row r="2038" spans="2:5" x14ac:dyDescent="0.25">
      <c r="B2038" t="e">
        <f t="shared" ca="1" si="65"/>
        <v>#NAME?</v>
      </c>
      <c r="C2038">
        <v>1995</v>
      </c>
      <c r="D2038" t="e">
        <f t="shared" ca="1" si="64"/>
        <v>#NAME?</v>
      </c>
      <c r="E2038" s="115" t="e">
        <f t="array" aca="1" ref="E2038" ca="1">IF(OR(C2037=0,AND(B2039=0,C2039=0)),"",IFERROR(INDEX($F$27:$F$36,MATCH(C2038,($F$27:$F$36)*($D$27:$D$36&lt;&gt;0),0)),IF(OR(AND(D2038=0,B2038=0,B2039&lt;&gt;0),AND(D2038*D2037&lt;0,B2038&lt;&gt;0)),IF(D2038=0,C2038,C2038*(1-ABS(D2038)/(ABS(D2038)+ABS(D2037)))+C2037*(1-ABS(D2037)/(ABS(D2038)+ABS(D2037)))),"")))</f>
        <v>#NAME?</v>
      </c>
    </row>
    <row r="2039" spans="2:5" x14ac:dyDescent="0.25">
      <c r="B2039" t="e">
        <f t="shared" ca="1" si="65"/>
        <v>#NAME?</v>
      </c>
      <c r="C2039">
        <v>1996</v>
      </c>
      <c r="D2039" t="e">
        <f t="shared" ca="1" si="64"/>
        <v>#NAME?</v>
      </c>
      <c r="E2039" s="115" t="e">
        <f t="array" aca="1" ref="E2039" ca="1">IF(OR(C2038=0,AND(B2040=0,C2040=0)),"",IFERROR(INDEX($F$27:$F$36,MATCH(C2039,($F$27:$F$36)*($D$27:$D$36&lt;&gt;0),0)),IF(OR(AND(D2039=0,B2039=0,B2040&lt;&gt;0),AND(D2039*D2038&lt;0,B2039&lt;&gt;0)),IF(D2039=0,C2039,C2039*(1-ABS(D2039)/(ABS(D2039)+ABS(D2038)))+C2038*(1-ABS(D2038)/(ABS(D2039)+ABS(D2038)))),"")))</f>
        <v>#NAME?</v>
      </c>
    </row>
    <row r="2040" spans="2:5" x14ac:dyDescent="0.25">
      <c r="B2040" t="e">
        <f t="shared" ca="1" si="65"/>
        <v>#NAME?</v>
      </c>
      <c r="C2040">
        <v>1997</v>
      </c>
      <c r="D2040" t="e">
        <f t="shared" ca="1" si="64"/>
        <v>#NAME?</v>
      </c>
      <c r="E2040" s="115" t="e">
        <f t="array" aca="1" ref="E2040" ca="1">IF(OR(C2039=0,AND(B2041=0,C2041=0)),"",IFERROR(INDEX($F$27:$F$36,MATCH(C2040,($F$27:$F$36)*($D$27:$D$36&lt;&gt;0),0)),IF(OR(AND(D2040=0,B2040=0,B2041&lt;&gt;0),AND(D2040*D2039&lt;0,B2040&lt;&gt;0)),IF(D2040=0,C2040,C2040*(1-ABS(D2040)/(ABS(D2040)+ABS(D2039)))+C2039*(1-ABS(D2039)/(ABS(D2040)+ABS(D2039)))),"")))</f>
        <v>#NAME?</v>
      </c>
    </row>
    <row r="2041" spans="2:5" x14ac:dyDescent="0.25">
      <c r="B2041" t="e">
        <f t="shared" ca="1" si="65"/>
        <v>#NAME?</v>
      </c>
      <c r="C2041">
        <v>1998</v>
      </c>
      <c r="D2041" t="e">
        <f t="shared" ca="1" si="64"/>
        <v>#NAME?</v>
      </c>
      <c r="E2041" s="115" t="e">
        <f t="array" aca="1" ref="E2041" ca="1">IF(OR(C2040=0,AND(B2042=0,C2042=0)),"",IFERROR(INDEX($F$27:$F$36,MATCH(C2041,($F$27:$F$36)*($D$27:$D$36&lt;&gt;0),0)),IF(OR(AND(D2041=0,B2041=0,B2042&lt;&gt;0),AND(D2041*D2040&lt;0,B2041&lt;&gt;0)),IF(D2041=0,C2041,C2041*(1-ABS(D2041)/(ABS(D2041)+ABS(D2040)))+C2040*(1-ABS(D2040)/(ABS(D2041)+ABS(D2040)))),"")))</f>
        <v>#NAME?</v>
      </c>
    </row>
    <row r="2042" spans="2:5" x14ac:dyDescent="0.25">
      <c r="B2042" t="e">
        <f t="shared" ca="1" si="65"/>
        <v>#NAME?</v>
      </c>
      <c r="C2042">
        <v>1999</v>
      </c>
      <c r="D2042" t="e">
        <f t="shared" ca="1" si="64"/>
        <v>#NAME?</v>
      </c>
      <c r="E2042" s="115" t="e">
        <f t="array" aca="1" ref="E2042" ca="1">IF(OR(C2041=0,AND(B2043=0,C2043=0)),"",IFERROR(INDEX($F$27:$F$36,MATCH(C2042,($F$27:$F$36)*($D$27:$D$36&lt;&gt;0),0)),IF(OR(AND(D2042=0,B2042=0,B2043&lt;&gt;0),AND(D2042*D2041&lt;0,B2042&lt;&gt;0)),IF(D2042=0,C2042,C2042*(1-ABS(D2042)/(ABS(D2042)+ABS(D2041)))+C2041*(1-ABS(D2041)/(ABS(D2042)+ABS(D2041)))),"")))</f>
        <v>#NAME?</v>
      </c>
    </row>
    <row r="2043" spans="2:5" x14ac:dyDescent="0.25">
      <c r="B2043" t="e">
        <f t="shared" ca="1" si="65"/>
        <v>#NAME?</v>
      </c>
      <c r="C2043">
        <v>2000</v>
      </c>
      <c r="D2043" t="e">
        <f t="shared" ca="1" si="64"/>
        <v>#NAME?</v>
      </c>
      <c r="E2043" s="115" t="e">
        <f t="array" aca="1" ref="E2043" ca="1">IF(OR(C2042=0,AND(B2044=0,C2044=0)),"",IFERROR(INDEX($F$27:$F$36,MATCH(C2043,($F$27:$F$36)*($D$27:$D$36&lt;&gt;0),0)),IF(OR(AND(D2043=0,B2043=0,B2044&lt;&gt;0),AND(D2043*D2042&lt;0,B2043&lt;&gt;0)),IF(D2043=0,C2043,C2043*(1-ABS(D2043)/(ABS(D2043)+ABS(D2042)))+C2042*(1-ABS(D2042)/(ABS(D2043)+ABS(D2042)))),"")))</f>
        <v>#NAME?</v>
      </c>
    </row>
    <row r="2044" spans="2:5" x14ac:dyDescent="0.25">
      <c r="B2044" t="e">
        <f t="shared" ca="1" si="65"/>
        <v>#NAME?</v>
      </c>
      <c r="C2044">
        <v>2001</v>
      </c>
      <c r="D2044" t="e">
        <f t="shared" ca="1" si="64"/>
        <v>#NAME?</v>
      </c>
      <c r="E2044" s="115" t="e">
        <f t="array" aca="1" ref="E2044" ca="1">IF(OR(C2043=0,AND(B2045=0,C2045=0)),"",IFERROR(INDEX($F$27:$F$36,MATCH(C2044,($F$27:$F$36)*($D$27:$D$36&lt;&gt;0),0)),IF(OR(AND(D2044=0,B2044=0,B2045&lt;&gt;0),AND(D2044*D2043&lt;0,B2044&lt;&gt;0)),IF(D2044=0,C2044,C2044*(1-ABS(D2044)/(ABS(D2044)+ABS(D2043)))+C2043*(1-ABS(D2043)/(ABS(D2044)+ABS(D2043)))),"")))</f>
        <v>#NAME?</v>
      </c>
    </row>
    <row r="2045" spans="2:5" x14ac:dyDescent="0.25">
      <c r="B2045" t="e">
        <f t="shared" ca="1" si="65"/>
        <v>#NAME?</v>
      </c>
      <c r="C2045">
        <v>2002</v>
      </c>
      <c r="D2045" t="e">
        <f t="shared" ca="1" si="64"/>
        <v>#NAME?</v>
      </c>
      <c r="E2045" s="115" t="e">
        <f t="array" aca="1" ref="E2045" ca="1">IF(OR(C2044=0,AND(B2046=0,C2046=0)),"",IFERROR(INDEX($F$27:$F$36,MATCH(C2045,($F$27:$F$36)*($D$27:$D$36&lt;&gt;0),0)),IF(OR(AND(D2045=0,B2045=0,B2046&lt;&gt;0),AND(D2045*D2044&lt;0,B2045&lt;&gt;0)),IF(D2045=0,C2045,C2045*(1-ABS(D2045)/(ABS(D2045)+ABS(D2044)))+C2044*(1-ABS(D2044)/(ABS(D2045)+ABS(D2044)))),"")))</f>
        <v>#NAME?</v>
      </c>
    </row>
    <row r="2046" spans="2:5" x14ac:dyDescent="0.25">
      <c r="B2046" t="e">
        <f t="shared" ca="1" si="65"/>
        <v>#NAME?</v>
      </c>
      <c r="C2046">
        <v>2003</v>
      </c>
      <c r="D2046" t="e">
        <f t="shared" ca="1" si="64"/>
        <v>#NAME?</v>
      </c>
      <c r="E2046" s="115" t="e">
        <f t="array" aca="1" ref="E2046" ca="1">IF(OR(C2045=0,AND(B2047=0,C2047=0)),"",IFERROR(INDEX($F$27:$F$36,MATCH(C2046,($F$27:$F$36)*($D$27:$D$36&lt;&gt;0),0)),IF(OR(AND(D2046=0,B2046=0,B2047&lt;&gt;0),AND(D2046*D2045&lt;0,B2046&lt;&gt;0)),IF(D2046=0,C2046,C2046*(1-ABS(D2046)/(ABS(D2046)+ABS(D2045)))+C2045*(1-ABS(D2045)/(ABS(D2046)+ABS(D2045)))),"")))</f>
        <v>#NAME?</v>
      </c>
    </row>
    <row r="2047" spans="2:5" x14ac:dyDescent="0.25">
      <c r="B2047" t="e">
        <f t="shared" ca="1" si="65"/>
        <v>#NAME?</v>
      </c>
      <c r="C2047">
        <v>2004</v>
      </c>
      <c r="D2047" t="e">
        <f t="shared" ca="1" si="64"/>
        <v>#NAME?</v>
      </c>
      <c r="E2047" s="115" t="e">
        <f t="array" aca="1" ref="E2047" ca="1">IF(OR(C2046=0,AND(B2048=0,C2048=0)),"",IFERROR(INDEX($F$27:$F$36,MATCH(C2047,($F$27:$F$36)*($D$27:$D$36&lt;&gt;0),0)),IF(OR(AND(D2047=0,B2047=0,B2048&lt;&gt;0),AND(D2047*D2046&lt;0,B2047&lt;&gt;0)),IF(D2047=0,C2047,C2047*(1-ABS(D2047)/(ABS(D2047)+ABS(D2046)))+C2046*(1-ABS(D2046)/(ABS(D2047)+ABS(D2046)))),"")))</f>
        <v>#NAME?</v>
      </c>
    </row>
    <row r="2048" spans="2:5" x14ac:dyDescent="0.25">
      <c r="B2048" t="e">
        <f t="shared" ca="1" si="65"/>
        <v>#NAME?</v>
      </c>
      <c r="C2048">
        <v>2005</v>
      </c>
      <c r="D2048" t="e">
        <f t="shared" ca="1" si="64"/>
        <v>#NAME?</v>
      </c>
      <c r="E2048" s="115" t="e">
        <f t="array" aca="1" ref="E2048" ca="1">IF(OR(C2047=0,AND(B2049=0,C2049=0)),"",IFERROR(INDEX($F$27:$F$36,MATCH(C2048,($F$27:$F$36)*($D$27:$D$36&lt;&gt;0),0)),IF(OR(AND(D2048=0,B2048=0,B2049&lt;&gt;0),AND(D2048*D2047&lt;0,B2048&lt;&gt;0)),IF(D2048=0,C2048,C2048*(1-ABS(D2048)/(ABS(D2048)+ABS(D2047)))+C2047*(1-ABS(D2047)/(ABS(D2048)+ABS(D2047)))),"")))</f>
        <v>#NAME?</v>
      </c>
    </row>
    <row r="2049" spans="2:5" x14ac:dyDescent="0.25">
      <c r="B2049" t="e">
        <f t="shared" ca="1" si="65"/>
        <v>#NAME?</v>
      </c>
      <c r="C2049">
        <v>2006</v>
      </c>
      <c r="D2049" t="e">
        <f t="shared" ca="1" si="64"/>
        <v>#NAME?</v>
      </c>
      <c r="E2049" s="115" t="e">
        <f t="array" aca="1" ref="E2049" ca="1">IF(OR(C2048=0,AND(B2050=0,C2050=0)),"",IFERROR(INDEX($F$27:$F$36,MATCH(C2049,($F$27:$F$36)*($D$27:$D$36&lt;&gt;0),0)),IF(OR(AND(D2049=0,B2049=0,B2050&lt;&gt;0),AND(D2049*D2048&lt;0,B2049&lt;&gt;0)),IF(D2049=0,C2049,C2049*(1-ABS(D2049)/(ABS(D2049)+ABS(D2048)))+C2048*(1-ABS(D2048)/(ABS(D2049)+ABS(D2048)))),"")))</f>
        <v>#NAME?</v>
      </c>
    </row>
    <row r="2050" spans="2:5" x14ac:dyDescent="0.25">
      <c r="B2050" t="e">
        <f t="shared" ca="1" si="65"/>
        <v>#NAME?</v>
      </c>
      <c r="C2050">
        <v>2007</v>
      </c>
      <c r="D2050" t="e">
        <f t="shared" ca="1" si="64"/>
        <v>#NAME?</v>
      </c>
      <c r="E2050" s="115" t="e">
        <f t="array" aca="1" ref="E2050" ca="1">IF(OR(C2049=0,AND(B2051=0,C2051=0)),"",IFERROR(INDEX($F$27:$F$36,MATCH(C2050,($F$27:$F$36)*($D$27:$D$36&lt;&gt;0),0)),IF(OR(AND(D2050=0,B2050=0,B2051&lt;&gt;0),AND(D2050*D2049&lt;0,B2050&lt;&gt;0)),IF(D2050=0,C2050,C2050*(1-ABS(D2050)/(ABS(D2050)+ABS(D2049)))+C2049*(1-ABS(D2049)/(ABS(D2050)+ABS(D2049)))),"")))</f>
        <v>#NAME?</v>
      </c>
    </row>
    <row r="2051" spans="2:5" x14ac:dyDescent="0.25">
      <c r="B2051" t="e">
        <f t="shared" ca="1" si="65"/>
        <v>#NAME?</v>
      </c>
      <c r="C2051">
        <v>2008</v>
      </c>
      <c r="D2051" t="e">
        <f t="shared" ca="1" si="64"/>
        <v>#NAME?</v>
      </c>
      <c r="E2051" s="115" t="e">
        <f t="array" aca="1" ref="E2051" ca="1">IF(OR(C2050=0,AND(B2052=0,C2052=0)),"",IFERROR(INDEX($F$27:$F$36,MATCH(C2051,($F$27:$F$36)*($D$27:$D$36&lt;&gt;0),0)),IF(OR(AND(D2051=0,B2051=0,B2052&lt;&gt;0),AND(D2051*D2050&lt;0,B2051&lt;&gt;0)),IF(D2051=0,C2051,C2051*(1-ABS(D2051)/(ABS(D2051)+ABS(D2050)))+C2050*(1-ABS(D2050)/(ABS(D2051)+ABS(D2050)))),"")))</f>
        <v>#NAME?</v>
      </c>
    </row>
    <row r="2052" spans="2:5" x14ac:dyDescent="0.25">
      <c r="B2052" t="e">
        <f t="shared" ca="1" si="65"/>
        <v>#NAME?</v>
      </c>
      <c r="C2052">
        <v>2009</v>
      </c>
      <c r="D2052" t="e">
        <f t="shared" ca="1" si="64"/>
        <v>#NAME?</v>
      </c>
      <c r="E2052" s="115" t="e">
        <f t="array" aca="1" ref="E2052" ca="1">IF(OR(C2051=0,AND(B2053=0,C2053=0)),"",IFERROR(INDEX($F$27:$F$36,MATCH(C2052,($F$27:$F$36)*($D$27:$D$36&lt;&gt;0),0)),IF(OR(AND(D2052=0,B2052=0,B2053&lt;&gt;0),AND(D2052*D2051&lt;0,B2052&lt;&gt;0)),IF(D2052=0,C2052,C2052*(1-ABS(D2052)/(ABS(D2052)+ABS(D2051)))+C2051*(1-ABS(D2051)/(ABS(D2052)+ABS(D2051)))),"")))</f>
        <v>#NAME?</v>
      </c>
    </row>
    <row r="2053" spans="2:5" x14ac:dyDescent="0.25">
      <c r="B2053" t="e">
        <f t="shared" ca="1" si="65"/>
        <v>#NAME?</v>
      </c>
      <c r="C2053">
        <v>2010</v>
      </c>
      <c r="D2053" t="e">
        <f t="shared" ca="1" si="64"/>
        <v>#NAME?</v>
      </c>
      <c r="E2053" s="115" t="e">
        <f t="array" aca="1" ref="E2053" ca="1">IF(OR(C2052=0,AND(B2054=0,C2054=0)),"",IFERROR(INDEX($F$27:$F$36,MATCH(C2053,($F$27:$F$36)*($D$27:$D$36&lt;&gt;0),0)),IF(OR(AND(D2053=0,B2053=0,B2054&lt;&gt;0),AND(D2053*D2052&lt;0,B2053&lt;&gt;0)),IF(D2053=0,C2053,C2053*(1-ABS(D2053)/(ABS(D2053)+ABS(D2052)))+C2052*(1-ABS(D2052)/(ABS(D2053)+ABS(D2052)))),"")))</f>
        <v>#NAME?</v>
      </c>
    </row>
    <row r="2054" spans="2:5" x14ac:dyDescent="0.25">
      <c r="B2054" t="e">
        <f t="shared" ca="1" si="65"/>
        <v>#NAME?</v>
      </c>
      <c r="C2054">
        <v>2011</v>
      </c>
      <c r="D2054" t="e">
        <f t="shared" ca="1" si="64"/>
        <v>#NAME?</v>
      </c>
      <c r="E2054" s="115" t="e">
        <f t="array" aca="1" ref="E2054" ca="1">IF(OR(C2053=0,AND(B2055=0,C2055=0)),"",IFERROR(INDEX($F$27:$F$36,MATCH(C2054,($F$27:$F$36)*($D$27:$D$36&lt;&gt;0),0)),IF(OR(AND(D2054=0,B2054=0,B2055&lt;&gt;0),AND(D2054*D2053&lt;0,B2054&lt;&gt;0)),IF(D2054=0,C2054,C2054*(1-ABS(D2054)/(ABS(D2054)+ABS(D2053)))+C2053*(1-ABS(D2053)/(ABS(D2054)+ABS(D2053)))),"")))</f>
        <v>#NAME?</v>
      </c>
    </row>
    <row r="2055" spans="2:5" x14ac:dyDescent="0.25">
      <c r="B2055" t="e">
        <f t="shared" ca="1" si="65"/>
        <v>#NAME?</v>
      </c>
      <c r="C2055">
        <v>2012</v>
      </c>
      <c r="D2055" t="e">
        <f t="shared" ca="1" si="64"/>
        <v>#NAME?</v>
      </c>
      <c r="E2055" s="115" t="e">
        <f t="array" aca="1" ref="E2055" ca="1">IF(OR(C2054=0,AND(B2056=0,C2056=0)),"",IFERROR(INDEX($F$27:$F$36,MATCH(C2055,($F$27:$F$36)*($D$27:$D$36&lt;&gt;0),0)),IF(OR(AND(D2055=0,B2055=0,B2056&lt;&gt;0),AND(D2055*D2054&lt;0,B2055&lt;&gt;0)),IF(D2055=0,C2055,C2055*(1-ABS(D2055)/(ABS(D2055)+ABS(D2054)))+C2054*(1-ABS(D2054)/(ABS(D2055)+ABS(D2054)))),"")))</f>
        <v>#NAME?</v>
      </c>
    </row>
    <row r="2056" spans="2:5" x14ac:dyDescent="0.25">
      <c r="B2056" t="e">
        <f t="shared" ca="1" si="65"/>
        <v>#NAME?</v>
      </c>
      <c r="C2056">
        <v>2013</v>
      </c>
      <c r="D2056" t="e">
        <f t="shared" ca="1" si="64"/>
        <v>#NAME?</v>
      </c>
      <c r="E2056" s="115" t="e">
        <f t="array" aca="1" ref="E2056" ca="1">IF(OR(C2055=0,AND(B2057=0,C2057=0)),"",IFERROR(INDEX($F$27:$F$36,MATCH(C2056,($F$27:$F$36)*($D$27:$D$36&lt;&gt;0),0)),IF(OR(AND(D2056=0,B2056=0,B2057&lt;&gt;0),AND(D2056*D2055&lt;0,B2056&lt;&gt;0)),IF(D2056=0,C2056,C2056*(1-ABS(D2056)/(ABS(D2056)+ABS(D2055)))+C2055*(1-ABS(D2055)/(ABS(D2056)+ABS(D2055)))),"")))</f>
        <v>#NAME?</v>
      </c>
    </row>
    <row r="2057" spans="2:5" x14ac:dyDescent="0.25">
      <c r="B2057" t="e">
        <f t="shared" ca="1" si="65"/>
        <v>#NAME?</v>
      </c>
      <c r="C2057">
        <v>2014</v>
      </c>
      <c r="D2057" t="e">
        <f t="shared" ca="1" si="64"/>
        <v>#NAME?</v>
      </c>
      <c r="E2057" s="115" t="e">
        <f t="array" aca="1" ref="E2057" ca="1">IF(OR(C2056=0,AND(B2058=0,C2058=0)),"",IFERROR(INDEX($F$27:$F$36,MATCH(C2057,($F$27:$F$36)*($D$27:$D$36&lt;&gt;0),0)),IF(OR(AND(D2057=0,B2057=0,B2058&lt;&gt;0),AND(D2057*D2056&lt;0,B2057&lt;&gt;0)),IF(D2057=0,C2057,C2057*(1-ABS(D2057)/(ABS(D2057)+ABS(D2056)))+C2056*(1-ABS(D2056)/(ABS(D2057)+ABS(D2056)))),"")))</f>
        <v>#NAME?</v>
      </c>
    </row>
    <row r="2058" spans="2:5" x14ac:dyDescent="0.25">
      <c r="B2058" t="e">
        <f t="shared" ca="1" si="65"/>
        <v>#NAME?</v>
      </c>
      <c r="C2058">
        <v>2015</v>
      </c>
      <c r="D2058" t="e">
        <f t="shared" ca="1" si="64"/>
        <v>#NAME?</v>
      </c>
      <c r="E2058" s="115" t="e">
        <f t="array" aca="1" ref="E2058" ca="1">IF(OR(C2057=0,AND(B2059=0,C2059=0)),"",IFERROR(INDEX($F$27:$F$36,MATCH(C2058,($F$27:$F$36)*($D$27:$D$36&lt;&gt;0),0)),IF(OR(AND(D2058=0,B2058=0,B2059&lt;&gt;0),AND(D2058*D2057&lt;0,B2058&lt;&gt;0)),IF(D2058=0,C2058,C2058*(1-ABS(D2058)/(ABS(D2058)+ABS(D2057)))+C2057*(1-ABS(D2057)/(ABS(D2058)+ABS(D2057)))),"")))</f>
        <v>#NAME?</v>
      </c>
    </row>
    <row r="2059" spans="2:5" x14ac:dyDescent="0.25">
      <c r="B2059" t="e">
        <f t="shared" ca="1" si="65"/>
        <v>#NAME?</v>
      </c>
      <c r="C2059">
        <v>2016</v>
      </c>
      <c r="D2059" t="e">
        <f t="shared" ca="1" si="64"/>
        <v>#NAME?</v>
      </c>
      <c r="E2059" s="115" t="e">
        <f t="array" aca="1" ref="E2059" ca="1">IF(OR(C2058=0,AND(B2060=0,C2060=0)),"",IFERROR(INDEX($F$27:$F$36,MATCH(C2059,($F$27:$F$36)*($D$27:$D$36&lt;&gt;0),0)),IF(OR(AND(D2059=0,B2059=0,B2060&lt;&gt;0),AND(D2059*D2058&lt;0,B2059&lt;&gt;0)),IF(D2059=0,C2059,C2059*(1-ABS(D2059)/(ABS(D2059)+ABS(D2058)))+C2058*(1-ABS(D2058)/(ABS(D2059)+ABS(D2058)))),"")))</f>
        <v>#NAME?</v>
      </c>
    </row>
    <row r="2060" spans="2:5" x14ac:dyDescent="0.25">
      <c r="B2060" t="e">
        <f t="shared" ca="1" si="65"/>
        <v>#NAME?</v>
      </c>
      <c r="C2060">
        <v>2017</v>
      </c>
      <c r="D2060" t="e">
        <f t="shared" ca="1" si="64"/>
        <v>#NAME?</v>
      </c>
      <c r="E2060" s="115" t="e">
        <f t="array" aca="1" ref="E2060" ca="1">IF(OR(C2059=0,AND(B2061=0,C2061=0)),"",IFERROR(INDEX($F$27:$F$36,MATCH(C2060,($F$27:$F$36)*($D$27:$D$36&lt;&gt;0),0)),IF(OR(AND(D2060=0,B2060=0,B2061&lt;&gt;0),AND(D2060*D2059&lt;0,B2060&lt;&gt;0)),IF(D2060=0,C2060,C2060*(1-ABS(D2060)/(ABS(D2060)+ABS(D2059)))+C2059*(1-ABS(D2059)/(ABS(D2060)+ABS(D2059)))),"")))</f>
        <v>#NAME?</v>
      </c>
    </row>
    <row r="2061" spans="2:5" x14ac:dyDescent="0.25">
      <c r="B2061" t="e">
        <f t="shared" ca="1" si="65"/>
        <v>#NAME?</v>
      </c>
      <c r="C2061">
        <v>2018</v>
      </c>
      <c r="D2061" t="e">
        <f t="shared" ca="1" si="64"/>
        <v>#NAME?</v>
      </c>
      <c r="E2061" s="115" t="e">
        <f t="array" aca="1" ref="E2061" ca="1">IF(OR(C2060=0,AND(B2062=0,C2062=0)),"",IFERROR(INDEX($F$27:$F$36,MATCH(C2061,($F$27:$F$36)*($D$27:$D$36&lt;&gt;0),0)),IF(OR(AND(D2061=0,B2061=0,B2062&lt;&gt;0),AND(D2061*D2060&lt;0,B2061&lt;&gt;0)),IF(D2061=0,C2061,C2061*(1-ABS(D2061)/(ABS(D2061)+ABS(D2060)))+C2060*(1-ABS(D2060)/(ABS(D2061)+ABS(D2060)))),"")))</f>
        <v>#NAME?</v>
      </c>
    </row>
    <row r="2062" spans="2:5" x14ac:dyDescent="0.25">
      <c r="B2062" t="e">
        <f t="shared" ca="1" si="65"/>
        <v>#NAME?</v>
      </c>
      <c r="C2062">
        <v>2019</v>
      </c>
      <c r="D2062" t="e">
        <f t="shared" ca="1" si="64"/>
        <v>#NAME?</v>
      </c>
      <c r="E2062" s="115" t="e">
        <f t="array" aca="1" ref="E2062" ca="1">IF(OR(C2061=0,AND(B2063=0,C2063=0)),"",IFERROR(INDEX($F$27:$F$36,MATCH(C2062,($F$27:$F$36)*($D$27:$D$36&lt;&gt;0),0)),IF(OR(AND(D2062=0,B2062=0,B2063&lt;&gt;0),AND(D2062*D2061&lt;0,B2062&lt;&gt;0)),IF(D2062=0,C2062,C2062*(1-ABS(D2062)/(ABS(D2062)+ABS(D2061)))+C2061*(1-ABS(D2061)/(ABS(D2062)+ABS(D2061)))),"")))</f>
        <v>#NAME?</v>
      </c>
    </row>
    <row r="2063" spans="2:5" x14ac:dyDescent="0.25">
      <c r="B2063" t="e">
        <f t="shared" ca="1" si="65"/>
        <v>#NAME?</v>
      </c>
      <c r="C2063">
        <v>2020</v>
      </c>
      <c r="D2063" t="e">
        <f t="shared" ca="1" si="64"/>
        <v>#NAME?</v>
      </c>
      <c r="E2063" s="115" t="e">
        <f t="array" aca="1" ref="E2063" ca="1">IF(OR(C2062=0,AND(B2064=0,C2064=0)),"",IFERROR(INDEX($F$27:$F$36,MATCH(C2063,($F$27:$F$36)*($D$27:$D$36&lt;&gt;0),0)),IF(OR(AND(D2063=0,B2063=0,B2064&lt;&gt;0),AND(D2063*D2062&lt;0,B2063&lt;&gt;0)),IF(D2063=0,C2063,C2063*(1-ABS(D2063)/(ABS(D2063)+ABS(D2062)))+C2062*(1-ABS(D2062)/(ABS(D2063)+ABS(D2062)))),"")))</f>
        <v>#NAME?</v>
      </c>
    </row>
    <row r="2064" spans="2:5" x14ac:dyDescent="0.25">
      <c r="B2064" t="e">
        <f t="shared" ca="1" si="65"/>
        <v>#NAME?</v>
      </c>
      <c r="C2064">
        <v>2021</v>
      </c>
      <c r="D2064" t="e">
        <f t="shared" ca="1" si="64"/>
        <v>#NAME?</v>
      </c>
      <c r="E2064" s="115" t="e">
        <f t="array" aca="1" ref="E2064" ca="1">IF(OR(C2063=0,AND(B2065=0,C2065=0)),"",IFERROR(INDEX($F$27:$F$36,MATCH(C2064,($F$27:$F$36)*($D$27:$D$36&lt;&gt;0),0)),IF(OR(AND(D2064=0,B2064=0,B2065&lt;&gt;0),AND(D2064*D2063&lt;0,B2064&lt;&gt;0)),IF(D2064=0,C2064,C2064*(1-ABS(D2064)/(ABS(D2064)+ABS(D2063)))+C2063*(1-ABS(D2063)/(ABS(D2064)+ABS(D2063)))),"")))</f>
        <v>#NAME?</v>
      </c>
    </row>
    <row r="2065" spans="2:5" x14ac:dyDescent="0.25">
      <c r="B2065" t="e">
        <f t="shared" ca="1" si="65"/>
        <v>#NAME?</v>
      </c>
      <c r="C2065">
        <v>2022</v>
      </c>
      <c r="D2065" t="e">
        <f t="shared" ca="1" si="64"/>
        <v>#NAME?</v>
      </c>
      <c r="E2065" s="115" t="e">
        <f t="array" aca="1" ref="E2065" ca="1">IF(OR(C2064=0,AND(B2066=0,C2066=0)),"",IFERROR(INDEX($F$27:$F$36,MATCH(C2065,($F$27:$F$36)*($D$27:$D$36&lt;&gt;0),0)),IF(OR(AND(D2065=0,B2065=0,B2066&lt;&gt;0),AND(D2065*D2064&lt;0,B2065&lt;&gt;0)),IF(D2065=0,C2065,C2065*(1-ABS(D2065)/(ABS(D2065)+ABS(D2064)))+C2064*(1-ABS(D2064)/(ABS(D2065)+ABS(D2064)))),"")))</f>
        <v>#NAME?</v>
      </c>
    </row>
    <row r="2066" spans="2:5" x14ac:dyDescent="0.25">
      <c r="B2066" t="e">
        <f t="shared" ca="1" si="65"/>
        <v>#NAME?</v>
      </c>
      <c r="C2066">
        <v>2023</v>
      </c>
      <c r="D2066" t="e">
        <f t="shared" ca="1" si="64"/>
        <v>#NAME?</v>
      </c>
      <c r="E2066" s="115" t="e">
        <f t="array" aca="1" ref="E2066" ca="1">IF(OR(C2065=0,AND(B2067=0,C2067=0)),"",IFERROR(INDEX($F$27:$F$36,MATCH(C2066,($F$27:$F$36)*($D$27:$D$36&lt;&gt;0),0)),IF(OR(AND(D2066=0,B2066=0,B2067&lt;&gt;0),AND(D2066*D2065&lt;0,B2066&lt;&gt;0)),IF(D2066=0,C2066,C2066*(1-ABS(D2066)/(ABS(D2066)+ABS(D2065)))+C2065*(1-ABS(D2065)/(ABS(D2066)+ABS(D2065)))),"")))</f>
        <v>#NAME?</v>
      </c>
    </row>
    <row r="2067" spans="2:5" x14ac:dyDescent="0.25">
      <c r="B2067" t="e">
        <f t="shared" ca="1" si="65"/>
        <v>#NAME?</v>
      </c>
      <c r="C2067">
        <v>2024</v>
      </c>
      <c r="D2067" t="e">
        <f t="shared" ca="1" si="64"/>
        <v>#NAME?</v>
      </c>
      <c r="E2067" s="115" t="e">
        <f t="array" aca="1" ref="E2067" ca="1">IF(OR(C2066=0,AND(B2068=0,C2068=0)),"",IFERROR(INDEX($F$27:$F$36,MATCH(C2067,($F$27:$F$36)*($D$27:$D$36&lt;&gt;0),0)),IF(OR(AND(D2067=0,B2067=0,B2068&lt;&gt;0),AND(D2067*D2066&lt;0,B2067&lt;&gt;0)),IF(D2067=0,C2067,C2067*(1-ABS(D2067)/(ABS(D2067)+ABS(D2066)))+C2066*(1-ABS(D2066)/(ABS(D2067)+ABS(D2066)))),"")))</f>
        <v>#NAME?</v>
      </c>
    </row>
    <row r="2068" spans="2:5" x14ac:dyDescent="0.25">
      <c r="B2068" t="e">
        <f t="shared" ca="1" si="65"/>
        <v>#NAME?</v>
      </c>
      <c r="C2068">
        <v>2025</v>
      </c>
      <c r="D2068" t="e">
        <f t="shared" ca="1" si="64"/>
        <v>#NAME?</v>
      </c>
      <c r="E2068" s="115" t="e">
        <f t="array" aca="1" ref="E2068" ca="1">IF(OR(C2067=0,AND(B2069=0,C2069=0)),"",IFERROR(INDEX($F$27:$F$36,MATCH(C2068,($F$27:$F$36)*($D$27:$D$36&lt;&gt;0),0)),IF(OR(AND(D2068=0,B2068=0,B2069&lt;&gt;0),AND(D2068*D2067&lt;0,B2068&lt;&gt;0)),IF(D2068=0,C2068,C2068*(1-ABS(D2068)/(ABS(D2068)+ABS(D2067)))+C2067*(1-ABS(D2067)/(ABS(D2068)+ABS(D2067)))),"")))</f>
        <v>#NAME?</v>
      </c>
    </row>
    <row r="2069" spans="2:5" x14ac:dyDescent="0.25">
      <c r="B2069" t="e">
        <f t="shared" ca="1" si="65"/>
        <v>#NAME?</v>
      </c>
      <c r="C2069">
        <v>2026</v>
      </c>
      <c r="D2069" t="e">
        <f t="shared" ca="1" si="64"/>
        <v>#NAME?</v>
      </c>
      <c r="E2069" s="115" t="e">
        <f t="array" aca="1" ref="E2069" ca="1">IF(OR(C2068=0,AND(B2070=0,C2070=0)),"",IFERROR(INDEX($F$27:$F$36,MATCH(C2069,($F$27:$F$36)*($D$27:$D$36&lt;&gt;0),0)),IF(OR(AND(D2069=0,B2069=0,B2070&lt;&gt;0),AND(D2069*D2068&lt;0,B2069&lt;&gt;0)),IF(D2069=0,C2069,C2069*(1-ABS(D2069)/(ABS(D2069)+ABS(D2068)))+C2068*(1-ABS(D2068)/(ABS(D2069)+ABS(D2068)))),"")))</f>
        <v>#NAME?</v>
      </c>
    </row>
    <row r="2070" spans="2:5" x14ac:dyDescent="0.25">
      <c r="B2070" t="e">
        <f t="shared" ca="1" si="65"/>
        <v>#NAME?</v>
      </c>
      <c r="C2070">
        <v>2027</v>
      </c>
      <c r="D2070" t="e">
        <f t="shared" ca="1" si="64"/>
        <v>#NAME?</v>
      </c>
      <c r="E2070" s="115" t="e">
        <f t="array" aca="1" ref="E2070" ca="1">IF(OR(C2069=0,AND(B2071=0,C2071=0)),"",IFERROR(INDEX($F$27:$F$36,MATCH(C2070,($F$27:$F$36)*($D$27:$D$36&lt;&gt;0),0)),IF(OR(AND(D2070=0,B2070=0,B2071&lt;&gt;0),AND(D2070*D2069&lt;0,B2070&lt;&gt;0)),IF(D2070=0,C2070,C2070*(1-ABS(D2070)/(ABS(D2070)+ABS(D2069)))+C2069*(1-ABS(D2069)/(ABS(D2070)+ABS(D2069)))),"")))</f>
        <v>#NAME?</v>
      </c>
    </row>
    <row r="2071" spans="2:5" x14ac:dyDescent="0.25">
      <c r="B2071" t="e">
        <f t="shared" ca="1" si="65"/>
        <v>#NAME?</v>
      </c>
      <c r="C2071">
        <v>2028</v>
      </c>
      <c r="D2071" t="e">
        <f t="shared" ca="1" si="64"/>
        <v>#NAME?</v>
      </c>
      <c r="E2071" s="115" t="e">
        <f t="array" aca="1" ref="E2071" ca="1">IF(OR(C2070=0,AND(B2072=0,C2072=0)),"",IFERROR(INDEX($F$27:$F$36,MATCH(C2071,($F$27:$F$36)*($D$27:$D$36&lt;&gt;0),0)),IF(OR(AND(D2071=0,B2071=0,B2072&lt;&gt;0),AND(D2071*D2070&lt;0,B2071&lt;&gt;0)),IF(D2071=0,C2071,C2071*(1-ABS(D2071)/(ABS(D2071)+ABS(D2070)))+C2070*(1-ABS(D2070)/(ABS(D2071)+ABS(D2070)))),"")))</f>
        <v>#NAME?</v>
      </c>
    </row>
    <row r="2072" spans="2:5" x14ac:dyDescent="0.25">
      <c r="B2072" t="e">
        <f t="shared" ca="1" si="65"/>
        <v>#NAME?</v>
      </c>
      <c r="C2072">
        <v>2029</v>
      </c>
      <c r="D2072" t="e">
        <f t="shared" ca="1" si="64"/>
        <v>#NAME?</v>
      </c>
      <c r="E2072" s="115" t="e">
        <f t="array" aca="1" ref="E2072" ca="1">IF(OR(C2071=0,AND(B2073=0,C2073=0)),"",IFERROR(INDEX($F$27:$F$36,MATCH(C2072,($F$27:$F$36)*($D$27:$D$36&lt;&gt;0),0)),IF(OR(AND(D2072=0,B2072=0,B2073&lt;&gt;0),AND(D2072*D2071&lt;0,B2072&lt;&gt;0)),IF(D2072=0,C2072,C2072*(1-ABS(D2072)/(ABS(D2072)+ABS(D2071)))+C2071*(1-ABS(D2071)/(ABS(D2072)+ABS(D2071)))),"")))</f>
        <v>#NAME?</v>
      </c>
    </row>
    <row r="2073" spans="2:5" x14ac:dyDescent="0.25">
      <c r="B2073" t="e">
        <f t="shared" ca="1" si="65"/>
        <v>#NAME?</v>
      </c>
      <c r="C2073">
        <v>2030</v>
      </c>
      <c r="D2073" t="e">
        <f t="shared" ca="1" si="64"/>
        <v>#NAME?</v>
      </c>
      <c r="E2073" s="115" t="e">
        <f t="array" aca="1" ref="E2073" ca="1">IF(OR(C2072=0,AND(B2074=0,C2074=0)),"",IFERROR(INDEX($F$27:$F$36,MATCH(C2073,($F$27:$F$36)*($D$27:$D$36&lt;&gt;0),0)),IF(OR(AND(D2073=0,B2073=0,B2074&lt;&gt;0),AND(D2073*D2072&lt;0,B2073&lt;&gt;0)),IF(D2073=0,C2073,C2073*(1-ABS(D2073)/(ABS(D2073)+ABS(D2072)))+C2072*(1-ABS(D2072)/(ABS(D2073)+ABS(D2072)))),"")))</f>
        <v>#NAME?</v>
      </c>
    </row>
    <row r="2074" spans="2:5" x14ac:dyDescent="0.25">
      <c r="B2074" t="e">
        <f t="shared" ca="1" si="65"/>
        <v>#NAME?</v>
      </c>
      <c r="C2074">
        <v>2031</v>
      </c>
      <c r="D2074" t="e">
        <f t="shared" ca="1" si="64"/>
        <v>#NAME?</v>
      </c>
      <c r="E2074" s="115" t="e">
        <f t="array" aca="1" ref="E2074" ca="1">IF(OR(C2073=0,AND(B2075=0,C2075=0)),"",IFERROR(INDEX($F$27:$F$36,MATCH(C2074,($F$27:$F$36)*($D$27:$D$36&lt;&gt;0),0)),IF(OR(AND(D2074=0,B2074=0,B2075&lt;&gt;0),AND(D2074*D2073&lt;0,B2074&lt;&gt;0)),IF(D2074=0,C2074,C2074*(1-ABS(D2074)/(ABS(D2074)+ABS(D2073)))+C2073*(1-ABS(D2073)/(ABS(D2074)+ABS(D2073)))),"")))</f>
        <v>#NAME?</v>
      </c>
    </row>
    <row r="2075" spans="2:5" x14ac:dyDescent="0.25">
      <c r="B2075" t="e">
        <f t="shared" ca="1" si="65"/>
        <v>#NAME?</v>
      </c>
      <c r="C2075">
        <v>2032</v>
      </c>
      <c r="D2075" t="e">
        <f t="shared" ca="1" si="64"/>
        <v>#NAME?</v>
      </c>
      <c r="E2075" s="115" t="e">
        <f t="array" aca="1" ref="E2075" ca="1">IF(OR(C2074=0,AND(B2076=0,C2076=0)),"",IFERROR(INDEX($F$27:$F$36,MATCH(C2075,($F$27:$F$36)*($D$27:$D$36&lt;&gt;0),0)),IF(OR(AND(D2075=0,B2075=0,B2076&lt;&gt;0),AND(D2075*D2074&lt;0,B2075&lt;&gt;0)),IF(D2075=0,C2075,C2075*(1-ABS(D2075)/(ABS(D2075)+ABS(D2074)))+C2074*(1-ABS(D2074)/(ABS(D2075)+ABS(D2074)))),"")))</f>
        <v>#NAME?</v>
      </c>
    </row>
    <row r="2076" spans="2:5" x14ac:dyDescent="0.25">
      <c r="B2076" t="e">
        <f t="shared" ca="1" si="65"/>
        <v>#NAME?</v>
      </c>
      <c r="C2076">
        <v>2033</v>
      </c>
      <c r="D2076" t="e">
        <f t="shared" ca="1" si="64"/>
        <v>#NAME?</v>
      </c>
      <c r="E2076" s="115" t="e">
        <f t="array" aca="1" ref="E2076" ca="1">IF(OR(C2075=0,AND(B2077=0,C2077=0)),"",IFERROR(INDEX($F$27:$F$36,MATCH(C2076,($F$27:$F$36)*($D$27:$D$36&lt;&gt;0),0)),IF(OR(AND(D2076=0,B2076=0,B2077&lt;&gt;0),AND(D2076*D2075&lt;0,B2076&lt;&gt;0)),IF(D2076=0,C2076,C2076*(1-ABS(D2076)/(ABS(D2076)+ABS(D2075)))+C2075*(1-ABS(D2075)/(ABS(D2076)+ABS(D2075)))),"")))</f>
        <v>#NAME?</v>
      </c>
    </row>
    <row r="2077" spans="2:5" x14ac:dyDescent="0.25">
      <c r="B2077" t="e">
        <f t="shared" ca="1" si="65"/>
        <v>#NAME?</v>
      </c>
      <c r="C2077">
        <v>2034</v>
      </c>
      <c r="D2077" t="e">
        <f t="shared" ca="1" si="64"/>
        <v>#NAME?</v>
      </c>
      <c r="E2077" s="115" t="e">
        <f t="array" aca="1" ref="E2077" ca="1">IF(OR(C2076=0,AND(B2078=0,C2078=0)),"",IFERROR(INDEX($F$27:$F$36,MATCH(C2077,($F$27:$F$36)*($D$27:$D$36&lt;&gt;0),0)),IF(OR(AND(D2077=0,B2077=0,B2078&lt;&gt;0),AND(D2077*D2076&lt;0,B2077&lt;&gt;0)),IF(D2077=0,C2077,C2077*(1-ABS(D2077)/(ABS(D2077)+ABS(D2076)))+C2076*(1-ABS(D2076)/(ABS(D2077)+ABS(D2076)))),"")))</f>
        <v>#NAME?</v>
      </c>
    </row>
    <row r="2078" spans="2:5" x14ac:dyDescent="0.25">
      <c r="B2078" t="e">
        <f t="shared" ca="1" si="65"/>
        <v>#NAME?</v>
      </c>
      <c r="C2078">
        <v>2035</v>
      </c>
      <c r="D2078" t="e">
        <f t="shared" ca="1" si="64"/>
        <v>#NAME?</v>
      </c>
      <c r="E2078" s="115" t="e">
        <f t="array" aca="1" ref="E2078" ca="1">IF(OR(C2077=0,AND(B2079=0,C2079=0)),"",IFERROR(INDEX($F$27:$F$36,MATCH(C2078,($F$27:$F$36)*($D$27:$D$36&lt;&gt;0),0)),IF(OR(AND(D2078=0,B2078=0,B2079&lt;&gt;0),AND(D2078*D2077&lt;0,B2078&lt;&gt;0)),IF(D2078=0,C2078,C2078*(1-ABS(D2078)/(ABS(D2078)+ABS(D2077)))+C2077*(1-ABS(D2077)/(ABS(D2078)+ABS(D2077)))),"")))</f>
        <v>#NAME?</v>
      </c>
    </row>
    <row r="2079" spans="2:5" x14ac:dyDescent="0.25">
      <c r="B2079" t="e">
        <f t="shared" ca="1" si="65"/>
        <v>#NAME?</v>
      </c>
      <c r="C2079">
        <v>2036</v>
      </c>
      <c r="D2079" t="e">
        <f t="shared" ca="1" si="64"/>
        <v>#NAME?</v>
      </c>
      <c r="E2079" s="115" t="e">
        <f t="array" aca="1" ref="E2079" ca="1">IF(OR(C2078=0,AND(B2080=0,C2080=0)),"",IFERROR(INDEX($F$27:$F$36,MATCH(C2079,($F$27:$F$36)*($D$27:$D$36&lt;&gt;0),0)),IF(OR(AND(D2079=0,B2079=0,B2080&lt;&gt;0),AND(D2079*D2078&lt;0,B2079&lt;&gt;0)),IF(D2079=0,C2079,C2079*(1-ABS(D2079)/(ABS(D2079)+ABS(D2078)))+C2078*(1-ABS(D2078)/(ABS(D2079)+ABS(D2078)))),"")))</f>
        <v>#NAME?</v>
      </c>
    </row>
    <row r="2080" spans="2:5" x14ac:dyDescent="0.25">
      <c r="B2080" t="e">
        <f t="shared" ca="1" si="65"/>
        <v>#NAME?</v>
      </c>
      <c r="C2080">
        <v>2037</v>
      </c>
      <c r="D2080" t="e">
        <f t="shared" ca="1" si="64"/>
        <v>#NAME?</v>
      </c>
      <c r="E2080" s="115" t="e">
        <f t="array" aca="1" ref="E2080" ca="1">IF(OR(C2079=0,AND(B2081=0,C2081=0)),"",IFERROR(INDEX($F$27:$F$36,MATCH(C2080,($F$27:$F$36)*($D$27:$D$36&lt;&gt;0),0)),IF(OR(AND(D2080=0,B2080=0,B2081&lt;&gt;0),AND(D2080*D2079&lt;0,B2080&lt;&gt;0)),IF(D2080=0,C2080,C2080*(1-ABS(D2080)/(ABS(D2080)+ABS(D2079)))+C2079*(1-ABS(D2079)/(ABS(D2080)+ABS(D2079)))),"")))</f>
        <v>#NAME?</v>
      </c>
    </row>
    <row r="2081" spans="2:5" x14ac:dyDescent="0.25">
      <c r="B2081" t="e">
        <f t="shared" ca="1" si="65"/>
        <v>#NAME?</v>
      </c>
      <c r="C2081">
        <v>2038</v>
      </c>
      <c r="D2081" t="e">
        <f t="shared" ca="1" si="64"/>
        <v>#NAME?</v>
      </c>
      <c r="E2081" s="115" t="e">
        <f t="array" aca="1" ref="E2081" ca="1">IF(OR(C2080=0,AND(B2082=0,C2082=0)),"",IFERROR(INDEX($F$27:$F$36,MATCH(C2081,($F$27:$F$36)*($D$27:$D$36&lt;&gt;0),0)),IF(OR(AND(D2081=0,B2081=0,B2082&lt;&gt;0),AND(D2081*D2080&lt;0,B2081&lt;&gt;0)),IF(D2081=0,C2081,C2081*(1-ABS(D2081)/(ABS(D2081)+ABS(D2080)))+C2080*(1-ABS(D2080)/(ABS(D2081)+ABS(D2080)))),"")))</f>
        <v>#NAME?</v>
      </c>
    </row>
    <row r="2082" spans="2:5" x14ac:dyDescent="0.25">
      <c r="B2082" t="e">
        <f t="shared" ca="1" si="65"/>
        <v>#NAME?</v>
      </c>
      <c r="C2082">
        <v>2039</v>
      </c>
      <c r="D2082" t="e">
        <f t="shared" ca="1" si="64"/>
        <v>#NAME?</v>
      </c>
      <c r="E2082" s="115" t="e">
        <f t="array" aca="1" ref="E2082" ca="1">IF(OR(C2081=0,AND(B2083=0,C2083=0)),"",IFERROR(INDEX($F$27:$F$36,MATCH(C2082,($F$27:$F$36)*($D$27:$D$36&lt;&gt;0),0)),IF(OR(AND(D2082=0,B2082=0,B2083&lt;&gt;0),AND(D2082*D2081&lt;0,B2082&lt;&gt;0)),IF(D2082=0,C2082,C2082*(1-ABS(D2082)/(ABS(D2082)+ABS(D2081)))+C2081*(1-ABS(D2081)/(ABS(D2082)+ABS(D2081)))),"")))</f>
        <v>#NAME?</v>
      </c>
    </row>
    <row r="2083" spans="2:5" x14ac:dyDescent="0.25">
      <c r="B2083" t="e">
        <f t="shared" ca="1" si="65"/>
        <v>#NAME?</v>
      </c>
      <c r="C2083">
        <v>2040</v>
      </c>
      <c r="D2083" t="e">
        <f t="shared" ca="1" si="64"/>
        <v>#NAME?</v>
      </c>
      <c r="E2083" s="115" t="e">
        <f t="array" aca="1" ref="E2083" ca="1">IF(OR(C2082=0,AND(B2084=0,C2084=0)),"",IFERROR(INDEX($F$27:$F$36,MATCH(C2083,($F$27:$F$36)*($D$27:$D$36&lt;&gt;0),0)),IF(OR(AND(D2083=0,B2083=0,B2084&lt;&gt;0),AND(D2083*D2082&lt;0,B2083&lt;&gt;0)),IF(D2083=0,C2083,C2083*(1-ABS(D2083)/(ABS(D2083)+ABS(D2082)))+C2082*(1-ABS(D2082)/(ABS(D2083)+ABS(D2082)))),"")))</f>
        <v>#NAME?</v>
      </c>
    </row>
    <row r="2084" spans="2:5" x14ac:dyDescent="0.25">
      <c r="B2084" t="e">
        <f t="shared" ca="1" si="65"/>
        <v>#NAME?</v>
      </c>
      <c r="C2084">
        <v>2041</v>
      </c>
      <c r="D2084" t="e">
        <f t="shared" ca="1" si="64"/>
        <v>#NAME?</v>
      </c>
      <c r="E2084" s="115" t="e">
        <f t="array" aca="1" ref="E2084" ca="1">IF(OR(C2083=0,AND(B2085=0,C2085=0)),"",IFERROR(INDEX($F$27:$F$36,MATCH(C2084,($F$27:$F$36)*($D$27:$D$36&lt;&gt;0),0)),IF(OR(AND(D2084=0,B2084=0,B2085&lt;&gt;0),AND(D2084*D2083&lt;0,B2084&lt;&gt;0)),IF(D2084=0,C2084,C2084*(1-ABS(D2084)/(ABS(D2084)+ABS(D2083)))+C2083*(1-ABS(D2083)/(ABS(D2084)+ABS(D2083)))),"")))</f>
        <v>#NAME?</v>
      </c>
    </row>
    <row r="2085" spans="2:5" x14ac:dyDescent="0.25">
      <c r="B2085" t="e">
        <f t="shared" ca="1" si="65"/>
        <v>#NAME?</v>
      </c>
      <c r="C2085">
        <v>2042</v>
      </c>
      <c r="D2085" t="e">
        <f t="shared" ca="1" si="64"/>
        <v>#NAME?</v>
      </c>
      <c r="E2085" s="115" t="e">
        <f t="array" aca="1" ref="E2085" ca="1">IF(OR(C2084=0,AND(B2086=0,C2086=0)),"",IFERROR(INDEX($F$27:$F$36,MATCH(C2085,($F$27:$F$36)*($D$27:$D$36&lt;&gt;0),0)),IF(OR(AND(D2085=0,B2085=0,B2086&lt;&gt;0),AND(D2085*D2084&lt;0,B2085&lt;&gt;0)),IF(D2085=0,C2085,C2085*(1-ABS(D2085)/(ABS(D2085)+ABS(D2084)))+C2084*(1-ABS(D2084)/(ABS(D2085)+ABS(D2084)))),"")))</f>
        <v>#NAME?</v>
      </c>
    </row>
    <row r="2086" spans="2:5" x14ac:dyDescent="0.25">
      <c r="B2086" t="e">
        <f t="shared" ca="1" si="65"/>
        <v>#NAME?</v>
      </c>
      <c r="C2086">
        <v>2043</v>
      </c>
      <c r="D2086" t="e">
        <f t="shared" ca="1" si="64"/>
        <v>#NAME?</v>
      </c>
      <c r="E2086" s="115" t="e">
        <f t="array" aca="1" ref="E2086" ca="1">IF(OR(C2085=0,AND(B2087=0,C2087=0)),"",IFERROR(INDEX($F$27:$F$36,MATCH(C2086,($F$27:$F$36)*($D$27:$D$36&lt;&gt;0),0)),IF(OR(AND(D2086=0,B2086=0,B2087&lt;&gt;0),AND(D2086*D2085&lt;0,B2086&lt;&gt;0)),IF(D2086=0,C2086,C2086*(1-ABS(D2086)/(ABS(D2086)+ABS(D2085)))+C2085*(1-ABS(D2085)/(ABS(D2086)+ABS(D2085)))),"")))</f>
        <v>#NAME?</v>
      </c>
    </row>
    <row r="2087" spans="2:5" x14ac:dyDescent="0.25">
      <c r="B2087" t="e">
        <f t="shared" ca="1" si="65"/>
        <v>#NAME?</v>
      </c>
      <c r="C2087">
        <v>2044</v>
      </c>
      <c r="D2087" t="e">
        <f t="shared" ca="1" si="64"/>
        <v>#NAME?</v>
      </c>
      <c r="E2087" s="115" t="e">
        <f t="array" aca="1" ref="E2087" ca="1">IF(OR(C2086=0,AND(B2088=0,C2088=0)),"",IFERROR(INDEX($F$27:$F$36,MATCH(C2087,($F$27:$F$36)*($D$27:$D$36&lt;&gt;0),0)),IF(OR(AND(D2087=0,B2087=0,B2088&lt;&gt;0),AND(D2087*D2086&lt;0,B2087&lt;&gt;0)),IF(D2087=0,C2087,C2087*(1-ABS(D2087)/(ABS(D2087)+ABS(D2086)))+C2086*(1-ABS(D2086)/(ABS(D2087)+ABS(D2086)))),"")))</f>
        <v>#NAME?</v>
      </c>
    </row>
    <row r="2088" spans="2:5" x14ac:dyDescent="0.25">
      <c r="B2088" t="e">
        <f t="shared" ca="1" si="65"/>
        <v>#NAME?</v>
      </c>
      <c r="C2088">
        <v>2045</v>
      </c>
      <c r="D2088" t="e">
        <f t="shared" ca="1" si="64"/>
        <v>#NAME?</v>
      </c>
      <c r="E2088" s="115" t="e">
        <f t="array" aca="1" ref="E2088" ca="1">IF(OR(C2087=0,AND(B2089=0,C2089=0)),"",IFERROR(INDEX($F$27:$F$36,MATCH(C2088,($F$27:$F$36)*($D$27:$D$36&lt;&gt;0),0)),IF(OR(AND(D2088=0,B2088=0,B2089&lt;&gt;0),AND(D2088*D2087&lt;0,B2088&lt;&gt;0)),IF(D2088=0,C2088,C2088*(1-ABS(D2088)/(ABS(D2088)+ABS(D2087)))+C2087*(1-ABS(D2087)/(ABS(D2088)+ABS(D2087)))),"")))</f>
        <v>#NAME?</v>
      </c>
    </row>
    <row r="2089" spans="2:5" x14ac:dyDescent="0.25">
      <c r="B2089" t="e">
        <f t="shared" ca="1" si="65"/>
        <v>#NAME?</v>
      </c>
      <c r="C2089">
        <v>2046</v>
      </c>
      <c r="D2089" t="e">
        <f t="shared" ca="1" si="64"/>
        <v>#NAME?</v>
      </c>
      <c r="E2089" s="115" t="e">
        <f t="array" aca="1" ref="E2089" ca="1">IF(OR(C2088=0,AND(B2090=0,C2090=0)),"",IFERROR(INDEX($F$27:$F$36,MATCH(C2089,($F$27:$F$36)*($D$27:$D$36&lt;&gt;0),0)),IF(OR(AND(D2089=0,B2089=0,B2090&lt;&gt;0),AND(D2089*D2088&lt;0,B2089&lt;&gt;0)),IF(D2089=0,C2089,C2089*(1-ABS(D2089)/(ABS(D2089)+ABS(D2088)))+C2088*(1-ABS(D2088)/(ABS(D2089)+ABS(D2088)))),"")))</f>
        <v>#NAME?</v>
      </c>
    </row>
    <row r="2090" spans="2:5" x14ac:dyDescent="0.25">
      <c r="B2090" t="e">
        <f t="shared" ca="1" si="65"/>
        <v>#NAME?</v>
      </c>
      <c r="C2090">
        <v>2047</v>
      </c>
      <c r="D2090" t="e">
        <f t="shared" ca="1" si="64"/>
        <v>#NAME?</v>
      </c>
      <c r="E2090" s="115" t="e">
        <f t="array" aca="1" ref="E2090" ca="1">IF(OR(C2089=0,AND(B2091=0,C2091=0)),"",IFERROR(INDEX($F$27:$F$36,MATCH(C2090,($F$27:$F$36)*($D$27:$D$36&lt;&gt;0),0)),IF(OR(AND(D2090=0,B2090=0,B2091&lt;&gt;0),AND(D2090*D2089&lt;0,B2090&lt;&gt;0)),IF(D2090=0,C2090,C2090*(1-ABS(D2090)/(ABS(D2090)+ABS(D2089)))+C2089*(1-ABS(D2089)/(ABS(D2090)+ABS(D2089)))),"")))</f>
        <v>#NAME?</v>
      </c>
    </row>
    <row r="2091" spans="2:5" x14ac:dyDescent="0.25">
      <c r="B2091" t="e">
        <f t="shared" ca="1" si="65"/>
        <v>#NAME?</v>
      </c>
      <c r="C2091">
        <v>2048</v>
      </c>
      <c r="D2091" t="e">
        <f t="shared" ref="D2091:D2154" ca="1" si="66">SUMPRODUCT(--($J$27:$J$37&gt;0),--($C2091-$F$27:$F$37&gt;0),($D$27:$D$37),($C2091-$F$27:$F$37))+SUMPRODUCT(--($J$27:$J$37&lt;0),--($F$27:$F$37-$C2091&gt;0),($D$27:$D$37),($F$27:$F$37-$C2091))-SUMPRODUCT($D$27:$D$37,$E$27:$E$37)</f>
        <v>#NAME?</v>
      </c>
      <c r="E2091" s="115" t="e">
        <f t="array" aca="1" ref="E2091" ca="1">IF(OR(C2090=0,AND(B2092=0,C2092=0)),"",IFERROR(INDEX($F$27:$F$36,MATCH(C2091,($F$27:$F$36)*($D$27:$D$36&lt;&gt;0),0)),IF(OR(AND(D2091=0,B2091=0,B2092&lt;&gt;0),AND(D2091*D2090&lt;0,B2091&lt;&gt;0)),IF(D2091=0,C2091,C2091*(1-ABS(D2091)/(ABS(D2091)+ABS(D2090)))+C2090*(1-ABS(D2090)/(ABS(D2091)+ABS(D2090)))),"")))</f>
        <v>#NAME?</v>
      </c>
    </row>
    <row r="2092" spans="2:5" x14ac:dyDescent="0.25">
      <c r="B2092" t="e">
        <f t="shared" ref="B2092:B2155" ca="1" si="67">ROUND((D2092-D2091)/(C2092-C2091),12)</f>
        <v>#NAME?</v>
      </c>
      <c r="C2092">
        <v>2049</v>
      </c>
      <c r="D2092" t="e">
        <f t="shared" ca="1" si="66"/>
        <v>#NAME?</v>
      </c>
      <c r="E2092" s="115" t="e">
        <f t="array" aca="1" ref="E2092" ca="1">IF(OR(C2091=0,AND(B2093=0,C2093=0)),"",IFERROR(INDEX($F$27:$F$36,MATCH(C2092,($F$27:$F$36)*($D$27:$D$36&lt;&gt;0),0)),IF(OR(AND(D2092=0,B2092=0,B2093&lt;&gt;0),AND(D2092*D2091&lt;0,B2092&lt;&gt;0)),IF(D2092=0,C2092,C2092*(1-ABS(D2092)/(ABS(D2092)+ABS(D2091)))+C2091*(1-ABS(D2091)/(ABS(D2092)+ABS(D2091)))),"")))</f>
        <v>#NAME?</v>
      </c>
    </row>
    <row r="2093" spans="2:5" x14ac:dyDescent="0.25">
      <c r="B2093" t="e">
        <f t="shared" ca="1" si="67"/>
        <v>#NAME?</v>
      </c>
      <c r="C2093">
        <v>2050</v>
      </c>
      <c r="D2093" t="e">
        <f t="shared" ca="1" si="66"/>
        <v>#NAME?</v>
      </c>
      <c r="E2093" s="115" t="e">
        <f t="array" aca="1" ref="E2093" ca="1">IF(OR(C2092=0,AND(B2094=0,C2094=0)),"",IFERROR(INDEX($F$27:$F$36,MATCH(C2093,($F$27:$F$36)*($D$27:$D$36&lt;&gt;0),0)),IF(OR(AND(D2093=0,B2093=0,B2094&lt;&gt;0),AND(D2093*D2092&lt;0,B2093&lt;&gt;0)),IF(D2093=0,C2093,C2093*(1-ABS(D2093)/(ABS(D2093)+ABS(D2092)))+C2092*(1-ABS(D2092)/(ABS(D2093)+ABS(D2092)))),"")))</f>
        <v>#NAME?</v>
      </c>
    </row>
    <row r="2094" spans="2:5" x14ac:dyDescent="0.25">
      <c r="B2094" t="e">
        <f t="shared" ca="1" si="67"/>
        <v>#NAME?</v>
      </c>
      <c r="C2094">
        <v>2051</v>
      </c>
      <c r="D2094" t="e">
        <f t="shared" ca="1" si="66"/>
        <v>#NAME?</v>
      </c>
      <c r="E2094" s="115" t="e">
        <f t="array" aca="1" ref="E2094" ca="1">IF(OR(C2093=0,AND(B2095=0,C2095=0)),"",IFERROR(INDEX($F$27:$F$36,MATCH(C2094,($F$27:$F$36)*($D$27:$D$36&lt;&gt;0),0)),IF(OR(AND(D2094=0,B2094=0,B2095&lt;&gt;0),AND(D2094*D2093&lt;0,B2094&lt;&gt;0)),IF(D2094=0,C2094,C2094*(1-ABS(D2094)/(ABS(D2094)+ABS(D2093)))+C2093*(1-ABS(D2093)/(ABS(D2094)+ABS(D2093)))),"")))</f>
        <v>#NAME?</v>
      </c>
    </row>
    <row r="2095" spans="2:5" x14ac:dyDescent="0.25">
      <c r="B2095" t="e">
        <f t="shared" ca="1" si="67"/>
        <v>#NAME?</v>
      </c>
      <c r="C2095">
        <v>2052</v>
      </c>
      <c r="D2095" t="e">
        <f t="shared" ca="1" si="66"/>
        <v>#NAME?</v>
      </c>
      <c r="E2095" s="115" t="e">
        <f t="array" aca="1" ref="E2095" ca="1">IF(OR(C2094=0,AND(B2096=0,C2096=0)),"",IFERROR(INDEX($F$27:$F$36,MATCH(C2095,($F$27:$F$36)*($D$27:$D$36&lt;&gt;0),0)),IF(OR(AND(D2095=0,B2095=0,B2096&lt;&gt;0),AND(D2095*D2094&lt;0,B2095&lt;&gt;0)),IF(D2095=0,C2095,C2095*(1-ABS(D2095)/(ABS(D2095)+ABS(D2094)))+C2094*(1-ABS(D2094)/(ABS(D2095)+ABS(D2094)))),"")))</f>
        <v>#NAME?</v>
      </c>
    </row>
    <row r="2096" spans="2:5" x14ac:dyDescent="0.25">
      <c r="B2096" t="e">
        <f t="shared" ca="1" si="67"/>
        <v>#NAME?</v>
      </c>
      <c r="C2096">
        <v>2053</v>
      </c>
      <c r="D2096" t="e">
        <f t="shared" ca="1" si="66"/>
        <v>#NAME?</v>
      </c>
      <c r="E2096" s="115" t="e">
        <f t="array" aca="1" ref="E2096" ca="1">IF(OR(C2095=0,AND(B2097=0,C2097=0)),"",IFERROR(INDEX($F$27:$F$36,MATCH(C2096,($F$27:$F$36)*($D$27:$D$36&lt;&gt;0),0)),IF(OR(AND(D2096=0,B2096=0,B2097&lt;&gt;0),AND(D2096*D2095&lt;0,B2096&lt;&gt;0)),IF(D2096=0,C2096,C2096*(1-ABS(D2096)/(ABS(D2096)+ABS(D2095)))+C2095*(1-ABS(D2095)/(ABS(D2096)+ABS(D2095)))),"")))</f>
        <v>#NAME?</v>
      </c>
    </row>
    <row r="2097" spans="2:5" x14ac:dyDescent="0.25">
      <c r="B2097" t="e">
        <f t="shared" ca="1" si="67"/>
        <v>#NAME?</v>
      </c>
      <c r="C2097">
        <v>2054</v>
      </c>
      <c r="D2097" t="e">
        <f t="shared" ca="1" si="66"/>
        <v>#NAME?</v>
      </c>
      <c r="E2097" s="115" t="e">
        <f t="array" aca="1" ref="E2097" ca="1">IF(OR(C2096=0,AND(B2098=0,C2098=0)),"",IFERROR(INDEX($F$27:$F$36,MATCH(C2097,($F$27:$F$36)*($D$27:$D$36&lt;&gt;0),0)),IF(OR(AND(D2097=0,B2097=0,B2098&lt;&gt;0),AND(D2097*D2096&lt;0,B2097&lt;&gt;0)),IF(D2097=0,C2097,C2097*(1-ABS(D2097)/(ABS(D2097)+ABS(D2096)))+C2096*(1-ABS(D2096)/(ABS(D2097)+ABS(D2096)))),"")))</f>
        <v>#NAME?</v>
      </c>
    </row>
    <row r="2098" spans="2:5" x14ac:dyDescent="0.25">
      <c r="B2098" t="e">
        <f t="shared" ca="1" si="67"/>
        <v>#NAME?</v>
      </c>
      <c r="C2098">
        <v>2055</v>
      </c>
      <c r="D2098" t="e">
        <f t="shared" ca="1" si="66"/>
        <v>#NAME?</v>
      </c>
      <c r="E2098" s="115" t="e">
        <f t="array" aca="1" ref="E2098" ca="1">IF(OR(C2097=0,AND(B2099=0,C2099=0)),"",IFERROR(INDEX($F$27:$F$36,MATCH(C2098,($F$27:$F$36)*($D$27:$D$36&lt;&gt;0),0)),IF(OR(AND(D2098=0,B2098=0,B2099&lt;&gt;0),AND(D2098*D2097&lt;0,B2098&lt;&gt;0)),IF(D2098=0,C2098,C2098*(1-ABS(D2098)/(ABS(D2098)+ABS(D2097)))+C2097*(1-ABS(D2097)/(ABS(D2098)+ABS(D2097)))),"")))</f>
        <v>#NAME?</v>
      </c>
    </row>
    <row r="2099" spans="2:5" x14ac:dyDescent="0.25">
      <c r="B2099" t="e">
        <f t="shared" ca="1" si="67"/>
        <v>#NAME?</v>
      </c>
      <c r="C2099">
        <v>2056</v>
      </c>
      <c r="D2099" t="e">
        <f t="shared" ca="1" si="66"/>
        <v>#NAME?</v>
      </c>
      <c r="E2099" s="115" t="e">
        <f t="array" aca="1" ref="E2099" ca="1">IF(OR(C2098=0,AND(B2100=0,C2100=0)),"",IFERROR(INDEX($F$27:$F$36,MATCH(C2099,($F$27:$F$36)*($D$27:$D$36&lt;&gt;0),0)),IF(OR(AND(D2099=0,B2099=0,B2100&lt;&gt;0),AND(D2099*D2098&lt;0,B2099&lt;&gt;0)),IF(D2099=0,C2099,C2099*(1-ABS(D2099)/(ABS(D2099)+ABS(D2098)))+C2098*(1-ABS(D2098)/(ABS(D2099)+ABS(D2098)))),"")))</f>
        <v>#NAME?</v>
      </c>
    </row>
    <row r="2100" spans="2:5" x14ac:dyDescent="0.25">
      <c r="B2100" t="e">
        <f t="shared" ca="1" si="67"/>
        <v>#NAME?</v>
      </c>
      <c r="C2100">
        <v>2057</v>
      </c>
      <c r="D2100" t="e">
        <f t="shared" ca="1" si="66"/>
        <v>#NAME?</v>
      </c>
      <c r="E2100" s="115" t="e">
        <f t="array" aca="1" ref="E2100" ca="1">IF(OR(C2099=0,AND(B2101=0,C2101=0)),"",IFERROR(INDEX($F$27:$F$36,MATCH(C2100,($F$27:$F$36)*($D$27:$D$36&lt;&gt;0),0)),IF(OR(AND(D2100=0,B2100=0,B2101&lt;&gt;0),AND(D2100*D2099&lt;0,B2100&lt;&gt;0)),IF(D2100=0,C2100,C2100*(1-ABS(D2100)/(ABS(D2100)+ABS(D2099)))+C2099*(1-ABS(D2099)/(ABS(D2100)+ABS(D2099)))),"")))</f>
        <v>#NAME?</v>
      </c>
    </row>
    <row r="2101" spans="2:5" x14ac:dyDescent="0.25">
      <c r="B2101" t="e">
        <f t="shared" ca="1" si="67"/>
        <v>#NAME?</v>
      </c>
      <c r="C2101">
        <v>2058</v>
      </c>
      <c r="D2101" t="e">
        <f t="shared" ca="1" si="66"/>
        <v>#NAME?</v>
      </c>
      <c r="E2101" s="115" t="e">
        <f t="array" aca="1" ref="E2101" ca="1">IF(OR(C2100=0,AND(B2102=0,C2102=0)),"",IFERROR(INDEX($F$27:$F$36,MATCH(C2101,($F$27:$F$36)*($D$27:$D$36&lt;&gt;0),0)),IF(OR(AND(D2101=0,B2101=0,B2102&lt;&gt;0),AND(D2101*D2100&lt;0,B2101&lt;&gt;0)),IF(D2101=0,C2101,C2101*(1-ABS(D2101)/(ABS(D2101)+ABS(D2100)))+C2100*(1-ABS(D2100)/(ABS(D2101)+ABS(D2100)))),"")))</f>
        <v>#NAME?</v>
      </c>
    </row>
    <row r="2102" spans="2:5" x14ac:dyDescent="0.25">
      <c r="B2102" t="e">
        <f t="shared" ca="1" si="67"/>
        <v>#NAME?</v>
      </c>
      <c r="C2102">
        <v>2059</v>
      </c>
      <c r="D2102" t="e">
        <f t="shared" ca="1" si="66"/>
        <v>#NAME?</v>
      </c>
      <c r="E2102" s="115" t="e">
        <f t="array" aca="1" ref="E2102" ca="1">IF(OR(C2101=0,AND(B2103=0,C2103=0)),"",IFERROR(INDEX($F$27:$F$36,MATCH(C2102,($F$27:$F$36)*($D$27:$D$36&lt;&gt;0),0)),IF(OR(AND(D2102=0,B2102=0,B2103&lt;&gt;0),AND(D2102*D2101&lt;0,B2102&lt;&gt;0)),IF(D2102=0,C2102,C2102*(1-ABS(D2102)/(ABS(D2102)+ABS(D2101)))+C2101*(1-ABS(D2101)/(ABS(D2102)+ABS(D2101)))),"")))</f>
        <v>#NAME?</v>
      </c>
    </row>
    <row r="2103" spans="2:5" x14ac:dyDescent="0.25">
      <c r="B2103" t="e">
        <f t="shared" ca="1" si="67"/>
        <v>#NAME?</v>
      </c>
      <c r="C2103">
        <v>2060</v>
      </c>
      <c r="D2103" t="e">
        <f t="shared" ca="1" si="66"/>
        <v>#NAME?</v>
      </c>
      <c r="E2103" s="115" t="e">
        <f t="array" aca="1" ref="E2103" ca="1">IF(OR(C2102=0,AND(B2104=0,C2104=0)),"",IFERROR(INDEX($F$27:$F$36,MATCH(C2103,($F$27:$F$36)*($D$27:$D$36&lt;&gt;0),0)),IF(OR(AND(D2103=0,B2103=0,B2104&lt;&gt;0),AND(D2103*D2102&lt;0,B2103&lt;&gt;0)),IF(D2103=0,C2103,C2103*(1-ABS(D2103)/(ABS(D2103)+ABS(D2102)))+C2102*(1-ABS(D2102)/(ABS(D2103)+ABS(D2102)))),"")))</f>
        <v>#NAME?</v>
      </c>
    </row>
    <row r="2104" spans="2:5" x14ac:dyDescent="0.25">
      <c r="B2104" t="e">
        <f t="shared" ca="1" si="67"/>
        <v>#NAME?</v>
      </c>
      <c r="C2104">
        <v>2061</v>
      </c>
      <c r="D2104" t="e">
        <f t="shared" ca="1" si="66"/>
        <v>#NAME?</v>
      </c>
      <c r="E2104" s="115" t="e">
        <f t="array" aca="1" ref="E2104" ca="1">IF(OR(C2103=0,AND(B2105=0,C2105=0)),"",IFERROR(INDEX($F$27:$F$36,MATCH(C2104,($F$27:$F$36)*($D$27:$D$36&lt;&gt;0),0)),IF(OR(AND(D2104=0,B2104=0,B2105&lt;&gt;0),AND(D2104*D2103&lt;0,B2104&lt;&gt;0)),IF(D2104=0,C2104,C2104*(1-ABS(D2104)/(ABS(D2104)+ABS(D2103)))+C2103*(1-ABS(D2103)/(ABS(D2104)+ABS(D2103)))),"")))</f>
        <v>#NAME?</v>
      </c>
    </row>
    <row r="2105" spans="2:5" x14ac:dyDescent="0.25">
      <c r="B2105" t="e">
        <f t="shared" ca="1" si="67"/>
        <v>#NAME?</v>
      </c>
      <c r="C2105">
        <v>2062</v>
      </c>
      <c r="D2105" t="e">
        <f t="shared" ca="1" si="66"/>
        <v>#NAME?</v>
      </c>
      <c r="E2105" s="115" t="e">
        <f t="array" aca="1" ref="E2105" ca="1">IF(OR(C2104=0,AND(B2106=0,C2106=0)),"",IFERROR(INDEX($F$27:$F$36,MATCH(C2105,($F$27:$F$36)*($D$27:$D$36&lt;&gt;0),0)),IF(OR(AND(D2105=0,B2105=0,B2106&lt;&gt;0),AND(D2105*D2104&lt;0,B2105&lt;&gt;0)),IF(D2105=0,C2105,C2105*(1-ABS(D2105)/(ABS(D2105)+ABS(D2104)))+C2104*(1-ABS(D2104)/(ABS(D2105)+ABS(D2104)))),"")))</f>
        <v>#NAME?</v>
      </c>
    </row>
    <row r="2106" spans="2:5" x14ac:dyDescent="0.25">
      <c r="B2106" t="e">
        <f t="shared" ca="1" si="67"/>
        <v>#NAME?</v>
      </c>
      <c r="C2106">
        <v>2063</v>
      </c>
      <c r="D2106" t="e">
        <f t="shared" ca="1" si="66"/>
        <v>#NAME?</v>
      </c>
      <c r="E2106" s="115" t="e">
        <f t="array" aca="1" ref="E2106" ca="1">IF(OR(C2105=0,AND(B2107=0,C2107=0)),"",IFERROR(INDEX($F$27:$F$36,MATCH(C2106,($F$27:$F$36)*($D$27:$D$36&lt;&gt;0),0)),IF(OR(AND(D2106=0,B2106=0,B2107&lt;&gt;0),AND(D2106*D2105&lt;0,B2106&lt;&gt;0)),IF(D2106=0,C2106,C2106*(1-ABS(D2106)/(ABS(D2106)+ABS(D2105)))+C2105*(1-ABS(D2105)/(ABS(D2106)+ABS(D2105)))),"")))</f>
        <v>#NAME?</v>
      </c>
    </row>
    <row r="2107" spans="2:5" x14ac:dyDescent="0.25">
      <c r="B2107" t="e">
        <f t="shared" ca="1" si="67"/>
        <v>#NAME?</v>
      </c>
      <c r="C2107">
        <v>2064</v>
      </c>
      <c r="D2107" t="e">
        <f t="shared" ca="1" si="66"/>
        <v>#NAME?</v>
      </c>
      <c r="E2107" s="115" t="e">
        <f t="array" aca="1" ref="E2107" ca="1">IF(OR(C2106=0,AND(B2108=0,C2108=0)),"",IFERROR(INDEX($F$27:$F$36,MATCH(C2107,($F$27:$F$36)*($D$27:$D$36&lt;&gt;0),0)),IF(OR(AND(D2107=0,B2107=0,B2108&lt;&gt;0),AND(D2107*D2106&lt;0,B2107&lt;&gt;0)),IF(D2107=0,C2107,C2107*(1-ABS(D2107)/(ABS(D2107)+ABS(D2106)))+C2106*(1-ABS(D2106)/(ABS(D2107)+ABS(D2106)))),"")))</f>
        <v>#NAME?</v>
      </c>
    </row>
    <row r="2108" spans="2:5" x14ac:dyDescent="0.25">
      <c r="B2108" t="e">
        <f t="shared" ca="1" si="67"/>
        <v>#NAME?</v>
      </c>
      <c r="C2108">
        <v>2065</v>
      </c>
      <c r="D2108" t="e">
        <f t="shared" ca="1" si="66"/>
        <v>#NAME?</v>
      </c>
      <c r="E2108" s="115" t="e">
        <f t="array" aca="1" ref="E2108" ca="1">IF(OR(C2107=0,AND(B2109=0,C2109=0)),"",IFERROR(INDEX($F$27:$F$36,MATCH(C2108,($F$27:$F$36)*($D$27:$D$36&lt;&gt;0),0)),IF(OR(AND(D2108=0,B2108=0,B2109&lt;&gt;0),AND(D2108*D2107&lt;0,B2108&lt;&gt;0)),IF(D2108=0,C2108,C2108*(1-ABS(D2108)/(ABS(D2108)+ABS(D2107)))+C2107*(1-ABS(D2107)/(ABS(D2108)+ABS(D2107)))),"")))</f>
        <v>#NAME?</v>
      </c>
    </row>
    <row r="2109" spans="2:5" x14ac:dyDescent="0.25">
      <c r="B2109" t="e">
        <f t="shared" ca="1" si="67"/>
        <v>#NAME?</v>
      </c>
      <c r="C2109">
        <v>2066</v>
      </c>
      <c r="D2109" t="e">
        <f t="shared" ca="1" si="66"/>
        <v>#NAME?</v>
      </c>
      <c r="E2109" s="115" t="e">
        <f t="array" aca="1" ref="E2109" ca="1">IF(OR(C2108=0,AND(B2110=0,C2110=0)),"",IFERROR(INDEX($F$27:$F$36,MATCH(C2109,($F$27:$F$36)*($D$27:$D$36&lt;&gt;0),0)),IF(OR(AND(D2109=0,B2109=0,B2110&lt;&gt;0),AND(D2109*D2108&lt;0,B2109&lt;&gt;0)),IF(D2109=0,C2109,C2109*(1-ABS(D2109)/(ABS(D2109)+ABS(D2108)))+C2108*(1-ABS(D2108)/(ABS(D2109)+ABS(D2108)))),"")))</f>
        <v>#NAME?</v>
      </c>
    </row>
    <row r="2110" spans="2:5" x14ac:dyDescent="0.25">
      <c r="B2110" t="e">
        <f t="shared" ca="1" si="67"/>
        <v>#NAME?</v>
      </c>
      <c r="C2110">
        <v>2067</v>
      </c>
      <c r="D2110" t="e">
        <f t="shared" ca="1" si="66"/>
        <v>#NAME?</v>
      </c>
      <c r="E2110" s="115" t="e">
        <f t="array" aca="1" ref="E2110" ca="1">IF(OR(C2109=0,AND(B2111=0,C2111=0)),"",IFERROR(INDEX($F$27:$F$36,MATCH(C2110,($F$27:$F$36)*($D$27:$D$36&lt;&gt;0),0)),IF(OR(AND(D2110=0,B2110=0,B2111&lt;&gt;0),AND(D2110*D2109&lt;0,B2110&lt;&gt;0)),IF(D2110=0,C2110,C2110*(1-ABS(D2110)/(ABS(D2110)+ABS(D2109)))+C2109*(1-ABS(D2109)/(ABS(D2110)+ABS(D2109)))),"")))</f>
        <v>#NAME?</v>
      </c>
    </row>
    <row r="2111" spans="2:5" x14ac:dyDescent="0.25">
      <c r="B2111" t="e">
        <f t="shared" ca="1" si="67"/>
        <v>#NAME?</v>
      </c>
      <c r="C2111">
        <v>2068</v>
      </c>
      <c r="D2111" t="e">
        <f t="shared" ca="1" si="66"/>
        <v>#NAME?</v>
      </c>
      <c r="E2111" s="115" t="e">
        <f t="array" aca="1" ref="E2111" ca="1">IF(OR(C2110=0,AND(B2112=0,C2112=0)),"",IFERROR(INDEX($F$27:$F$36,MATCH(C2111,($F$27:$F$36)*($D$27:$D$36&lt;&gt;0),0)),IF(OR(AND(D2111=0,B2111=0,B2112&lt;&gt;0),AND(D2111*D2110&lt;0,B2111&lt;&gt;0)),IF(D2111=0,C2111,C2111*(1-ABS(D2111)/(ABS(D2111)+ABS(D2110)))+C2110*(1-ABS(D2110)/(ABS(D2111)+ABS(D2110)))),"")))</f>
        <v>#NAME?</v>
      </c>
    </row>
    <row r="2112" spans="2:5" x14ac:dyDescent="0.25">
      <c r="B2112" t="e">
        <f t="shared" ca="1" si="67"/>
        <v>#NAME?</v>
      </c>
      <c r="C2112">
        <v>2069</v>
      </c>
      <c r="D2112" t="e">
        <f t="shared" ca="1" si="66"/>
        <v>#NAME?</v>
      </c>
      <c r="E2112" s="115" t="e">
        <f t="array" aca="1" ref="E2112" ca="1">IF(OR(C2111=0,AND(B2113=0,C2113=0)),"",IFERROR(INDEX($F$27:$F$36,MATCH(C2112,($F$27:$F$36)*($D$27:$D$36&lt;&gt;0),0)),IF(OR(AND(D2112=0,B2112=0,B2113&lt;&gt;0),AND(D2112*D2111&lt;0,B2112&lt;&gt;0)),IF(D2112=0,C2112,C2112*(1-ABS(D2112)/(ABS(D2112)+ABS(D2111)))+C2111*(1-ABS(D2111)/(ABS(D2112)+ABS(D2111)))),"")))</f>
        <v>#NAME?</v>
      </c>
    </row>
    <row r="2113" spans="2:5" x14ac:dyDescent="0.25">
      <c r="B2113" t="e">
        <f t="shared" ca="1" si="67"/>
        <v>#NAME?</v>
      </c>
      <c r="C2113">
        <v>2070</v>
      </c>
      <c r="D2113" t="e">
        <f t="shared" ca="1" si="66"/>
        <v>#NAME?</v>
      </c>
      <c r="E2113" s="115" t="e">
        <f t="array" aca="1" ref="E2113" ca="1">IF(OR(C2112=0,AND(B2114=0,C2114=0)),"",IFERROR(INDEX($F$27:$F$36,MATCH(C2113,($F$27:$F$36)*($D$27:$D$36&lt;&gt;0),0)),IF(OR(AND(D2113=0,B2113=0,B2114&lt;&gt;0),AND(D2113*D2112&lt;0,B2113&lt;&gt;0)),IF(D2113=0,C2113,C2113*(1-ABS(D2113)/(ABS(D2113)+ABS(D2112)))+C2112*(1-ABS(D2112)/(ABS(D2113)+ABS(D2112)))),"")))</f>
        <v>#NAME?</v>
      </c>
    </row>
    <row r="2114" spans="2:5" x14ac:dyDescent="0.25">
      <c r="B2114" t="e">
        <f t="shared" ca="1" si="67"/>
        <v>#NAME?</v>
      </c>
      <c r="C2114">
        <v>2071</v>
      </c>
      <c r="D2114" t="e">
        <f t="shared" ca="1" si="66"/>
        <v>#NAME?</v>
      </c>
      <c r="E2114" s="115" t="e">
        <f t="array" aca="1" ref="E2114" ca="1">IF(OR(C2113=0,AND(B2115=0,C2115=0)),"",IFERROR(INDEX($F$27:$F$36,MATCH(C2114,($F$27:$F$36)*($D$27:$D$36&lt;&gt;0),0)),IF(OR(AND(D2114=0,B2114=0,B2115&lt;&gt;0),AND(D2114*D2113&lt;0,B2114&lt;&gt;0)),IF(D2114=0,C2114,C2114*(1-ABS(D2114)/(ABS(D2114)+ABS(D2113)))+C2113*(1-ABS(D2113)/(ABS(D2114)+ABS(D2113)))),"")))</f>
        <v>#NAME?</v>
      </c>
    </row>
    <row r="2115" spans="2:5" x14ac:dyDescent="0.25">
      <c r="B2115" t="e">
        <f t="shared" ca="1" si="67"/>
        <v>#NAME?</v>
      </c>
      <c r="C2115">
        <v>2072</v>
      </c>
      <c r="D2115" t="e">
        <f t="shared" ca="1" si="66"/>
        <v>#NAME?</v>
      </c>
      <c r="E2115" s="115" t="e">
        <f t="array" aca="1" ref="E2115" ca="1">IF(OR(C2114=0,AND(B2116=0,C2116=0)),"",IFERROR(INDEX($F$27:$F$36,MATCH(C2115,($F$27:$F$36)*($D$27:$D$36&lt;&gt;0),0)),IF(OR(AND(D2115=0,B2115=0,B2116&lt;&gt;0),AND(D2115*D2114&lt;0,B2115&lt;&gt;0)),IF(D2115=0,C2115,C2115*(1-ABS(D2115)/(ABS(D2115)+ABS(D2114)))+C2114*(1-ABS(D2114)/(ABS(D2115)+ABS(D2114)))),"")))</f>
        <v>#NAME?</v>
      </c>
    </row>
    <row r="2116" spans="2:5" x14ac:dyDescent="0.25">
      <c r="B2116" t="e">
        <f t="shared" ca="1" si="67"/>
        <v>#NAME?</v>
      </c>
      <c r="C2116">
        <v>2073</v>
      </c>
      <c r="D2116" t="e">
        <f t="shared" ca="1" si="66"/>
        <v>#NAME?</v>
      </c>
      <c r="E2116" s="115" t="e">
        <f t="array" aca="1" ref="E2116" ca="1">IF(OR(C2115=0,AND(B2117=0,C2117=0)),"",IFERROR(INDEX($F$27:$F$36,MATCH(C2116,($F$27:$F$36)*($D$27:$D$36&lt;&gt;0),0)),IF(OR(AND(D2116=0,B2116=0,B2117&lt;&gt;0),AND(D2116*D2115&lt;0,B2116&lt;&gt;0)),IF(D2116=0,C2116,C2116*(1-ABS(D2116)/(ABS(D2116)+ABS(D2115)))+C2115*(1-ABS(D2115)/(ABS(D2116)+ABS(D2115)))),"")))</f>
        <v>#NAME?</v>
      </c>
    </row>
    <row r="2117" spans="2:5" x14ac:dyDescent="0.25">
      <c r="B2117" t="e">
        <f t="shared" ca="1" si="67"/>
        <v>#NAME?</v>
      </c>
      <c r="C2117">
        <v>2074</v>
      </c>
      <c r="D2117" t="e">
        <f t="shared" ca="1" si="66"/>
        <v>#NAME?</v>
      </c>
      <c r="E2117" s="115" t="e">
        <f t="array" aca="1" ref="E2117" ca="1">IF(OR(C2116=0,AND(B2118=0,C2118=0)),"",IFERROR(INDEX($F$27:$F$36,MATCH(C2117,($F$27:$F$36)*($D$27:$D$36&lt;&gt;0),0)),IF(OR(AND(D2117=0,B2117=0,B2118&lt;&gt;0),AND(D2117*D2116&lt;0,B2117&lt;&gt;0)),IF(D2117=0,C2117,C2117*(1-ABS(D2117)/(ABS(D2117)+ABS(D2116)))+C2116*(1-ABS(D2116)/(ABS(D2117)+ABS(D2116)))),"")))</f>
        <v>#NAME?</v>
      </c>
    </row>
    <row r="2118" spans="2:5" x14ac:dyDescent="0.25">
      <c r="B2118" t="e">
        <f t="shared" ca="1" si="67"/>
        <v>#NAME?</v>
      </c>
      <c r="C2118">
        <v>2075</v>
      </c>
      <c r="D2118" t="e">
        <f t="shared" ca="1" si="66"/>
        <v>#NAME?</v>
      </c>
      <c r="E2118" s="115" t="e">
        <f t="array" aca="1" ref="E2118" ca="1">IF(OR(C2117=0,AND(B2119=0,C2119=0)),"",IFERROR(INDEX($F$27:$F$36,MATCH(C2118,($F$27:$F$36)*($D$27:$D$36&lt;&gt;0),0)),IF(OR(AND(D2118=0,B2118=0,B2119&lt;&gt;0),AND(D2118*D2117&lt;0,B2118&lt;&gt;0)),IF(D2118=0,C2118,C2118*(1-ABS(D2118)/(ABS(D2118)+ABS(D2117)))+C2117*(1-ABS(D2117)/(ABS(D2118)+ABS(D2117)))),"")))</f>
        <v>#NAME?</v>
      </c>
    </row>
    <row r="2119" spans="2:5" x14ac:dyDescent="0.25">
      <c r="B2119" t="e">
        <f t="shared" ca="1" si="67"/>
        <v>#NAME?</v>
      </c>
      <c r="C2119">
        <v>2076</v>
      </c>
      <c r="D2119" t="e">
        <f t="shared" ca="1" si="66"/>
        <v>#NAME?</v>
      </c>
      <c r="E2119" s="115" t="e">
        <f t="array" aca="1" ref="E2119" ca="1">IF(OR(C2118=0,AND(B2120=0,C2120=0)),"",IFERROR(INDEX($F$27:$F$36,MATCH(C2119,($F$27:$F$36)*($D$27:$D$36&lt;&gt;0),0)),IF(OR(AND(D2119=0,B2119=0,B2120&lt;&gt;0),AND(D2119*D2118&lt;0,B2119&lt;&gt;0)),IF(D2119=0,C2119,C2119*(1-ABS(D2119)/(ABS(D2119)+ABS(D2118)))+C2118*(1-ABS(D2118)/(ABS(D2119)+ABS(D2118)))),"")))</f>
        <v>#NAME?</v>
      </c>
    </row>
    <row r="2120" spans="2:5" x14ac:dyDescent="0.25">
      <c r="B2120" t="e">
        <f t="shared" ca="1" si="67"/>
        <v>#NAME?</v>
      </c>
      <c r="C2120">
        <v>2077</v>
      </c>
      <c r="D2120" t="e">
        <f t="shared" ca="1" si="66"/>
        <v>#NAME?</v>
      </c>
      <c r="E2120" s="115" t="e">
        <f t="array" aca="1" ref="E2120" ca="1">IF(OR(C2119=0,AND(B2121=0,C2121=0)),"",IFERROR(INDEX($F$27:$F$36,MATCH(C2120,($F$27:$F$36)*($D$27:$D$36&lt;&gt;0),0)),IF(OR(AND(D2120=0,B2120=0,B2121&lt;&gt;0),AND(D2120*D2119&lt;0,B2120&lt;&gt;0)),IF(D2120=0,C2120,C2120*(1-ABS(D2120)/(ABS(D2120)+ABS(D2119)))+C2119*(1-ABS(D2119)/(ABS(D2120)+ABS(D2119)))),"")))</f>
        <v>#NAME?</v>
      </c>
    </row>
    <row r="2121" spans="2:5" x14ac:dyDescent="0.25">
      <c r="B2121" t="e">
        <f t="shared" ca="1" si="67"/>
        <v>#NAME?</v>
      </c>
      <c r="C2121">
        <v>2078</v>
      </c>
      <c r="D2121" t="e">
        <f t="shared" ca="1" si="66"/>
        <v>#NAME?</v>
      </c>
      <c r="E2121" s="115" t="e">
        <f t="array" aca="1" ref="E2121" ca="1">IF(OR(C2120=0,AND(B2122=0,C2122=0)),"",IFERROR(INDEX($F$27:$F$36,MATCH(C2121,($F$27:$F$36)*($D$27:$D$36&lt;&gt;0),0)),IF(OR(AND(D2121=0,B2121=0,B2122&lt;&gt;0),AND(D2121*D2120&lt;0,B2121&lt;&gt;0)),IF(D2121=0,C2121,C2121*(1-ABS(D2121)/(ABS(D2121)+ABS(D2120)))+C2120*(1-ABS(D2120)/(ABS(D2121)+ABS(D2120)))),"")))</f>
        <v>#NAME?</v>
      </c>
    </row>
    <row r="2122" spans="2:5" x14ac:dyDescent="0.25">
      <c r="B2122" t="e">
        <f t="shared" ca="1" si="67"/>
        <v>#NAME?</v>
      </c>
      <c r="C2122">
        <v>2079</v>
      </c>
      <c r="D2122" t="e">
        <f t="shared" ca="1" si="66"/>
        <v>#NAME?</v>
      </c>
      <c r="E2122" s="115" t="e">
        <f t="array" aca="1" ref="E2122" ca="1">IF(OR(C2121=0,AND(B2123=0,C2123=0)),"",IFERROR(INDEX($F$27:$F$36,MATCH(C2122,($F$27:$F$36)*($D$27:$D$36&lt;&gt;0),0)),IF(OR(AND(D2122=0,B2122=0,B2123&lt;&gt;0),AND(D2122*D2121&lt;0,B2122&lt;&gt;0)),IF(D2122=0,C2122,C2122*(1-ABS(D2122)/(ABS(D2122)+ABS(D2121)))+C2121*(1-ABS(D2121)/(ABS(D2122)+ABS(D2121)))),"")))</f>
        <v>#NAME?</v>
      </c>
    </row>
    <row r="2123" spans="2:5" x14ac:dyDescent="0.25">
      <c r="B2123" t="e">
        <f t="shared" ca="1" si="67"/>
        <v>#NAME?</v>
      </c>
      <c r="C2123">
        <v>2080</v>
      </c>
      <c r="D2123" t="e">
        <f t="shared" ca="1" si="66"/>
        <v>#NAME?</v>
      </c>
      <c r="E2123" s="115" t="e">
        <f t="array" aca="1" ref="E2123" ca="1">IF(OR(C2122=0,AND(B2124=0,C2124=0)),"",IFERROR(INDEX($F$27:$F$36,MATCH(C2123,($F$27:$F$36)*($D$27:$D$36&lt;&gt;0),0)),IF(OR(AND(D2123=0,B2123=0,B2124&lt;&gt;0),AND(D2123*D2122&lt;0,B2123&lt;&gt;0)),IF(D2123=0,C2123,C2123*(1-ABS(D2123)/(ABS(D2123)+ABS(D2122)))+C2122*(1-ABS(D2122)/(ABS(D2123)+ABS(D2122)))),"")))</f>
        <v>#NAME?</v>
      </c>
    </row>
    <row r="2124" spans="2:5" x14ac:dyDescent="0.25">
      <c r="B2124" t="e">
        <f t="shared" ca="1" si="67"/>
        <v>#NAME?</v>
      </c>
      <c r="C2124">
        <v>2081</v>
      </c>
      <c r="D2124" t="e">
        <f t="shared" ca="1" si="66"/>
        <v>#NAME?</v>
      </c>
      <c r="E2124" s="115" t="e">
        <f t="array" aca="1" ref="E2124" ca="1">IF(OR(C2123=0,AND(B2125=0,C2125=0)),"",IFERROR(INDEX($F$27:$F$36,MATCH(C2124,($F$27:$F$36)*($D$27:$D$36&lt;&gt;0),0)),IF(OR(AND(D2124=0,B2124=0,B2125&lt;&gt;0),AND(D2124*D2123&lt;0,B2124&lt;&gt;0)),IF(D2124=0,C2124,C2124*(1-ABS(D2124)/(ABS(D2124)+ABS(D2123)))+C2123*(1-ABS(D2123)/(ABS(D2124)+ABS(D2123)))),"")))</f>
        <v>#NAME?</v>
      </c>
    </row>
    <row r="2125" spans="2:5" x14ac:dyDescent="0.25">
      <c r="B2125" t="e">
        <f t="shared" ca="1" si="67"/>
        <v>#NAME?</v>
      </c>
      <c r="C2125">
        <v>2082</v>
      </c>
      <c r="D2125" t="e">
        <f t="shared" ca="1" si="66"/>
        <v>#NAME?</v>
      </c>
      <c r="E2125" s="115" t="e">
        <f t="array" aca="1" ref="E2125" ca="1">IF(OR(C2124=0,AND(B2126=0,C2126=0)),"",IFERROR(INDEX($F$27:$F$36,MATCH(C2125,($F$27:$F$36)*($D$27:$D$36&lt;&gt;0),0)),IF(OR(AND(D2125=0,B2125=0,B2126&lt;&gt;0),AND(D2125*D2124&lt;0,B2125&lt;&gt;0)),IF(D2125=0,C2125,C2125*(1-ABS(D2125)/(ABS(D2125)+ABS(D2124)))+C2124*(1-ABS(D2124)/(ABS(D2125)+ABS(D2124)))),"")))</f>
        <v>#NAME?</v>
      </c>
    </row>
    <row r="2126" spans="2:5" x14ac:dyDescent="0.25">
      <c r="B2126" t="e">
        <f t="shared" ca="1" si="67"/>
        <v>#NAME?</v>
      </c>
      <c r="C2126">
        <v>2083</v>
      </c>
      <c r="D2126" t="e">
        <f t="shared" ca="1" si="66"/>
        <v>#NAME?</v>
      </c>
      <c r="E2126" s="115" t="e">
        <f t="array" aca="1" ref="E2126" ca="1">IF(OR(C2125=0,AND(B2127=0,C2127=0)),"",IFERROR(INDEX($F$27:$F$36,MATCH(C2126,($F$27:$F$36)*($D$27:$D$36&lt;&gt;0),0)),IF(OR(AND(D2126=0,B2126=0,B2127&lt;&gt;0),AND(D2126*D2125&lt;0,B2126&lt;&gt;0)),IF(D2126=0,C2126,C2126*(1-ABS(D2126)/(ABS(D2126)+ABS(D2125)))+C2125*(1-ABS(D2125)/(ABS(D2126)+ABS(D2125)))),"")))</f>
        <v>#NAME?</v>
      </c>
    </row>
    <row r="2127" spans="2:5" x14ac:dyDescent="0.25">
      <c r="B2127" t="e">
        <f t="shared" ca="1" si="67"/>
        <v>#NAME?</v>
      </c>
      <c r="C2127">
        <v>2084</v>
      </c>
      <c r="D2127" t="e">
        <f t="shared" ca="1" si="66"/>
        <v>#NAME?</v>
      </c>
      <c r="E2127" s="115" t="e">
        <f t="array" aca="1" ref="E2127" ca="1">IF(OR(C2126=0,AND(B2128=0,C2128=0)),"",IFERROR(INDEX($F$27:$F$36,MATCH(C2127,($F$27:$F$36)*($D$27:$D$36&lt;&gt;0),0)),IF(OR(AND(D2127=0,B2127=0,B2128&lt;&gt;0),AND(D2127*D2126&lt;0,B2127&lt;&gt;0)),IF(D2127=0,C2127,C2127*(1-ABS(D2127)/(ABS(D2127)+ABS(D2126)))+C2126*(1-ABS(D2126)/(ABS(D2127)+ABS(D2126)))),"")))</f>
        <v>#NAME?</v>
      </c>
    </row>
    <row r="2128" spans="2:5" x14ac:dyDescent="0.25">
      <c r="B2128" t="e">
        <f t="shared" ca="1" si="67"/>
        <v>#NAME?</v>
      </c>
      <c r="C2128">
        <v>2085</v>
      </c>
      <c r="D2128" t="e">
        <f t="shared" ca="1" si="66"/>
        <v>#NAME?</v>
      </c>
      <c r="E2128" s="115" t="e">
        <f t="array" aca="1" ref="E2128" ca="1">IF(OR(C2127=0,AND(B2129=0,C2129=0)),"",IFERROR(INDEX($F$27:$F$36,MATCH(C2128,($F$27:$F$36)*($D$27:$D$36&lt;&gt;0),0)),IF(OR(AND(D2128=0,B2128=0,B2129&lt;&gt;0),AND(D2128*D2127&lt;0,B2128&lt;&gt;0)),IF(D2128=0,C2128,C2128*(1-ABS(D2128)/(ABS(D2128)+ABS(D2127)))+C2127*(1-ABS(D2127)/(ABS(D2128)+ABS(D2127)))),"")))</f>
        <v>#NAME?</v>
      </c>
    </row>
    <row r="2129" spans="2:5" x14ac:dyDescent="0.25">
      <c r="B2129" t="e">
        <f t="shared" ca="1" si="67"/>
        <v>#NAME?</v>
      </c>
      <c r="C2129">
        <v>2086</v>
      </c>
      <c r="D2129" t="e">
        <f t="shared" ca="1" si="66"/>
        <v>#NAME?</v>
      </c>
      <c r="E2129" s="115" t="e">
        <f t="array" aca="1" ref="E2129" ca="1">IF(OR(C2128=0,AND(B2130=0,C2130=0)),"",IFERROR(INDEX($F$27:$F$36,MATCH(C2129,($F$27:$F$36)*($D$27:$D$36&lt;&gt;0),0)),IF(OR(AND(D2129=0,B2129=0,B2130&lt;&gt;0),AND(D2129*D2128&lt;0,B2129&lt;&gt;0)),IF(D2129=0,C2129,C2129*(1-ABS(D2129)/(ABS(D2129)+ABS(D2128)))+C2128*(1-ABS(D2128)/(ABS(D2129)+ABS(D2128)))),"")))</f>
        <v>#NAME?</v>
      </c>
    </row>
    <row r="2130" spans="2:5" x14ac:dyDescent="0.25">
      <c r="B2130" t="e">
        <f t="shared" ca="1" si="67"/>
        <v>#NAME?</v>
      </c>
      <c r="C2130">
        <v>2087</v>
      </c>
      <c r="D2130" t="e">
        <f t="shared" ca="1" si="66"/>
        <v>#NAME?</v>
      </c>
      <c r="E2130" s="115" t="e">
        <f t="array" aca="1" ref="E2130" ca="1">IF(OR(C2129=0,AND(B2131=0,C2131=0)),"",IFERROR(INDEX($F$27:$F$36,MATCH(C2130,($F$27:$F$36)*($D$27:$D$36&lt;&gt;0),0)),IF(OR(AND(D2130=0,B2130=0,B2131&lt;&gt;0),AND(D2130*D2129&lt;0,B2130&lt;&gt;0)),IF(D2130=0,C2130,C2130*(1-ABS(D2130)/(ABS(D2130)+ABS(D2129)))+C2129*(1-ABS(D2129)/(ABS(D2130)+ABS(D2129)))),"")))</f>
        <v>#NAME?</v>
      </c>
    </row>
    <row r="2131" spans="2:5" x14ac:dyDescent="0.25">
      <c r="B2131" t="e">
        <f t="shared" ca="1" si="67"/>
        <v>#NAME?</v>
      </c>
      <c r="C2131">
        <v>2088</v>
      </c>
      <c r="D2131" t="e">
        <f t="shared" ca="1" si="66"/>
        <v>#NAME?</v>
      </c>
      <c r="E2131" s="115" t="e">
        <f t="array" aca="1" ref="E2131" ca="1">IF(OR(C2130=0,AND(B2132=0,C2132=0)),"",IFERROR(INDEX($F$27:$F$36,MATCH(C2131,($F$27:$F$36)*($D$27:$D$36&lt;&gt;0),0)),IF(OR(AND(D2131=0,B2131=0,B2132&lt;&gt;0),AND(D2131*D2130&lt;0,B2131&lt;&gt;0)),IF(D2131=0,C2131,C2131*(1-ABS(D2131)/(ABS(D2131)+ABS(D2130)))+C2130*(1-ABS(D2130)/(ABS(D2131)+ABS(D2130)))),"")))</f>
        <v>#NAME?</v>
      </c>
    </row>
    <row r="2132" spans="2:5" x14ac:dyDescent="0.25">
      <c r="B2132" t="e">
        <f t="shared" ca="1" si="67"/>
        <v>#NAME?</v>
      </c>
      <c r="C2132">
        <v>2089</v>
      </c>
      <c r="D2132" t="e">
        <f t="shared" ca="1" si="66"/>
        <v>#NAME?</v>
      </c>
      <c r="E2132" s="115" t="e">
        <f t="array" aca="1" ref="E2132" ca="1">IF(OR(C2131=0,AND(B2133=0,C2133=0)),"",IFERROR(INDEX($F$27:$F$36,MATCH(C2132,($F$27:$F$36)*($D$27:$D$36&lt;&gt;0),0)),IF(OR(AND(D2132=0,B2132=0,B2133&lt;&gt;0),AND(D2132*D2131&lt;0,B2132&lt;&gt;0)),IF(D2132=0,C2132,C2132*(1-ABS(D2132)/(ABS(D2132)+ABS(D2131)))+C2131*(1-ABS(D2131)/(ABS(D2132)+ABS(D2131)))),"")))</f>
        <v>#NAME?</v>
      </c>
    </row>
    <row r="2133" spans="2:5" x14ac:dyDescent="0.25">
      <c r="B2133" t="e">
        <f t="shared" ca="1" si="67"/>
        <v>#NAME?</v>
      </c>
      <c r="C2133">
        <v>2090</v>
      </c>
      <c r="D2133" t="e">
        <f t="shared" ca="1" si="66"/>
        <v>#NAME?</v>
      </c>
      <c r="E2133" s="115" t="e">
        <f t="array" aca="1" ref="E2133" ca="1">IF(OR(C2132=0,AND(B2134=0,C2134=0)),"",IFERROR(INDEX($F$27:$F$36,MATCH(C2133,($F$27:$F$36)*($D$27:$D$36&lt;&gt;0),0)),IF(OR(AND(D2133=0,B2133=0,B2134&lt;&gt;0),AND(D2133*D2132&lt;0,B2133&lt;&gt;0)),IF(D2133=0,C2133,C2133*(1-ABS(D2133)/(ABS(D2133)+ABS(D2132)))+C2132*(1-ABS(D2132)/(ABS(D2133)+ABS(D2132)))),"")))</f>
        <v>#NAME?</v>
      </c>
    </row>
    <row r="2134" spans="2:5" x14ac:dyDescent="0.25">
      <c r="B2134" t="e">
        <f t="shared" ca="1" si="67"/>
        <v>#NAME?</v>
      </c>
      <c r="C2134">
        <v>2091</v>
      </c>
      <c r="D2134" t="e">
        <f t="shared" ca="1" si="66"/>
        <v>#NAME?</v>
      </c>
      <c r="E2134" s="115" t="e">
        <f t="array" aca="1" ref="E2134" ca="1">IF(OR(C2133=0,AND(B2135=0,C2135=0)),"",IFERROR(INDEX($F$27:$F$36,MATCH(C2134,($F$27:$F$36)*($D$27:$D$36&lt;&gt;0),0)),IF(OR(AND(D2134=0,B2134=0,B2135&lt;&gt;0),AND(D2134*D2133&lt;0,B2134&lt;&gt;0)),IF(D2134=0,C2134,C2134*(1-ABS(D2134)/(ABS(D2134)+ABS(D2133)))+C2133*(1-ABS(D2133)/(ABS(D2134)+ABS(D2133)))),"")))</f>
        <v>#NAME?</v>
      </c>
    </row>
    <row r="2135" spans="2:5" x14ac:dyDescent="0.25">
      <c r="B2135" t="e">
        <f t="shared" ca="1" si="67"/>
        <v>#NAME?</v>
      </c>
      <c r="C2135">
        <v>2092</v>
      </c>
      <c r="D2135" t="e">
        <f t="shared" ca="1" si="66"/>
        <v>#NAME?</v>
      </c>
      <c r="E2135" s="115" t="e">
        <f t="array" aca="1" ref="E2135" ca="1">IF(OR(C2134=0,AND(B2136=0,C2136=0)),"",IFERROR(INDEX($F$27:$F$36,MATCH(C2135,($F$27:$F$36)*($D$27:$D$36&lt;&gt;0),0)),IF(OR(AND(D2135=0,B2135=0,B2136&lt;&gt;0),AND(D2135*D2134&lt;0,B2135&lt;&gt;0)),IF(D2135=0,C2135,C2135*(1-ABS(D2135)/(ABS(D2135)+ABS(D2134)))+C2134*(1-ABS(D2134)/(ABS(D2135)+ABS(D2134)))),"")))</f>
        <v>#NAME?</v>
      </c>
    </row>
    <row r="2136" spans="2:5" x14ac:dyDescent="0.25">
      <c r="B2136" t="e">
        <f t="shared" ca="1" si="67"/>
        <v>#NAME?</v>
      </c>
      <c r="C2136">
        <v>2093</v>
      </c>
      <c r="D2136" t="e">
        <f t="shared" ca="1" si="66"/>
        <v>#NAME?</v>
      </c>
      <c r="E2136" s="115" t="e">
        <f t="array" aca="1" ref="E2136" ca="1">IF(OR(C2135=0,AND(B2137=0,C2137=0)),"",IFERROR(INDEX($F$27:$F$36,MATCH(C2136,($F$27:$F$36)*($D$27:$D$36&lt;&gt;0),0)),IF(OR(AND(D2136=0,B2136=0,B2137&lt;&gt;0),AND(D2136*D2135&lt;0,B2136&lt;&gt;0)),IF(D2136=0,C2136,C2136*(1-ABS(D2136)/(ABS(D2136)+ABS(D2135)))+C2135*(1-ABS(D2135)/(ABS(D2136)+ABS(D2135)))),"")))</f>
        <v>#NAME?</v>
      </c>
    </row>
    <row r="2137" spans="2:5" x14ac:dyDescent="0.25">
      <c r="B2137" t="e">
        <f t="shared" ca="1" si="67"/>
        <v>#NAME?</v>
      </c>
      <c r="C2137">
        <v>2094</v>
      </c>
      <c r="D2137" t="e">
        <f t="shared" ca="1" si="66"/>
        <v>#NAME?</v>
      </c>
      <c r="E2137" s="115" t="e">
        <f t="array" aca="1" ref="E2137" ca="1">IF(OR(C2136=0,AND(B2138=0,C2138=0)),"",IFERROR(INDEX($F$27:$F$36,MATCH(C2137,($F$27:$F$36)*($D$27:$D$36&lt;&gt;0),0)),IF(OR(AND(D2137=0,B2137=0,B2138&lt;&gt;0),AND(D2137*D2136&lt;0,B2137&lt;&gt;0)),IF(D2137=0,C2137,C2137*(1-ABS(D2137)/(ABS(D2137)+ABS(D2136)))+C2136*(1-ABS(D2136)/(ABS(D2137)+ABS(D2136)))),"")))</f>
        <v>#NAME?</v>
      </c>
    </row>
    <row r="2138" spans="2:5" x14ac:dyDescent="0.25">
      <c r="B2138" t="e">
        <f t="shared" ca="1" si="67"/>
        <v>#NAME?</v>
      </c>
      <c r="C2138">
        <v>2095</v>
      </c>
      <c r="D2138" t="e">
        <f t="shared" ca="1" si="66"/>
        <v>#NAME?</v>
      </c>
      <c r="E2138" s="115" t="e">
        <f t="array" aca="1" ref="E2138" ca="1">IF(OR(C2137=0,AND(B2139=0,C2139=0)),"",IFERROR(INDEX($F$27:$F$36,MATCH(C2138,($F$27:$F$36)*($D$27:$D$36&lt;&gt;0),0)),IF(OR(AND(D2138=0,B2138=0,B2139&lt;&gt;0),AND(D2138*D2137&lt;0,B2138&lt;&gt;0)),IF(D2138=0,C2138,C2138*(1-ABS(D2138)/(ABS(D2138)+ABS(D2137)))+C2137*(1-ABS(D2137)/(ABS(D2138)+ABS(D2137)))),"")))</f>
        <v>#NAME?</v>
      </c>
    </row>
    <row r="2139" spans="2:5" x14ac:dyDescent="0.25">
      <c r="B2139" t="e">
        <f t="shared" ca="1" si="67"/>
        <v>#NAME?</v>
      </c>
      <c r="C2139">
        <v>2096</v>
      </c>
      <c r="D2139" t="e">
        <f t="shared" ca="1" si="66"/>
        <v>#NAME?</v>
      </c>
      <c r="E2139" s="115" t="e">
        <f t="array" aca="1" ref="E2139" ca="1">IF(OR(C2138=0,AND(B2140=0,C2140=0)),"",IFERROR(INDEX($F$27:$F$36,MATCH(C2139,($F$27:$F$36)*($D$27:$D$36&lt;&gt;0),0)),IF(OR(AND(D2139=0,B2139=0,B2140&lt;&gt;0),AND(D2139*D2138&lt;0,B2139&lt;&gt;0)),IF(D2139=0,C2139,C2139*(1-ABS(D2139)/(ABS(D2139)+ABS(D2138)))+C2138*(1-ABS(D2138)/(ABS(D2139)+ABS(D2138)))),"")))</f>
        <v>#NAME?</v>
      </c>
    </row>
    <row r="2140" spans="2:5" x14ac:dyDescent="0.25">
      <c r="B2140" t="e">
        <f t="shared" ca="1" si="67"/>
        <v>#NAME?</v>
      </c>
      <c r="C2140">
        <v>2097</v>
      </c>
      <c r="D2140" t="e">
        <f t="shared" ca="1" si="66"/>
        <v>#NAME?</v>
      </c>
      <c r="E2140" s="115" t="e">
        <f t="array" aca="1" ref="E2140" ca="1">IF(OR(C2139=0,AND(B2141=0,C2141=0)),"",IFERROR(INDEX($F$27:$F$36,MATCH(C2140,($F$27:$F$36)*($D$27:$D$36&lt;&gt;0),0)),IF(OR(AND(D2140=0,B2140=0,B2141&lt;&gt;0),AND(D2140*D2139&lt;0,B2140&lt;&gt;0)),IF(D2140=0,C2140,C2140*(1-ABS(D2140)/(ABS(D2140)+ABS(D2139)))+C2139*(1-ABS(D2139)/(ABS(D2140)+ABS(D2139)))),"")))</f>
        <v>#NAME?</v>
      </c>
    </row>
    <row r="2141" spans="2:5" x14ac:dyDescent="0.25">
      <c r="B2141" t="e">
        <f t="shared" ca="1" si="67"/>
        <v>#NAME?</v>
      </c>
      <c r="C2141">
        <v>2098</v>
      </c>
      <c r="D2141" t="e">
        <f t="shared" ca="1" si="66"/>
        <v>#NAME?</v>
      </c>
      <c r="E2141" s="115" t="e">
        <f t="array" aca="1" ref="E2141" ca="1">IF(OR(C2140=0,AND(B2142=0,C2142=0)),"",IFERROR(INDEX($F$27:$F$36,MATCH(C2141,($F$27:$F$36)*($D$27:$D$36&lt;&gt;0),0)),IF(OR(AND(D2141=0,B2141=0,B2142&lt;&gt;0),AND(D2141*D2140&lt;0,B2141&lt;&gt;0)),IF(D2141=0,C2141,C2141*(1-ABS(D2141)/(ABS(D2141)+ABS(D2140)))+C2140*(1-ABS(D2140)/(ABS(D2141)+ABS(D2140)))),"")))</f>
        <v>#NAME?</v>
      </c>
    </row>
    <row r="2142" spans="2:5" x14ac:dyDescent="0.25">
      <c r="B2142" t="e">
        <f t="shared" ca="1" si="67"/>
        <v>#NAME?</v>
      </c>
      <c r="C2142">
        <v>2099</v>
      </c>
      <c r="D2142" t="e">
        <f t="shared" ca="1" si="66"/>
        <v>#NAME?</v>
      </c>
      <c r="E2142" s="115" t="e">
        <f t="array" aca="1" ref="E2142" ca="1">IF(OR(C2141=0,AND(B2143=0,C2143=0)),"",IFERROR(INDEX($F$27:$F$36,MATCH(C2142,($F$27:$F$36)*($D$27:$D$36&lt;&gt;0),0)),IF(OR(AND(D2142=0,B2142=0,B2143&lt;&gt;0),AND(D2142*D2141&lt;0,B2142&lt;&gt;0)),IF(D2142=0,C2142,C2142*(1-ABS(D2142)/(ABS(D2142)+ABS(D2141)))+C2141*(1-ABS(D2141)/(ABS(D2142)+ABS(D2141)))),"")))</f>
        <v>#NAME?</v>
      </c>
    </row>
    <row r="2143" spans="2:5" x14ac:dyDescent="0.25">
      <c r="B2143" t="e">
        <f t="shared" ca="1" si="67"/>
        <v>#NAME?</v>
      </c>
      <c r="C2143">
        <v>2100</v>
      </c>
      <c r="D2143" t="e">
        <f t="shared" ca="1" si="66"/>
        <v>#NAME?</v>
      </c>
      <c r="E2143" s="115" t="e">
        <f t="array" aca="1" ref="E2143" ca="1">IF(OR(C2142=0,AND(B2144=0,C2144=0)),"",IFERROR(INDEX($F$27:$F$36,MATCH(C2143,($F$27:$F$36)*($D$27:$D$36&lt;&gt;0),0)),IF(OR(AND(D2143=0,B2143=0,B2144&lt;&gt;0),AND(D2143*D2142&lt;0,B2143&lt;&gt;0)),IF(D2143=0,C2143,C2143*(1-ABS(D2143)/(ABS(D2143)+ABS(D2142)))+C2142*(1-ABS(D2142)/(ABS(D2143)+ABS(D2142)))),"")))</f>
        <v>#NAME?</v>
      </c>
    </row>
    <row r="2144" spans="2:5" x14ac:dyDescent="0.25">
      <c r="B2144" t="e">
        <f t="shared" ca="1" si="67"/>
        <v>#NAME?</v>
      </c>
      <c r="C2144">
        <v>2101</v>
      </c>
      <c r="D2144" t="e">
        <f t="shared" ca="1" si="66"/>
        <v>#NAME?</v>
      </c>
      <c r="E2144" s="115" t="e">
        <f t="array" aca="1" ref="E2144" ca="1">IF(OR(C2143=0,AND(B2145=0,C2145=0)),"",IFERROR(INDEX($F$27:$F$36,MATCH(C2144,($F$27:$F$36)*($D$27:$D$36&lt;&gt;0),0)),IF(OR(AND(D2144=0,B2144=0,B2145&lt;&gt;0),AND(D2144*D2143&lt;0,B2144&lt;&gt;0)),IF(D2144=0,C2144,C2144*(1-ABS(D2144)/(ABS(D2144)+ABS(D2143)))+C2143*(1-ABS(D2143)/(ABS(D2144)+ABS(D2143)))),"")))</f>
        <v>#NAME?</v>
      </c>
    </row>
    <row r="2145" spans="2:5" x14ac:dyDescent="0.25">
      <c r="B2145" t="e">
        <f t="shared" ca="1" si="67"/>
        <v>#NAME?</v>
      </c>
      <c r="C2145">
        <v>2102</v>
      </c>
      <c r="D2145" t="e">
        <f t="shared" ca="1" si="66"/>
        <v>#NAME?</v>
      </c>
      <c r="E2145" s="115" t="e">
        <f t="array" aca="1" ref="E2145" ca="1">IF(OR(C2144=0,AND(B2146=0,C2146=0)),"",IFERROR(INDEX($F$27:$F$36,MATCH(C2145,($F$27:$F$36)*($D$27:$D$36&lt;&gt;0),0)),IF(OR(AND(D2145=0,B2145=0,B2146&lt;&gt;0),AND(D2145*D2144&lt;0,B2145&lt;&gt;0)),IF(D2145=0,C2145,C2145*(1-ABS(D2145)/(ABS(D2145)+ABS(D2144)))+C2144*(1-ABS(D2144)/(ABS(D2145)+ABS(D2144)))),"")))</f>
        <v>#NAME?</v>
      </c>
    </row>
    <row r="2146" spans="2:5" x14ac:dyDescent="0.25">
      <c r="B2146" t="e">
        <f t="shared" ca="1" si="67"/>
        <v>#NAME?</v>
      </c>
      <c r="C2146">
        <v>2103</v>
      </c>
      <c r="D2146" t="e">
        <f t="shared" ca="1" si="66"/>
        <v>#NAME?</v>
      </c>
      <c r="E2146" s="115" t="e">
        <f t="array" aca="1" ref="E2146" ca="1">IF(OR(C2145=0,AND(B2147=0,C2147=0)),"",IFERROR(INDEX($F$27:$F$36,MATCH(C2146,($F$27:$F$36)*($D$27:$D$36&lt;&gt;0),0)),IF(OR(AND(D2146=0,B2146=0,B2147&lt;&gt;0),AND(D2146*D2145&lt;0,B2146&lt;&gt;0)),IF(D2146=0,C2146,C2146*(1-ABS(D2146)/(ABS(D2146)+ABS(D2145)))+C2145*(1-ABS(D2145)/(ABS(D2146)+ABS(D2145)))),"")))</f>
        <v>#NAME?</v>
      </c>
    </row>
    <row r="2147" spans="2:5" x14ac:dyDescent="0.25">
      <c r="B2147" t="e">
        <f t="shared" ca="1" si="67"/>
        <v>#NAME?</v>
      </c>
      <c r="C2147">
        <v>2104</v>
      </c>
      <c r="D2147" t="e">
        <f t="shared" ca="1" si="66"/>
        <v>#NAME?</v>
      </c>
      <c r="E2147" s="115" t="e">
        <f t="array" aca="1" ref="E2147" ca="1">IF(OR(C2146=0,AND(B2148=0,C2148=0)),"",IFERROR(INDEX($F$27:$F$36,MATCH(C2147,($F$27:$F$36)*($D$27:$D$36&lt;&gt;0),0)),IF(OR(AND(D2147=0,B2147=0,B2148&lt;&gt;0),AND(D2147*D2146&lt;0,B2147&lt;&gt;0)),IF(D2147=0,C2147,C2147*(1-ABS(D2147)/(ABS(D2147)+ABS(D2146)))+C2146*(1-ABS(D2146)/(ABS(D2147)+ABS(D2146)))),"")))</f>
        <v>#NAME?</v>
      </c>
    </row>
    <row r="2148" spans="2:5" x14ac:dyDescent="0.25">
      <c r="B2148" t="e">
        <f t="shared" ca="1" si="67"/>
        <v>#NAME?</v>
      </c>
      <c r="C2148">
        <v>2105</v>
      </c>
      <c r="D2148" t="e">
        <f t="shared" ca="1" si="66"/>
        <v>#NAME?</v>
      </c>
      <c r="E2148" s="115" t="e">
        <f t="array" aca="1" ref="E2148" ca="1">IF(OR(C2147=0,AND(B2149=0,C2149=0)),"",IFERROR(INDEX($F$27:$F$36,MATCH(C2148,($F$27:$F$36)*($D$27:$D$36&lt;&gt;0),0)),IF(OR(AND(D2148=0,B2148=0,B2149&lt;&gt;0),AND(D2148*D2147&lt;0,B2148&lt;&gt;0)),IF(D2148=0,C2148,C2148*(1-ABS(D2148)/(ABS(D2148)+ABS(D2147)))+C2147*(1-ABS(D2147)/(ABS(D2148)+ABS(D2147)))),"")))</f>
        <v>#NAME?</v>
      </c>
    </row>
    <row r="2149" spans="2:5" x14ac:dyDescent="0.25">
      <c r="B2149" t="e">
        <f t="shared" ca="1" si="67"/>
        <v>#NAME?</v>
      </c>
      <c r="C2149">
        <v>2106</v>
      </c>
      <c r="D2149" t="e">
        <f t="shared" ca="1" si="66"/>
        <v>#NAME?</v>
      </c>
      <c r="E2149" s="115" t="e">
        <f t="array" aca="1" ref="E2149" ca="1">IF(OR(C2148=0,AND(B2150=0,C2150=0)),"",IFERROR(INDEX($F$27:$F$36,MATCH(C2149,($F$27:$F$36)*($D$27:$D$36&lt;&gt;0),0)),IF(OR(AND(D2149=0,B2149=0,B2150&lt;&gt;0),AND(D2149*D2148&lt;0,B2149&lt;&gt;0)),IF(D2149=0,C2149,C2149*(1-ABS(D2149)/(ABS(D2149)+ABS(D2148)))+C2148*(1-ABS(D2148)/(ABS(D2149)+ABS(D2148)))),"")))</f>
        <v>#NAME?</v>
      </c>
    </row>
    <row r="2150" spans="2:5" x14ac:dyDescent="0.25">
      <c r="B2150" t="e">
        <f t="shared" ca="1" si="67"/>
        <v>#NAME?</v>
      </c>
      <c r="C2150">
        <v>2107</v>
      </c>
      <c r="D2150" t="e">
        <f t="shared" ca="1" si="66"/>
        <v>#NAME?</v>
      </c>
      <c r="E2150" s="115" t="e">
        <f t="array" aca="1" ref="E2150" ca="1">IF(OR(C2149=0,AND(B2151=0,C2151=0)),"",IFERROR(INDEX($F$27:$F$36,MATCH(C2150,($F$27:$F$36)*($D$27:$D$36&lt;&gt;0),0)),IF(OR(AND(D2150=0,B2150=0,B2151&lt;&gt;0),AND(D2150*D2149&lt;0,B2150&lt;&gt;0)),IF(D2150=0,C2150,C2150*(1-ABS(D2150)/(ABS(D2150)+ABS(D2149)))+C2149*(1-ABS(D2149)/(ABS(D2150)+ABS(D2149)))),"")))</f>
        <v>#NAME?</v>
      </c>
    </row>
    <row r="2151" spans="2:5" x14ac:dyDescent="0.25">
      <c r="B2151" t="e">
        <f t="shared" ca="1" si="67"/>
        <v>#NAME?</v>
      </c>
      <c r="C2151">
        <v>2108</v>
      </c>
      <c r="D2151" t="e">
        <f t="shared" ca="1" si="66"/>
        <v>#NAME?</v>
      </c>
      <c r="E2151" s="115" t="e">
        <f t="array" aca="1" ref="E2151" ca="1">IF(OR(C2150=0,AND(B2152=0,C2152=0)),"",IFERROR(INDEX($F$27:$F$36,MATCH(C2151,($F$27:$F$36)*($D$27:$D$36&lt;&gt;0),0)),IF(OR(AND(D2151=0,B2151=0,B2152&lt;&gt;0),AND(D2151*D2150&lt;0,B2151&lt;&gt;0)),IF(D2151=0,C2151,C2151*(1-ABS(D2151)/(ABS(D2151)+ABS(D2150)))+C2150*(1-ABS(D2150)/(ABS(D2151)+ABS(D2150)))),"")))</f>
        <v>#NAME?</v>
      </c>
    </row>
    <row r="2152" spans="2:5" x14ac:dyDescent="0.25">
      <c r="B2152" t="e">
        <f t="shared" ca="1" si="67"/>
        <v>#NAME?</v>
      </c>
      <c r="C2152">
        <v>2109</v>
      </c>
      <c r="D2152" t="e">
        <f t="shared" ca="1" si="66"/>
        <v>#NAME?</v>
      </c>
      <c r="E2152" s="115" t="e">
        <f t="array" aca="1" ref="E2152" ca="1">IF(OR(C2151=0,AND(B2153=0,C2153=0)),"",IFERROR(INDEX($F$27:$F$36,MATCH(C2152,($F$27:$F$36)*($D$27:$D$36&lt;&gt;0),0)),IF(OR(AND(D2152=0,B2152=0,B2153&lt;&gt;0),AND(D2152*D2151&lt;0,B2152&lt;&gt;0)),IF(D2152=0,C2152,C2152*(1-ABS(D2152)/(ABS(D2152)+ABS(D2151)))+C2151*(1-ABS(D2151)/(ABS(D2152)+ABS(D2151)))),"")))</f>
        <v>#NAME?</v>
      </c>
    </row>
    <row r="2153" spans="2:5" x14ac:dyDescent="0.25">
      <c r="B2153" t="e">
        <f t="shared" ca="1" si="67"/>
        <v>#NAME?</v>
      </c>
      <c r="C2153">
        <v>2110</v>
      </c>
      <c r="D2153" t="e">
        <f t="shared" ca="1" si="66"/>
        <v>#NAME?</v>
      </c>
      <c r="E2153" s="115" t="e">
        <f t="array" aca="1" ref="E2153" ca="1">IF(OR(C2152=0,AND(B2154=0,C2154=0)),"",IFERROR(INDEX($F$27:$F$36,MATCH(C2153,($F$27:$F$36)*($D$27:$D$36&lt;&gt;0),0)),IF(OR(AND(D2153=0,B2153=0,B2154&lt;&gt;0),AND(D2153*D2152&lt;0,B2153&lt;&gt;0)),IF(D2153=0,C2153,C2153*(1-ABS(D2153)/(ABS(D2153)+ABS(D2152)))+C2152*(1-ABS(D2152)/(ABS(D2153)+ABS(D2152)))),"")))</f>
        <v>#NAME?</v>
      </c>
    </row>
    <row r="2154" spans="2:5" x14ac:dyDescent="0.25">
      <c r="B2154" t="e">
        <f t="shared" ca="1" si="67"/>
        <v>#NAME?</v>
      </c>
      <c r="C2154">
        <v>2111</v>
      </c>
      <c r="D2154" t="e">
        <f t="shared" ca="1" si="66"/>
        <v>#NAME?</v>
      </c>
      <c r="E2154" s="115" t="e">
        <f t="array" aca="1" ref="E2154" ca="1">IF(OR(C2153=0,AND(B2155=0,C2155=0)),"",IFERROR(INDEX($F$27:$F$36,MATCH(C2154,($F$27:$F$36)*($D$27:$D$36&lt;&gt;0),0)),IF(OR(AND(D2154=0,B2154=0,B2155&lt;&gt;0),AND(D2154*D2153&lt;0,B2154&lt;&gt;0)),IF(D2154=0,C2154,C2154*(1-ABS(D2154)/(ABS(D2154)+ABS(D2153)))+C2153*(1-ABS(D2153)/(ABS(D2154)+ABS(D2153)))),"")))</f>
        <v>#NAME?</v>
      </c>
    </row>
    <row r="2155" spans="2:5" x14ac:dyDescent="0.25">
      <c r="B2155" t="e">
        <f t="shared" ca="1" si="67"/>
        <v>#NAME?</v>
      </c>
      <c r="C2155">
        <v>2112</v>
      </c>
      <c r="D2155" t="e">
        <f t="shared" ref="D2155:D2218" ca="1" si="68">SUMPRODUCT(--($J$27:$J$37&gt;0),--($C2155-$F$27:$F$37&gt;0),($D$27:$D$37),($C2155-$F$27:$F$37))+SUMPRODUCT(--($J$27:$J$37&lt;0),--($F$27:$F$37-$C2155&gt;0),($D$27:$D$37),($F$27:$F$37-$C2155))-SUMPRODUCT($D$27:$D$37,$E$27:$E$37)</f>
        <v>#NAME?</v>
      </c>
      <c r="E2155" s="115" t="e">
        <f t="array" aca="1" ref="E2155" ca="1">IF(OR(C2154=0,AND(B2156=0,C2156=0)),"",IFERROR(INDEX($F$27:$F$36,MATCH(C2155,($F$27:$F$36)*($D$27:$D$36&lt;&gt;0),0)),IF(OR(AND(D2155=0,B2155=0,B2156&lt;&gt;0),AND(D2155*D2154&lt;0,B2155&lt;&gt;0)),IF(D2155=0,C2155,C2155*(1-ABS(D2155)/(ABS(D2155)+ABS(D2154)))+C2154*(1-ABS(D2154)/(ABS(D2155)+ABS(D2154)))),"")))</f>
        <v>#NAME?</v>
      </c>
    </row>
    <row r="2156" spans="2:5" x14ac:dyDescent="0.25">
      <c r="B2156" t="e">
        <f t="shared" ref="B2156:B2219" ca="1" si="69">ROUND((D2156-D2155)/(C2156-C2155),12)</f>
        <v>#NAME?</v>
      </c>
      <c r="C2156">
        <v>2113</v>
      </c>
      <c r="D2156" t="e">
        <f t="shared" ca="1" si="68"/>
        <v>#NAME?</v>
      </c>
      <c r="E2156" s="115" t="e">
        <f t="array" aca="1" ref="E2156" ca="1">IF(OR(C2155=0,AND(B2157=0,C2157=0)),"",IFERROR(INDEX($F$27:$F$36,MATCH(C2156,($F$27:$F$36)*($D$27:$D$36&lt;&gt;0),0)),IF(OR(AND(D2156=0,B2156=0,B2157&lt;&gt;0),AND(D2156*D2155&lt;0,B2156&lt;&gt;0)),IF(D2156=0,C2156,C2156*(1-ABS(D2156)/(ABS(D2156)+ABS(D2155)))+C2155*(1-ABS(D2155)/(ABS(D2156)+ABS(D2155)))),"")))</f>
        <v>#NAME?</v>
      </c>
    </row>
    <row r="2157" spans="2:5" x14ac:dyDescent="0.25">
      <c r="B2157" t="e">
        <f t="shared" ca="1" si="69"/>
        <v>#NAME?</v>
      </c>
      <c r="C2157">
        <v>2114</v>
      </c>
      <c r="D2157" t="e">
        <f t="shared" ca="1" si="68"/>
        <v>#NAME?</v>
      </c>
      <c r="E2157" s="115" t="e">
        <f t="array" aca="1" ref="E2157" ca="1">IF(OR(C2156=0,AND(B2158=0,C2158=0)),"",IFERROR(INDEX($F$27:$F$36,MATCH(C2157,($F$27:$F$36)*($D$27:$D$36&lt;&gt;0),0)),IF(OR(AND(D2157=0,B2157=0,B2158&lt;&gt;0),AND(D2157*D2156&lt;0,B2157&lt;&gt;0)),IF(D2157=0,C2157,C2157*(1-ABS(D2157)/(ABS(D2157)+ABS(D2156)))+C2156*(1-ABS(D2156)/(ABS(D2157)+ABS(D2156)))),"")))</f>
        <v>#NAME?</v>
      </c>
    </row>
    <row r="2158" spans="2:5" x14ac:dyDescent="0.25">
      <c r="B2158" t="e">
        <f t="shared" ca="1" si="69"/>
        <v>#NAME?</v>
      </c>
      <c r="C2158">
        <v>2115</v>
      </c>
      <c r="D2158" t="e">
        <f t="shared" ca="1" si="68"/>
        <v>#NAME?</v>
      </c>
      <c r="E2158" s="115" t="e">
        <f t="array" aca="1" ref="E2158" ca="1">IF(OR(C2157=0,AND(B2159=0,C2159=0)),"",IFERROR(INDEX($F$27:$F$36,MATCH(C2158,($F$27:$F$36)*($D$27:$D$36&lt;&gt;0),0)),IF(OR(AND(D2158=0,B2158=0,B2159&lt;&gt;0),AND(D2158*D2157&lt;0,B2158&lt;&gt;0)),IF(D2158=0,C2158,C2158*(1-ABS(D2158)/(ABS(D2158)+ABS(D2157)))+C2157*(1-ABS(D2157)/(ABS(D2158)+ABS(D2157)))),"")))</f>
        <v>#NAME?</v>
      </c>
    </row>
    <row r="2159" spans="2:5" x14ac:dyDescent="0.25">
      <c r="B2159" t="e">
        <f t="shared" ca="1" si="69"/>
        <v>#NAME?</v>
      </c>
      <c r="C2159">
        <v>2116</v>
      </c>
      <c r="D2159" t="e">
        <f t="shared" ca="1" si="68"/>
        <v>#NAME?</v>
      </c>
      <c r="E2159" s="115" t="e">
        <f t="array" aca="1" ref="E2159" ca="1">IF(OR(C2158=0,AND(B2160=0,C2160=0)),"",IFERROR(INDEX($F$27:$F$36,MATCH(C2159,($F$27:$F$36)*($D$27:$D$36&lt;&gt;0),0)),IF(OR(AND(D2159=0,B2159=0,B2160&lt;&gt;0),AND(D2159*D2158&lt;0,B2159&lt;&gt;0)),IF(D2159=0,C2159,C2159*(1-ABS(D2159)/(ABS(D2159)+ABS(D2158)))+C2158*(1-ABS(D2158)/(ABS(D2159)+ABS(D2158)))),"")))</f>
        <v>#NAME?</v>
      </c>
    </row>
    <row r="2160" spans="2:5" x14ac:dyDescent="0.25">
      <c r="B2160" t="e">
        <f t="shared" ca="1" si="69"/>
        <v>#NAME?</v>
      </c>
      <c r="C2160">
        <v>2117</v>
      </c>
      <c r="D2160" t="e">
        <f t="shared" ca="1" si="68"/>
        <v>#NAME?</v>
      </c>
      <c r="E2160" s="115" t="e">
        <f t="array" aca="1" ref="E2160" ca="1">IF(OR(C2159=0,AND(B2161=0,C2161=0)),"",IFERROR(INDEX($F$27:$F$36,MATCH(C2160,($F$27:$F$36)*($D$27:$D$36&lt;&gt;0),0)),IF(OR(AND(D2160=0,B2160=0,B2161&lt;&gt;0),AND(D2160*D2159&lt;0,B2160&lt;&gt;0)),IF(D2160=0,C2160,C2160*(1-ABS(D2160)/(ABS(D2160)+ABS(D2159)))+C2159*(1-ABS(D2159)/(ABS(D2160)+ABS(D2159)))),"")))</f>
        <v>#NAME?</v>
      </c>
    </row>
    <row r="2161" spans="2:5" x14ac:dyDescent="0.25">
      <c r="B2161" t="e">
        <f t="shared" ca="1" si="69"/>
        <v>#NAME?</v>
      </c>
      <c r="C2161">
        <v>2118</v>
      </c>
      <c r="D2161" t="e">
        <f t="shared" ca="1" si="68"/>
        <v>#NAME?</v>
      </c>
      <c r="E2161" s="115" t="e">
        <f t="array" aca="1" ref="E2161" ca="1">IF(OR(C2160=0,AND(B2162=0,C2162=0)),"",IFERROR(INDEX($F$27:$F$36,MATCH(C2161,($F$27:$F$36)*($D$27:$D$36&lt;&gt;0),0)),IF(OR(AND(D2161=0,B2161=0,B2162&lt;&gt;0),AND(D2161*D2160&lt;0,B2161&lt;&gt;0)),IF(D2161=0,C2161,C2161*(1-ABS(D2161)/(ABS(D2161)+ABS(D2160)))+C2160*(1-ABS(D2160)/(ABS(D2161)+ABS(D2160)))),"")))</f>
        <v>#NAME?</v>
      </c>
    </row>
    <row r="2162" spans="2:5" x14ac:dyDescent="0.25">
      <c r="B2162" t="e">
        <f t="shared" ca="1" si="69"/>
        <v>#NAME?</v>
      </c>
      <c r="C2162">
        <v>2119</v>
      </c>
      <c r="D2162" t="e">
        <f t="shared" ca="1" si="68"/>
        <v>#NAME?</v>
      </c>
      <c r="E2162" s="115" t="e">
        <f t="array" aca="1" ref="E2162" ca="1">IF(OR(C2161=0,AND(B2163=0,C2163=0)),"",IFERROR(INDEX($F$27:$F$36,MATCH(C2162,($F$27:$F$36)*($D$27:$D$36&lt;&gt;0),0)),IF(OR(AND(D2162=0,B2162=0,B2163&lt;&gt;0),AND(D2162*D2161&lt;0,B2162&lt;&gt;0)),IF(D2162=0,C2162,C2162*(1-ABS(D2162)/(ABS(D2162)+ABS(D2161)))+C2161*(1-ABS(D2161)/(ABS(D2162)+ABS(D2161)))),"")))</f>
        <v>#NAME?</v>
      </c>
    </row>
    <row r="2163" spans="2:5" x14ac:dyDescent="0.25">
      <c r="B2163" t="e">
        <f t="shared" ca="1" si="69"/>
        <v>#NAME?</v>
      </c>
      <c r="C2163">
        <v>2120</v>
      </c>
      <c r="D2163" t="e">
        <f t="shared" ca="1" si="68"/>
        <v>#NAME?</v>
      </c>
      <c r="E2163" s="115" t="e">
        <f t="array" aca="1" ref="E2163" ca="1">IF(OR(C2162=0,AND(B2164=0,C2164=0)),"",IFERROR(INDEX($F$27:$F$36,MATCH(C2163,($F$27:$F$36)*($D$27:$D$36&lt;&gt;0),0)),IF(OR(AND(D2163=0,B2163=0,B2164&lt;&gt;0),AND(D2163*D2162&lt;0,B2163&lt;&gt;0)),IF(D2163=0,C2163,C2163*(1-ABS(D2163)/(ABS(D2163)+ABS(D2162)))+C2162*(1-ABS(D2162)/(ABS(D2163)+ABS(D2162)))),"")))</f>
        <v>#NAME?</v>
      </c>
    </row>
    <row r="2164" spans="2:5" x14ac:dyDescent="0.25">
      <c r="B2164" t="e">
        <f t="shared" ca="1" si="69"/>
        <v>#NAME?</v>
      </c>
      <c r="C2164">
        <v>2121</v>
      </c>
      <c r="D2164" t="e">
        <f t="shared" ca="1" si="68"/>
        <v>#NAME?</v>
      </c>
      <c r="E2164" s="115" t="e">
        <f t="array" aca="1" ref="E2164" ca="1">IF(OR(C2163=0,AND(B2165=0,C2165=0)),"",IFERROR(INDEX($F$27:$F$36,MATCH(C2164,($F$27:$F$36)*($D$27:$D$36&lt;&gt;0),0)),IF(OR(AND(D2164=0,B2164=0,B2165&lt;&gt;0),AND(D2164*D2163&lt;0,B2164&lt;&gt;0)),IF(D2164=0,C2164,C2164*(1-ABS(D2164)/(ABS(D2164)+ABS(D2163)))+C2163*(1-ABS(D2163)/(ABS(D2164)+ABS(D2163)))),"")))</f>
        <v>#NAME?</v>
      </c>
    </row>
    <row r="2165" spans="2:5" x14ac:dyDescent="0.25">
      <c r="B2165" t="e">
        <f t="shared" ca="1" si="69"/>
        <v>#NAME?</v>
      </c>
      <c r="C2165">
        <v>2122</v>
      </c>
      <c r="D2165" t="e">
        <f t="shared" ca="1" si="68"/>
        <v>#NAME?</v>
      </c>
      <c r="E2165" s="115" t="e">
        <f t="array" aca="1" ref="E2165" ca="1">IF(OR(C2164=0,AND(B2166=0,C2166=0)),"",IFERROR(INDEX($F$27:$F$36,MATCH(C2165,($F$27:$F$36)*($D$27:$D$36&lt;&gt;0),0)),IF(OR(AND(D2165=0,B2165=0,B2166&lt;&gt;0),AND(D2165*D2164&lt;0,B2165&lt;&gt;0)),IF(D2165=0,C2165,C2165*(1-ABS(D2165)/(ABS(D2165)+ABS(D2164)))+C2164*(1-ABS(D2164)/(ABS(D2165)+ABS(D2164)))),"")))</f>
        <v>#NAME?</v>
      </c>
    </row>
    <row r="2166" spans="2:5" x14ac:dyDescent="0.25">
      <c r="B2166" t="e">
        <f t="shared" ca="1" si="69"/>
        <v>#NAME?</v>
      </c>
      <c r="C2166">
        <v>2123</v>
      </c>
      <c r="D2166" t="e">
        <f t="shared" ca="1" si="68"/>
        <v>#NAME?</v>
      </c>
      <c r="E2166" s="115" t="e">
        <f t="array" aca="1" ref="E2166" ca="1">IF(OR(C2165=0,AND(B2167=0,C2167=0)),"",IFERROR(INDEX($F$27:$F$36,MATCH(C2166,($F$27:$F$36)*($D$27:$D$36&lt;&gt;0),0)),IF(OR(AND(D2166=0,B2166=0,B2167&lt;&gt;0),AND(D2166*D2165&lt;0,B2166&lt;&gt;0)),IF(D2166=0,C2166,C2166*(1-ABS(D2166)/(ABS(D2166)+ABS(D2165)))+C2165*(1-ABS(D2165)/(ABS(D2166)+ABS(D2165)))),"")))</f>
        <v>#NAME?</v>
      </c>
    </row>
    <row r="2167" spans="2:5" x14ac:dyDescent="0.25">
      <c r="B2167" t="e">
        <f t="shared" ca="1" si="69"/>
        <v>#NAME?</v>
      </c>
      <c r="C2167">
        <v>2124</v>
      </c>
      <c r="D2167" t="e">
        <f t="shared" ca="1" si="68"/>
        <v>#NAME?</v>
      </c>
      <c r="E2167" s="115" t="e">
        <f t="array" aca="1" ref="E2167" ca="1">IF(OR(C2166=0,AND(B2168=0,C2168=0)),"",IFERROR(INDEX($F$27:$F$36,MATCH(C2167,($F$27:$F$36)*($D$27:$D$36&lt;&gt;0),0)),IF(OR(AND(D2167=0,B2167=0,B2168&lt;&gt;0),AND(D2167*D2166&lt;0,B2167&lt;&gt;0)),IF(D2167=0,C2167,C2167*(1-ABS(D2167)/(ABS(D2167)+ABS(D2166)))+C2166*(1-ABS(D2166)/(ABS(D2167)+ABS(D2166)))),"")))</f>
        <v>#NAME?</v>
      </c>
    </row>
    <row r="2168" spans="2:5" x14ac:dyDescent="0.25">
      <c r="B2168" t="e">
        <f t="shared" ca="1" si="69"/>
        <v>#NAME?</v>
      </c>
      <c r="C2168">
        <v>2125</v>
      </c>
      <c r="D2168" t="e">
        <f t="shared" ca="1" si="68"/>
        <v>#NAME?</v>
      </c>
      <c r="E2168" s="115" t="e">
        <f t="array" aca="1" ref="E2168" ca="1">IF(OR(C2167=0,AND(B2169=0,C2169=0)),"",IFERROR(INDEX($F$27:$F$36,MATCH(C2168,($F$27:$F$36)*($D$27:$D$36&lt;&gt;0),0)),IF(OR(AND(D2168=0,B2168=0,B2169&lt;&gt;0),AND(D2168*D2167&lt;0,B2168&lt;&gt;0)),IF(D2168=0,C2168,C2168*(1-ABS(D2168)/(ABS(D2168)+ABS(D2167)))+C2167*(1-ABS(D2167)/(ABS(D2168)+ABS(D2167)))),"")))</f>
        <v>#NAME?</v>
      </c>
    </row>
    <row r="2169" spans="2:5" x14ac:dyDescent="0.25">
      <c r="B2169" t="e">
        <f t="shared" ca="1" si="69"/>
        <v>#NAME?</v>
      </c>
      <c r="C2169">
        <v>2126</v>
      </c>
      <c r="D2169" t="e">
        <f t="shared" ca="1" si="68"/>
        <v>#NAME?</v>
      </c>
      <c r="E2169" s="115" t="e">
        <f t="array" aca="1" ref="E2169" ca="1">IF(OR(C2168=0,AND(B2170=0,C2170=0)),"",IFERROR(INDEX($F$27:$F$36,MATCH(C2169,($F$27:$F$36)*($D$27:$D$36&lt;&gt;0),0)),IF(OR(AND(D2169=0,B2169=0,B2170&lt;&gt;0),AND(D2169*D2168&lt;0,B2169&lt;&gt;0)),IF(D2169=0,C2169,C2169*(1-ABS(D2169)/(ABS(D2169)+ABS(D2168)))+C2168*(1-ABS(D2168)/(ABS(D2169)+ABS(D2168)))),"")))</f>
        <v>#NAME?</v>
      </c>
    </row>
    <row r="2170" spans="2:5" x14ac:dyDescent="0.25">
      <c r="B2170" t="e">
        <f t="shared" ca="1" si="69"/>
        <v>#NAME?</v>
      </c>
      <c r="C2170">
        <v>2127</v>
      </c>
      <c r="D2170" t="e">
        <f t="shared" ca="1" si="68"/>
        <v>#NAME?</v>
      </c>
      <c r="E2170" s="115" t="e">
        <f t="array" aca="1" ref="E2170" ca="1">IF(OR(C2169=0,AND(B2171=0,C2171=0)),"",IFERROR(INDEX($F$27:$F$36,MATCH(C2170,($F$27:$F$36)*($D$27:$D$36&lt;&gt;0),0)),IF(OR(AND(D2170=0,B2170=0,B2171&lt;&gt;0),AND(D2170*D2169&lt;0,B2170&lt;&gt;0)),IF(D2170=0,C2170,C2170*(1-ABS(D2170)/(ABS(D2170)+ABS(D2169)))+C2169*(1-ABS(D2169)/(ABS(D2170)+ABS(D2169)))),"")))</f>
        <v>#NAME?</v>
      </c>
    </row>
    <row r="2171" spans="2:5" x14ac:dyDescent="0.25">
      <c r="B2171" t="e">
        <f t="shared" ca="1" si="69"/>
        <v>#NAME?</v>
      </c>
      <c r="C2171">
        <v>2128</v>
      </c>
      <c r="D2171" t="e">
        <f t="shared" ca="1" si="68"/>
        <v>#NAME?</v>
      </c>
      <c r="E2171" s="115" t="e">
        <f t="array" aca="1" ref="E2171" ca="1">IF(OR(C2170=0,AND(B2172=0,C2172=0)),"",IFERROR(INDEX($F$27:$F$36,MATCH(C2171,($F$27:$F$36)*($D$27:$D$36&lt;&gt;0),0)),IF(OR(AND(D2171=0,B2171=0,B2172&lt;&gt;0),AND(D2171*D2170&lt;0,B2171&lt;&gt;0)),IF(D2171=0,C2171,C2171*(1-ABS(D2171)/(ABS(D2171)+ABS(D2170)))+C2170*(1-ABS(D2170)/(ABS(D2171)+ABS(D2170)))),"")))</f>
        <v>#NAME?</v>
      </c>
    </row>
    <row r="2172" spans="2:5" x14ac:dyDescent="0.25">
      <c r="B2172" t="e">
        <f t="shared" ca="1" si="69"/>
        <v>#NAME?</v>
      </c>
      <c r="C2172">
        <v>2129</v>
      </c>
      <c r="D2172" t="e">
        <f t="shared" ca="1" si="68"/>
        <v>#NAME?</v>
      </c>
      <c r="E2172" s="115" t="e">
        <f t="array" aca="1" ref="E2172" ca="1">IF(OR(C2171=0,AND(B2173=0,C2173=0)),"",IFERROR(INDEX($F$27:$F$36,MATCH(C2172,($F$27:$F$36)*($D$27:$D$36&lt;&gt;0),0)),IF(OR(AND(D2172=0,B2172=0,B2173&lt;&gt;0),AND(D2172*D2171&lt;0,B2172&lt;&gt;0)),IF(D2172=0,C2172,C2172*(1-ABS(D2172)/(ABS(D2172)+ABS(D2171)))+C2171*(1-ABS(D2171)/(ABS(D2172)+ABS(D2171)))),"")))</f>
        <v>#NAME?</v>
      </c>
    </row>
    <row r="2173" spans="2:5" x14ac:dyDescent="0.25">
      <c r="B2173" t="e">
        <f t="shared" ca="1" si="69"/>
        <v>#NAME?</v>
      </c>
      <c r="C2173">
        <v>2130</v>
      </c>
      <c r="D2173" t="e">
        <f t="shared" ca="1" si="68"/>
        <v>#NAME?</v>
      </c>
      <c r="E2173" s="115" t="e">
        <f t="array" aca="1" ref="E2173" ca="1">IF(OR(C2172=0,AND(B2174=0,C2174=0)),"",IFERROR(INDEX($F$27:$F$36,MATCH(C2173,($F$27:$F$36)*($D$27:$D$36&lt;&gt;0),0)),IF(OR(AND(D2173=0,B2173=0,B2174&lt;&gt;0),AND(D2173*D2172&lt;0,B2173&lt;&gt;0)),IF(D2173=0,C2173,C2173*(1-ABS(D2173)/(ABS(D2173)+ABS(D2172)))+C2172*(1-ABS(D2172)/(ABS(D2173)+ABS(D2172)))),"")))</f>
        <v>#NAME?</v>
      </c>
    </row>
    <row r="2174" spans="2:5" x14ac:dyDescent="0.25">
      <c r="B2174" t="e">
        <f t="shared" ca="1" si="69"/>
        <v>#NAME?</v>
      </c>
      <c r="C2174">
        <v>2131</v>
      </c>
      <c r="D2174" t="e">
        <f t="shared" ca="1" si="68"/>
        <v>#NAME?</v>
      </c>
      <c r="E2174" s="115" t="e">
        <f t="array" aca="1" ref="E2174" ca="1">IF(OR(C2173=0,AND(B2175=0,C2175=0)),"",IFERROR(INDEX($F$27:$F$36,MATCH(C2174,($F$27:$F$36)*($D$27:$D$36&lt;&gt;0),0)),IF(OR(AND(D2174=0,B2174=0,B2175&lt;&gt;0),AND(D2174*D2173&lt;0,B2174&lt;&gt;0)),IF(D2174=0,C2174,C2174*(1-ABS(D2174)/(ABS(D2174)+ABS(D2173)))+C2173*(1-ABS(D2173)/(ABS(D2174)+ABS(D2173)))),"")))</f>
        <v>#NAME?</v>
      </c>
    </row>
    <row r="2175" spans="2:5" x14ac:dyDescent="0.25">
      <c r="B2175" t="e">
        <f t="shared" ca="1" si="69"/>
        <v>#NAME?</v>
      </c>
      <c r="C2175">
        <v>2132</v>
      </c>
      <c r="D2175" t="e">
        <f t="shared" ca="1" si="68"/>
        <v>#NAME?</v>
      </c>
      <c r="E2175" s="115" t="e">
        <f t="array" aca="1" ref="E2175" ca="1">IF(OR(C2174=0,AND(B2176=0,C2176=0)),"",IFERROR(INDEX($F$27:$F$36,MATCH(C2175,($F$27:$F$36)*($D$27:$D$36&lt;&gt;0),0)),IF(OR(AND(D2175=0,B2175=0,B2176&lt;&gt;0),AND(D2175*D2174&lt;0,B2175&lt;&gt;0)),IF(D2175=0,C2175,C2175*(1-ABS(D2175)/(ABS(D2175)+ABS(D2174)))+C2174*(1-ABS(D2174)/(ABS(D2175)+ABS(D2174)))),"")))</f>
        <v>#NAME?</v>
      </c>
    </row>
    <row r="2176" spans="2:5" x14ac:dyDescent="0.25">
      <c r="B2176" t="e">
        <f t="shared" ca="1" si="69"/>
        <v>#NAME?</v>
      </c>
      <c r="C2176">
        <v>2133</v>
      </c>
      <c r="D2176" t="e">
        <f t="shared" ca="1" si="68"/>
        <v>#NAME?</v>
      </c>
      <c r="E2176" s="115" t="e">
        <f t="array" aca="1" ref="E2176" ca="1">IF(OR(C2175=0,AND(B2177=0,C2177=0)),"",IFERROR(INDEX($F$27:$F$36,MATCH(C2176,($F$27:$F$36)*($D$27:$D$36&lt;&gt;0),0)),IF(OR(AND(D2176=0,B2176=0,B2177&lt;&gt;0),AND(D2176*D2175&lt;0,B2176&lt;&gt;0)),IF(D2176=0,C2176,C2176*(1-ABS(D2176)/(ABS(D2176)+ABS(D2175)))+C2175*(1-ABS(D2175)/(ABS(D2176)+ABS(D2175)))),"")))</f>
        <v>#NAME?</v>
      </c>
    </row>
    <row r="2177" spans="2:5" x14ac:dyDescent="0.25">
      <c r="B2177" t="e">
        <f t="shared" ca="1" si="69"/>
        <v>#NAME?</v>
      </c>
      <c r="C2177">
        <v>2134</v>
      </c>
      <c r="D2177" t="e">
        <f t="shared" ca="1" si="68"/>
        <v>#NAME?</v>
      </c>
      <c r="E2177" s="115" t="e">
        <f t="array" aca="1" ref="E2177" ca="1">IF(OR(C2176=0,AND(B2178=0,C2178=0)),"",IFERROR(INDEX($F$27:$F$36,MATCH(C2177,($F$27:$F$36)*($D$27:$D$36&lt;&gt;0),0)),IF(OR(AND(D2177=0,B2177=0,B2178&lt;&gt;0),AND(D2177*D2176&lt;0,B2177&lt;&gt;0)),IF(D2177=0,C2177,C2177*(1-ABS(D2177)/(ABS(D2177)+ABS(D2176)))+C2176*(1-ABS(D2176)/(ABS(D2177)+ABS(D2176)))),"")))</f>
        <v>#NAME?</v>
      </c>
    </row>
    <row r="2178" spans="2:5" x14ac:dyDescent="0.25">
      <c r="B2178" t="e">
        <f t="shared" ca="1" si="69"/>
        <v>#NAME?</v>
      </c>
      <c r="C2178">
        <v>2135</v>
      </c>
      <c r="D2178" t="e">
        <f t="shared" ca="1" si="68"/>
        <v>#NAME?</v>
      </c>
      <c r="E2178" s="115" t="e">
        <f t="array" aca="1" ref="E2178" ca="1">IF(OR(C2177=0,AND(B2179=0,C2179=0)),"",IFERROR(INDEX($F$27:$F$36,MATCH(C2178,($F$27:$F$36)*($D$27:$D$36&lt;&gt;0),0)),IF(OR(AND(D2178=0,B2178=0,B2179&lt;&gt;0),AND(D2178*D2177&lt;0,B2178&lt;&gt;0)),IF(D2178=0,C2178,C2178*(1-ABS(D2178)/(ABS(D2178)+ABS(D2177)))+C2177*(1-ABS(D2177)/(ABS(D2178)+ABS(D2177)))),"")))</f>
        <v>#NAME?</v>
      </c>
    </row>
    <row r="2179" spans="2:5" x14ac:dyDescent="0.25">
      <c r="B2179" t="e">
        <f t="shared" ca="1" si="69"/>
        <v>#NAME?</v>
      </c>
      <c r="C2179">
        <v>2136</v>
      </c>
      <c r="D2179" t="e">
        <f t="shared" ca="1" si="68"/>
        <v>#NAME?</v>
      </c>
      <c r="E2179" s="115" t="e">
        <f t="array" aca="1" ref="E2179" ca="1">IF(OR(C2178=0,AND(B2180=0,C2180=0)),"",IFERROR(INDEX($F$27:$F$36,MATCH(C2179,($F$27:$F$36)*($D$27:$D$36&lt;&gt;0),0)),IF(OR(AND(D2179=0,B2179=0,B2180&lt;&gt;0),AND(D2179*D2178&lt;0,B2179&lt;&gt;0)),IF(D2179=0,C2179,C2179*(1-ABS(D2179)/(ABS(D2179)+ABS(D2178)))+C2178*(1-ABS(D2178)/(ABS(D2179)+ABS(D2178)))),"")))</f>
        <v>#NAME?</v>
      </c>
    </row>
    <row r="2180" spans="2:5" x14ac:dyDescent="0.25">
      <c r="B2180" t="e">
        <f t="shared" ca="1" si="69"/>
        <v>#NAME?</v>
      </c>
      <c r="C2180">
        <v>2137</v>
      </c>
      <c r="D2180" t="e">
        <f t="shared" ca="1" si="68"/>
        <v>#NAME?</v>
      </c>
      <c r="E2180" s="115" t="e">
        <f t="array" aca="1" ref="E2180" ca="1">IF(OR(C2179=0,AND(B2181=0,C2181=0)),"",IFERROR(INDEX($F$27:$F$36,MATCH(C2180,($F$27:$F$36)*($D$27:$D$36&lt;&gt;0),0)),IF(OR(AND(D2180=0,B2180=0,B2181&lt;&gt;0),AND(D2180*D2179&lt;0,B2180&lt;&gt;0)),IF(D2180=0,C2180,C2180*(1-ABS(D2180)/(ABS(D2180)+ABS(D2179)))+C2179*(1-ABS(D2179)/(ABS(D2180)+ABS(D2179)))),"")))</f>
        <v>#NAME?</v>
      </c>
    </row>
    <row r="2181" spans="2:5" x14ac:dyDescent="0.25">
      <c r="B2181" t="e">
        <f t="shared" ca="1" si="69"/>
        <v>#NAME?</v>
      </c>
      <c r="C2181">
        <v>2138</v>
      </c>
      <c r="D2181" t="e">
        <f t="shared" ca="1" si="68"/>
        <v>#NAME?</v>
      </c>
      <c r="E2181" s="115" t="e">
        <f t="array" aca="1" ref="E2181" ca="1">IF(OR(C2180=0,AND(B2182=0,C2182=0)),"",IFERROR(INDEX($F$27:$F$36,MATCH(C2181,($F$27:$F$36)*($D$27:$D$36&lt;&gt;0),0)),IF(OR(AND(D2181=0,B2181=0,B2182&lt;&gt;0),AND(D2181*D2180&lt;0,B2181&lt;&gt;0)),IF(D2181=0,C2181,C2181*(1-ABS(D2181)/(ABS(D2181)+ABS(D2180)))+C2180*(1-ABS(D2180)/(ABS(D2181)+ABS(D2180)))),"")))</f>
        <v>#NAME?</v>
      </c>
    </row>
    <row r="2182" spans="2:5" x14ac:dyDescent="0.25">
      <c r="B2182" t="e">
        <f t="shared" ca="1" si="69"/>
        <v>#NAME?</v>
      </c>
      <c r="C2182">
        <v>2139</v>
      </c>
      <c r="D2182" t="e">
        <f t="shared" ca="1" si="68"/>
        <v>#NAME?</v>
      </c>
      <c r="E2182" s="115" t="e">
        <f t="array" aca="1" ref="E2182" ca="1">IF(OR(C2181=0,AND(B2183=0,C2183=0)),"",IFERROR(INDEX($F$27:$F$36,MATCH(C2182,($F$27:$F$36)*($D$27:$D$36&lt;&gt;0),0)),IF(OR(AND(D2182=0,B2182=0,B2183&lt;&gt;0),AND(D2182*D2181&lt;0,B2182&lt;&gt;0)),IF(D2182=0,C2182,C2182*(1-ABS(D2182)/(ABS(D2182)+ABS(D2181)))+C2181*(1-ABS(D2181)/(ABS(D2182)+ABS(D2181)))),"")))</f>
        <v>#NAME?</v>
      </c>
    </row>
    <row r="2183" spans="2:5" x14ac:dyDescent="0.25">
      <c r="B2183" t="e">
        <f t="shared" ca="1" si="69"/>
        <v>#NAME?</v>
      </c>
      <c r="C2183">
        <v>2140</v>
      </c>
      <c r="D2183" t="e">
        <f t="shared" ca="1" si="68"/>
        <v>#NAME?</v>
      </c>
      <c r="E2183" s="115" t="e">
        <f t="array" aca="1" ref="E2183" ca="1">IF(OR(C2182=0,AND(B2184=0,C2184=0)),"",IFERROR(INDEX($F$27:$F$36,MATCH(C2183,($F$27:$F$36)*($D$27:$D$36&lt;&gt;0),0)),IF(OR(AND(D2183=0,B2183=0,B2184&lt;&gt;0),AND(D2183*D2182&lt;0,B2183&lt;&gt;0)),IF(D2183=0,C2183,C2183*(1-ABS(D2183)/(ABS(D2183)+ABS(D2182)))+C2182*(1-ABS(D2182)/(ABS(D2183)+ABS(D2182)))),"")))</f>
        <v>#NAME?</v>
      </c>
    </row>
    <row r="2184" spans="2:5" x14ac:dyDescent="0.25">
      <c r="B2184" t="e">
        <f t="shared" ca="1" si="69"/>
        <v>#NAME?</v>
      </c>
      <c r="C2184">
        <v>2141</v>
      </c>
      <c r="D2184" t="e">
        <f t="shared" ca="1" si="68"/>
        <v>#NAME?</v>
      </c>
      <c r="E2184" s="115" t="e">
        <f t="array" aca="1" ref="E2184" ca="1">IF(OR(C2183=0,AND(B2185=0,C2185=0)),"",IFERROR(INDEX($F$27:$F$36,MATCH(C2184,($F$27:$F$36)*($D$27:$D$36&lt;&gt;0),0)),IF(OR(AND(D2184=0,B2184=0,B2185&lt;&gt;0),AND(D2184*D2183&lt;0,B2184&lt;&gt;0)),IF(D2184=0,C2184,C2184*(1-ABS(D2184)/(ABS(D2184)+ABS(D2183)))+C2183*(1-ABS(D2183)/(ABS(D2184)+ABS(D2183)))),"")))</f>
        <v>#NAME?</v>
      </c>
    </row>
    <row r="2185" spans="2:5" x14ac:dyDescent="0.25">
      <c r="B2185" t="e">
        <f t="shared" ca="1" si="69"/>
        <v>#NAME?</v>
      </c>
      <c r="C2185">
        <v>2142</v>
      </c>
      <c r="D2185" t="e">
        <f t="shared" ca="1" si="68"/>
        <v>#NAME?</v>
      </c>
      <c r="E2185" s="115" t="e">
        <f t="array" aca="1" ref="E2185" ca="1">IF(OR(C2184=0,AND(B2186=0,C2186=0)),"",IFERROR(INDEX($F$27:$F$36,MATCH(C2185,($F$27:$F$36)*($D$27:$D$36&lt;&gt;0),0)),IF(OR(AND(D2185=0,B2185=0,B2186&lt;&gt;0),AND(D2185*D2184&lt;0,B2185&lt;&gt;0)),IF(D2185=0,C2185,C2185*(1-ABS(D2185)/(ABS(D2185)+ABS(D2184)))+C2184*(1-ABS(D2184)/(ABS(D2185)+ABS(D2184)))),"")))</f>
        <v>#NAME?</v>
      </c>
    </row>
    <row r="2186" spans="2:5" x14ac:dyDescent="0.25">
      <c r="B2186" t="e">
        <f t="shared" ca="1" si="69"/>
        <v>#NAME?</v>
      </c>
      <c r="C2186">
        <v>2143</v>
      </c>
      <c r="D2186" t="e">
        <f t="shared" ca="1" si="68"/>
        <v>#NAME?</v>
      </c>
      <c r="E2186" s="115" t="e">
        <f t="array" aca="1" ref="E2186" ca="1">IF(OR(C2185=0,AND(B2187=0,C2187=0)),"",IFERROR(INDEX($F$27:$F$36,MATCH(C2186,($F$27:$F$36)*($D$27:$D$36&lt;&gt;0),0)),IF(OR(AND(D2186=0,B2186=0,B2187&lt;&gt;0),AND(D2186*D2185&lt;0,B2186&lt;&gt;0)),IF(D2186=0,C2186,C2186*(1-ABS(D2186)/(ABS(D2186)+ABS(D2185)))+C2185*(1-ABS(D2185)/(ABS(D2186)+ABS(D2185)))),"")))</f>
        <v>#NAME?</v>
      </c>
    </row>
    <row r="2187" spans="2:5" x14ac:dyDescent="0.25">
      <c r="B2187" t="e">
        <f t="shared" ca="1" si="69"/>
        <v>#NAME?</v>
      </c>
      <c r="C2187">
        <v>2144</v>
      </c>
      <c r="D2187" t="e">
        <f t="shared" ca="1" si="68"/>
        <v>#NAME?</v>
      </c>
      <c r="E2187" s="115" t="e">
        <f t="array" aca="1" ref="E2187" ca="1">IF(OR(C2186=0,AND(B2188=0,C2188=0)),"",IFERROR(INDEX($F$27:$F$36,MATCH(C2187,($F$27:$F$36)*($D$27:$D$36&lt;&gt;0),0)),IF(OR(AND(D2187=0,B2187=0,B2188&lt;&gt;0),AND(D2187*D2186&lt;0,B2187&lt;&gt;0)),IF(D2187=0,C2187,C2187*(1-ABS(D2187)/(ABS(D2187)+ABS(D2186)))+C2186*(1-ABS(D2186)/(ABS(D2187)+ABS(D2186)))),"")))</f>
        <v>#NAME?</v>
      </c>
    </row>
    <row r="2188" spans="2:5" x14ac:dyDescent="0.25">
      <c r="B2188" t="e">
        <f t="shared" ca="1" si="69"/>
        <v>#NAME?</v>
      </c>
      <c r="C2188">
        <v>2145</v>
      </c>
      <c r="D2188" t="e">
        <f t="shared" ca="1" si="68"/>
        <v>#NAME?</v>
      </c>
      <c r="E2188" s="115" t="e">
        <f t="array" aca="1" ref="E2188" ca="1">IF(OR(C2187=0,AND(B2189=0,C2189=0)),"",IFERROR(INDEX($F$27:$F$36,MATCH(C2188,($F$27:$F$36)*($D$27:$D$36&lt;&gt;0),0)),IF(OR(AND(D2188=0,B2188=0,B2189&lt;&gt;0),AND(D2188*D2187&lt;0,B2188&lt;&gt;0)),IF(D2188=0,C2188,C2188*(1-ABS(D2188)/(ABS(D2188)+ABS(D2187)))+C2187*(1-ABS(D2187)/(ABS(D2188)+ABS(D2187)))),"")))</f>
        <v>#NAME?</v>
      </c>
    </row>
    <row r="2189" spans="2:5" x14ac:dyDescent="0.25">
      <c r="B2189" t="e">
        <f t="shared" ca="1" si="69"/>
        <v>#NAME?</v>
      </c>
      <c r="C2189">
        <v>2146</v>
      </c>
      <c r="D2189" t="e">
        <f t="shared" ca="1" si="68"/>
        <v>#NAME?</v>
      </c>
      <c r="E2189" s="115" t="e">
        <f t="array" aca="1" ref="E2189" ca="1">IF(OR(C2188=0,AND(B2190=0,C2190=0)),"",IFERROR(INDEX($F$27:$F$36,MATCH(C2189,($F$27:$F$36)*($D$27:$D$36&lt;&gt;0),0)),IF(OR(AND(D2189=0,B2189=0,B2190&lt;&gt;0),AND(D2189*D2188&lt;0,B2189&lt;&gt;0)),IF(D2189=0,C2189,C2189*(1-ABS(D2189)/(ABS(D2189)+ABS(D2188)))+C2188*(1-ABS(D2188)/(ABS(D2189)+ABS(D2188)))),"")))</f>
        <v>#NAME?</v>
      </c>
    </row>
    <row r="2190" spans="2:5" x14ac:dyDescent="0.25">
      <c r="B2190" t="e">
        <f t="shared" ca="1" si="69"/>
        <v>#NAME?</v>
      </c>
      <c r="C2190">
        <v>2147</v>
      </c>
      <c r="D2190" t="e">
        <f t="shared" ca="1" si="68"/>
        <v>#NAME?</v>
      </c>
      <c r="E2190" s="115" t="e">
        <f t="array" aca="1" ref="E2190" ca="1">IF(OR(C2189=0,AND(B2191=0,C2191=0)),"",IFERROR(INDEX($F$27:$F$36,MATCH(C2190,($F$27:$F$36)*($D$27:$D$36&lt;&gt;0),0)),IF(OR(AND(D2190=0,B2190=0,B2191&lt;&gt;0),AND(D2190*D2189&lt;0,B2190&lt;&gt;0)),IF(D2190=0,C2190,C2190*(1-ABS(D2190)/(ABS(D2190)+ABS(D2189)))+C2189*(1-ABS(D2189)/(ABS(D2190)+ABS(D2189)))),"")))</f>
        <v>#NAME?</v>
      </c>
    </row>
    <row r="2191" spans="2:5" x14ac:dyDescent="0.25">
      <c r="B2191" t="e">
        <f t="shared" ca="1" si="69"/>
        <v>#NAME?</v>
      </c>
      <c r="C2191">
        <v>2148</v>
      </c>
      <c r="D2191" t="e">
        <f t="shared" ca="1" si="68"/>
        <v>#NAME?</v>
      </c>
      <c r="E2191" s="115" t="e">
        <f t="array" aca="1" ref="E2191" ca="1">IF(OR(C2190=0,AND(B2192=0,C2192=0)),"",IFERROR(INDEX($F$27:$F$36,MATCH(C2191,($F$27:$F$36)*($D$27:$D$36&lt;&gt;0),0)),IF(OR(AND(D2191=0,B2191=0,B2192&lt;&gt;0),AND(D2191*D2190&lt;0,B2191&lt;&gt;0)),IF(D2191=0,C2191,C2191*(1-ABS(D2191)/(ABS(D2191)+ABS(D2190)))+C2190*(1-ABS(D2190)/(ABS(D2191)+ABS(D2190)))),"")))</f>
        <v>#NAME?</v>
      </c>
    </row>
    <row r="2192" spans="2:5" x14ac:dyDescent="0.25">
      <c r="B2192" t="e">
        <f t="shared" ca="1" si="69"/>
        <v>#NAME?</v>
      </c>
      <c r="C2192">
        <v>2149</v>
      </c>
      <c r="D2192" t="e">
        <f t="shared" ca="1" si="68"/>
        <v>#NAME?</v>
      </c>
      <c r="E2192" s="115" t="e">
        <f t="array" aca="1" ref="E2192" ca="1">IF(OR(C2191=0,AND(B2193=0,C2193=0)),"",IFERROR(INDEX($F$27:$F$36,MATCH(C2192,($F$27:$F$36)*($D$27:$D$36&lt;&gt;0),0)),IF(OR(AND(D2192=0,B2192=0,B2193&lt;&gt;0),AND(D2192*D2191&lt;0,B2192&lt;&gt;0)),IF(D2192=0,C2192,C2192*(1-ABS(D2192)/(ABS(D2192)+ABS(D2191)))+C2191*(1-ABS(D2191)/(ABS(D2192)+ABS(D2191)))),"")))</f>
        <v>#NAME?</v>
      </c>
    </row>
    <row r="2193" spans="2:5" x14ac:dyDescent="0.25">
      <c r="B2193" t="e">
        <f t="shared" ca="1" si="69"/>
        <v>#NAME?</v>
      </c>
      <c r="C2193">
        <v>2150</v>
      </c>
      <c r="D2193" t="e">
        <f t="shared" ca="1" si="68"/>
        <v>#NAME?</v>
      </c>
      <c r="E2193" s="115" t="e">
        <f t="array" aca="1" ref="E2193" ca="1">IF(OR(C2192=0,AND(B2194=0,C2194=0)),"",IFERROR(INDEX($F$27:$F$36,MATCH(C2193,($F$27:$F$36)*($D$27:$D$36&lt;&gt;0),0)),IF(OR(AND(D2193=0,B2193=0,B2194&lt;&gt;0),AND(D2193*D2192&lt;0,B2193&lt;&gt;0)),IF(D2193=0,C2193,C2193*(1-ABS(D2193)/(ABS(D2193)+ABS(D2192)))+C2192*(1-ABS(D2192)/(ABS(D2193)+ABS(D2192)))),"")))</f>
        <v>#NAME?</v>
      </c>
    </row>
    <row r="2194" spans="2:5" x14ac:dyDescent="0.25">
      <c r="B2194" t="e">
        <f t="shared" ca="1" si="69"/>
        <v>#NAME?</v>
      </c>
      <c r="C2194">
        <v>2151</v>
      </c>
      <c r="D2194" t="e">
        <f t="shared" ca="1" si="68"/>
        <v>#NAME?</v>
      </c>
      <c r="E2194" s="115" t="e">
        <f t="array" aca="1" ref="E2194" ca="1">IF(OR(C2193=0,AND(B2195=0,C2195=0)),"",IFERROR(INDEX($F$27:$F$36,MATCH(C2194,($F$27:$F$36)*($D$27:$D$36&lt;&gt;0),0)),IF(OR(AND(D2194=0,B2194=0,B2195&lt;&gt;0),AND(D2194*D2193&lt;0,B2194&lt;&gt;0)),IF(D2194=0,C2194,C2194*(1-ABS(D2194)/(ABS(D2194)+ABS(D2193)))+C2193*(1-ABS(D2193)/(ABS(D2194)+ABS(D2193)))),"")))</f>
        <v>#NAME?</v>
      </c>
    </row>
    <row r="2195" spans="2:5" x14ac:dyDescent="0.25">
      <c r="B2195" t="e">
        <f t="shared" ca="1" si="69"/>
        <v>#NAME?</v>
      </c>
      <c r="C2195">
        <v>2152</v>
      </c>
      <c r="D2195" t="e">
        <f t="shared" ca="1" si="68"/>
        <v>#NAME?</v>
      </c>
      <c r="E2195" s="115" t="e">
        <f t="array" aca="1" ref="E2195" ca="1">IF(OR(C2194=0,AND(B2196=0,C2196=0)),"",IFERROR(INDEX($F$27:$F$36,MATCH(C2195,($F$27:$F$36)*($D$27:$D$36&lt;&gt;0),0)),IF(OR(AND(D2195=0,B2195=0,B2196&lt;&gt;0),AND(D2195*D2194&lt;0,B2195&lt;&gt;0)),IF(D2195=0,C2195,C2195*(1-ABS(D2195)/(ABS(D2195)+ABS(D2194)))+C2194*(1-ABS(D2194)/(ABS(D2195)+ABS(D2194)))),"")))</f>
        <v>#NAME?</v>
      </c>
    </row>
    <row r="2196" spans="2:5" x14ac:dyDescent="0.25">
      <c r="B2196" t="e">
        <f t="shared" ca="1" si="69"/>
        <v>#NAME?</v>
      </c>
      <c r="C2196">
        <v>2153</v>
      </c>
      <c r="D2196" t="e">
        <f t="shared" ca="1" si="68"/>
        <v>#NAME?</v>
      </c>
      <c r="E2196" s="115" t="e">
        <f t="array" aca="1" ref="E2196" ca="1">IF(OR(C2195=0,AND(B2197=0,C2197=0)),"",IFERROR(INDEX($F$27:$F$36,MATCH(C2196,($F$27:$F$36)*($D$27:$D$36&lt;&gt;0),0)),IF(OR(AND(D2196=0,B2196=0,B2197&lt;&gt;0),AND(D2196*D2195&lt;0,B2196&lt;&gt;0)),IF(D2196=0,C2196,C2196*(1-ABS(D2196)/(ABS(D2196)+ABS(D2195)))+C2195*(1-ABS(D2195)/(ABS(D2196)+ABS(D2195)))),"")))</f>
        <v>#NAME?</v>
      </c>
    </row>
    <row r="2197" spans="2:5" x14ac:dyDescent="0.25">
      <c r="B2197" t="e">
        <f t="shared" ca="1" si="69"/>
        <v>#NAME?</v>
      </c>
      <c r="C2197">
        <v>2154</v>
      </c>
      <c r="D2197" t="e">
        <f t="shared" ca="1" si="68"/>
        <v>#NAME?</v>
      </c>
      <c r="E2197" s="115" t="e">
        <f t="array" aca="1" ref="E2197" ca="1">IF(OR(C2196=0,AND(B2198=0,C2198=0)),"",IFERROR(INDEX($F$27:$F$36,MATCH(C2197,($F$27:$F$36)*($D$27:$D$36&lt;&gt;0),0)),IF(OR(AND(D2197=0,B2197=0,B2198&lt;&gt;0),AND(D2197*D2196&lt;0,B2197&lt;&gt;0)),IF(D2197=0,C2197,C2197*(1-ABS(D2197)/(ABS(D2197)+ABS(D2196)))+C2196*(1-ABS(D2196)/(ABS(D2197)+ABS(D2196)))),"")))</f>
        <v>#NAME?</v>
      </c>
    </row>
    <row r="2198" spans="2:5" x14ac:dyDescent="0.25">
      <c r="B2198" t="e">
        <f t="shared" ca="1" si="69"/>
        <v>#NAME?</v>
      </c>
      <c r="C2198">
        <v>2155</v>
      </c>
      <c r="D2198" t="e">
        <f t="shared" ca="1" si="68"/>
        <v>#NAME?</v>
      </c>
      <c r="E2198" s="115" t="e">
        <f t="array" aca="1" ref="E2198" ca="1">IF(OR(C2197=0,AND(B2199=0,C2199=0)),"",IFERROR(INDEX($F$27:$F$36,MATCH(C2198,($F$27:$F$36)*($D$27:$D$36&lt;&gt;0),0)),IF(OR(AND(D2198=0,B2198=0,B2199&lt;&gt;0),AND(D2198*D2197&lt;0,B2198&lt;&gt;0)),IF(D2198=0,C2198,C2198*(1-ABS(D2198)/(ABS(D2198)+ABS(D2197)))+C2197*(1-ABS(D2197)/(ABS(D2198)+ABS(D2197)))),"")))</f>
        <v>#NAME?</v>
      </c>
    </row>
    <row r="2199" spans="2:5" x14ac:dyDescent="0.25">
      <c r="B2199" t="e">
        <f t="shared" ca="1" si="69"/>
        <v>#NAME?</v>
      </c>
      <c r="C2199">
        <v>2156</v>
      </c>
      <c r="D2199" t="e">
        <f t="shared" ca="1" si="68"/>
        <v>#NAME?</v>
      </c>
      <c r="E2199" s="115" t="e">
        <f t="array" aca="1" ref="E2199" ca="1">IF(OR(C2198=0,AND(B2200=0,C2200=0)),"",IFERROR(INDEX($F$27:$F$36,MATCH(C2199,($F$27:$F$36)*($D$27:$D$36&lt;&gt;0),0)),IF(OR(AND(D2199=0,B2199=0,B2200&lt;&gt;0),AND(D2199*D2198&lt;0,B2199&lt;&gt;0)),IF(D2199=0,C2199,C2199*(1-ABS(D2199)/(ABS(D2199)+ABS(D2198)))+C2198*(1-ABS(D2198)/(ABS(D2199)+ABS(D2198)))),"")))</f>
        <v>#NAME?</v>
      </c>
    </row>
    <row r="2200" spans="2:5" x14ac:dyDescent="0.25">
      <c r="B2200" t="e">
        <f t="shared" ca="1" si="69"/>
        <v>#NAME?</v>
      </c>
      <c r="C2200">
        <v>2157</v>
      </c>
      <c r="D2200" t="e">
        <f t="shared" ca="1" si="68"/>
        <v>#NAME?</v>
      </c>
      <c r="E2200" s="115" t="e">
        <f t="array" aca="1" ref="E2200" ca="1">IF(OR(C2199=0,AND(B2201=0,C2201=0)),"",IFERROR(INDEX($F$27:$F$36,MATCH(C2200,($F$27:$F$36)*($D$27:$D$36&lt;&gt;0),0)),IF(OR(AND(D2200=0,B2200=0,B2201&lt;&gt;0),AND(D2200*D2199&lt;0,B2200&lt;&gt;0)),IF(D2200=0,C2200,C2200*(1-ABS(D2200)/(ABS(D2200)+ABS(D2199)))+C2199*(1-ABS(D2199)/(ABS(D2200)+ABS(D2199)))),"")))</f>
        <v>#NAME?</v>
      </c>
    </row>
    <row r="2201" spans="2:5" x14ac:dyDescent="0.25">
      <c r="B2201" t="e">
        <f t="shared" ca="1" si="69"/>
        <v>#NAME?</v>
      </c>
      <c r="C2201">
        <v>2158</v>
      </c>
      <c r="D2201" t="e">
        <f t="shared" ca="1" si="68"/>
        <v>#NAME?</v>
      </c>
      <c r="E2201" s="115" t="e">
        <f t="array" aca="1" ref="E2201" ca="1">IF(OR(C2200=0,AND(B2202=0,C2202=0)),"",IFERROR(INDEX($F$27:$F$36,MATCH(C2201,($F$27:$F$36)*($D$27:$D$36&lt;&gt;0),0)),IF(OR(AND(D2201=0,B2201=0,B2202&lt;&gt;0),AND(D2201*D2200&lt;0,B2201&lt;&gt;0)),IF(D2201=0,C2201,C2201*(1-ABS(D2201)/(ABS(D2201)+ABS(D2200)))+C2200*(1-ABS(D2200)/(ABS(D2201)+ABS(D2200)))),"")))</f>
        <v>#NAME?</v>
      </c>
    </row>
    <row r="2202" spans="2:5" x14ac:dyDescent="0.25">
      <c r="B2202" t="e">
        <f t="shared" ca="1" si="69"/>
        <v>#NAME?</v>
      </c>
      <c r="C2202">
        <v>2159</v>
      </c>
      <c r="D2202" t="e">
        <f t="shared" ca="1" si="68"/>
        <v>#NAME?</v>
      </c>
      <c r="E2202" s="115" t="e">
        <f t="array" aca="1" ref="E2202" ca="1">IF(OR(C2201=0,AND(B2203=0,C2203=0)),"",IFERROR(INDEX($F$27:$F$36,MATCH(C2202,($F$27:$F$36)*($D$27:$D$36&lt;&gt;0),0)),IF(OR(AND(D2202=0,B2202=0,B2203&lt;&gt;0),AND(D2202*D2201&lt;0,B2202&lt;&gt;0)),IF(D2202=0,C2202,C2202*(1-ABS(D2202)/(ABS(D2202)+ABS(D2201)))+C2201*(1-ABS(D2201)/(ABS(D2202)+ABS(D2201)))),"")))</f>
        <v>#NAME?</v>
      </c>
    </row>
    <row r="2203" spans="2:5" x14ac:dyDescent="0.25">
      <c r="B2203" t="e">
        <f t="shared" ca="1" si="69"/>
        <v>#NAME?</v>
      </c>
      <c r="C2203">
        <v>2160</v>
      </c>
      <c r="D2203" t="e">
        <f t="shared" ca="1" si="68"/>
        <v>#NAME?</v>
      </c>
      <c r="E2203" s="115" t="e">
        <f t="array" aca="1" ref="E2203" ca="1">IF(OR(C2202=0,AND(B2204=0,C2204=0)),"",IFERROR(INDEX($F$27:$F$36,MATCH(C2203,($F$27:$F$36)*($D$27:$D$36&lt;&gt;0),0)),IF(OR(AND(D2203=0,B2203=0,B2204&lt;&gt;0),AND(D2203*D2202&lt;0,B2203&lt;&gt;0)),IF(D2203=0,C2203,C2203*(1-ABS(D2203)/(ABS(D2203)+ABS(D2202)))+C2202*(1-ABS(D2202)/(ABS(D2203)+ABS(D2202)))),"")))</f>
        <v>#NAME?</v>
      </c>
    </row>
    <row r="2204" spans="2:5" x14ac:dyDescent="0.25">
      <c r="B2204" t="e">
        <f t="shared" ca="1" si="69"/>
        <v>#NAME?</v>
      </c>
      <c r="C2204">
        <v>2161</v>
      </c>
      <c r="D2204" t="e">
        <f t="shared" ca="1" si="68"/>
        <v>#NAME?</v>
      </c>
      <c r="E2204" s="115" t="e">
        <f t="array" aca="1" ref="E2204" ca="1">IF(OR(C2203=0,AND(B2205=0,C2205=0)),"",IFERROR(INDEX($F$27:$F$36,MATCH(C2204,($F$27:$F$36)*($D$27:$D$36&lt;&gt;0),0)),IF(OR(AND(D2204=0,B2204=0,B2205&lt;&gt;0),AND(D2204*D2203&lt;0,B2204&lt;&gt;0)),IF(D2204=0,C2204,C2204*(1-ABS(D2204)/(ABS(D2204)+ABS(D2203)))+C2203*(1-ABS(D2203)/(ABS(D2204)+ABS(D2203)))),"")))</f>
        <v>#NAME?</v>
      </c>
    </row>
    <row r="2205" spans="2:5" x14ac:dyDescent="0.25">
      <c r="B2205" t="e">
        <f t="shared" ca="1" si="69"/>
        <v>#NAME?</v>
      </c>
      <c r="C2205">
        <v>2162</v>
      </c>
      <c r="D2205" t="e">
        <f t="shared" ca="1" si="68"/>
        <v>#NAME?</v>
      </c>
      <c r="E2205" s="115" t="e">
        <f t="array" aca="1" ref="E2205" ca="1">IF(OR(C2204=0,AND(B2206=0,C2206=0)),"",IFERROR(INDEX($F$27:$F$36,MATCH(C2205,($F$27:$F$36)*($D$27:$D$36&lt;&gt;0),0)),IF(OR(AND(D2205=0,B2205=0,B2206&lt;&gt;0),AND(D2205*D2204&lt;0,B2205&lt;&gt;0)),IF(D2205=0,C2205,C2205*(1-ABS(D2205)/(ABS(D2205)+ABS(D2204)))+C2204*(1-ABS(D2204)/(ABS(D2205)+ABS(D2204)))),"")))</f>
        <v>#NAME?</v>
      </c>
    </row>
    <row r="2206" spans="2:5" x14ac:dyDescent="0.25">
      <c r="B2206" t="e">
        <f t="shared" ca="1" si="69"/>
        <v>#NAME?</v>
      </c>
      <c r="C2206">
        <v>2163</v>
      </c>
      <c r="D2206" t="e">
        <f t="shared" ca="1" si="68"/>
        <v>#NAME?</v>
      </c>
      <c r="E2206" s="115" t="e">
        <f t="array" aca="1" ref="E2206" ca="1">IF(OR(C2205=0,AND(B2207=0,C2207=0)),"",IFERROR(INDEX($F$27:$F$36,MATCH(C2206,($F$27:$F$36)*($D$27:$D$36&lt;&gt;0),0)),IF(OR(AND(D2206=0,B2206=0,B2207&lt;&gt;0),AND(D2206*D2205&lt;0,B2206&lt;&gt;0)),IF(D2206=0,C2206,C2206*(1-ABS(D2206)/(ABS(D2206)+ABS(D2205)))+C2205*(1-ABS(D2205)/(ABS(D2206)+ABS(D2205)))),"")))</f>
        <v>#NAME?</v>
      </c>
    </row>
    <row r="2207" spans="2:5" x14ac:dyDescent="0.25">
      <c r="B2207" t="e">
        <f t="shared" ca="1" si="69"/>
        <v>#NAME?</v>
      </c>
      <c r="C2207">
        <v>2164</v>
      </c>
      <c r="D2207" t="e">
        <f t="shared" ca="1" si="68"/>
        <v>#NAME?</v>
      </c>
      <c r="E2207" s="115" t="e">
        <f t="array" aca="1" ref="E2207" ca="1">IF(OR(C2206=0,AND(B2208=0,C2208=0)),"",IFERROR(INDEX($F$27:$F$36,MATCH(C2207,($F$27:$F$36)*($D$27:$D$36&lt;&gt;0),0)),IF(OR(AND(D2207=0,B2207=0,B2208&lt;&gt;0),AND(D2207*D2206&lt;0,B2207&lt;&gt;0)),IF(D2207=0,C2207,C2207*(1-ABS(D2207)/(ABS(D2207)+ABS(D2206)))+C2206*(1-ABS(D2206)/(ABS(D2207)+ABS(D2206)))),"")))</f>
        <v>#NAME?</v>
      </c>
    </row>
    <row r="2208" spans="2:5" x14ac:dyDescent="0.25">
      <c r="B2208" t="e">
        <f t="shared" ca="1" si="69"/>
        <v>#NAME?</v>
      </c>
      <c r="C2208">
        <v>2165</v>
      </c>
      <c r="D2208" t="e">
        <f t="shared" ca="1" si="68"/>
        <v>#NAME?</v>
      </c>
      <c r="E2208" s="115" t="e">
        <f t="array" aca="1" ref="E2208" ca="1">IF(OR(C2207=0,AND(B2209=0,C2209=0)),"",IFERROR(INDEX($F$27:$F$36,MATCH(C2208,($F$27:$F$36)*($D$27:$D$36&lt;&gt;0),0)),IF(OR(AND(D2208=0,B2208=0,B2209&lt;&gt;0),AND(D2208*D2207&lt;0,B2208&lt;&gt;0)),IF(D2208=0,C2208,C2208*(1-ABS(D2208)/(ABS(D2208)+ABS(D2207)))+C2207*(1-ABS(D2207)/(ABS(D2208)+ABS(D2207)))),"")))</f>
        <v>#NAME?</v>
      </c>
    </row>
    <row r="2209" spans="2:5" x14ac:dyDescent="0.25">
      <c r="B2209" t="e">
        <f t="shared" ca="1" si="69"/>
        <v>#NAME?</v>
      </c>
      <c r="C2209">
        <v>2166</v>
      </c>
      <c r="D2209" t="e">
        <f t="shared" ca="1" si="68"/>
        <v>#NAME?</v>
      </c>
      <c r="E2209" s="115" t="e">
        <f t="array" aca="1" ref="E2209" ca="1">IF(OR(C2208=0,AND(B2210=0,C2210=0)),"",IFERROR(INDEX($F$27:$F$36,MATCH(C2209,($F$27:$F$36)*($D$27:$D$36&lt;&gt;0),0)),IF(OR(AND(D2209=0,B2209=0,B2210&lt;&gt;0),AND(D2209*D2208&lt;0,B2209&lt;&gt;0)),IF(D2209=0,C2209,C2209*(1-ABS(D2209)/(ABS(D2209)+ABS(D2208)))+C2208*(1-ABS(D2208)/(ABS(D2209)+ABS(D2208)))),"")))</f>
        <v>#NAME?</v>
      </c>
    </row>
    <row r="2210" spans="2:5" x14ac:dyDescent="0.25">
      <c r="B2210" t="e">
        <f t="shared" ca="1" si="69"/>
        <v>#NAME?</v>
      </c>
      <c r="C2210">
        <v>2167</v>
      </c>
      <c r="D2210" t="e">
        <f t="shared" ca="1" si="68"/>
        <v>#NAME?</v>
      </c>
      <c r="E2210" s="115" t="e">
        <f t="array" aca="1" ref="E2210" ca="1">IF(OR(C2209=0,AND(B2211=0,C2211=0)),"",IFERROR(INDEX($F$27:$F$36,MATCH(C2210,($F$27:$F$36)*($D$27:$D$36&lt;&gt;0),0)),IF(OR(AND(D2210=0,B2210=0,B2211&lt;&gt;0),AND(D2210*D2209&lt;0,B2210&lt;&gt;0)),IF(D2210=0,C2210,C2210*(1-ABS(D2210)/(ABS(D2210)+ABS(D2209)))+C2209*(1-ABS(D2209)/(ABS(D2210)+ABS(D2209)))),"")))</f>
        <v>#NAME?</v>
      </c>
    </row>
    <row r="2211" spans="2:5" x14ac:dyDescent="0.25">
      <c r="B2211" t="e">
        <f t="shared" ca="1" si="69"/>
        <v>#NAME?</v>
      </c>
      <c r="C2211">
        <v>2168</v>
      </c>
      <c r="D2211" t="e">
        <f t="shared" ca="1" si="68"/>
        <v>#NAME?</v>
      </c>
      <c r="E2211" s="115" t="e">
        <f t="array" aca="1" ref="E2211" ca="1">IF(OR(C2210=0,AND(B2212=0,C2212=0)),"",IFERROR(INDEX($F$27:$F$36,MATCH(C2211,($F$27:$F$36)*($D$27:$D$36&lt;&gt;0),0)),IF(OR(AND(D2211=0,B2211=0,B2212&lt;&gt;0),AND(D2211*D2210&lt;0,B2211&lt;&gt;0)),IF(D2211=0,C2211,C2211*(1-ABS(D2211)/(ABS(D2211)+ABS(D2210)))+C2210*(1-ABS(D2210)/(ABS(D2211)+ABS(D2210)))),"")))</f>
        <v>#NAME?</v>
      </c>
    </row>
    <row r="2212" spans="2:5" x14ac:dyDescent="0.25">
      <c r="B2212" t="e">
        <f t="shared" ca="1" si="69"/>
        <v>#NAME?</v>
      </c>
      <c r="C2212">
        <v>2169</v>
      </c>
      <c r="D2212" t="e">
        <f t="shared" ca="1" si="68"/>
        <v>#NAME?</v>
      </c>
      <c r="E2212" s="115" t="e">
        <f t="array" aca="1" ref="E2212" ca="1">IF(OR(C2211=0,AND(B2213=0,C2213=0)),"",IFERROR(INDEX($F$27:$F$36,MATCH(C2212,($F$27:$F$36)*($D$27:$D$36&lt;&gt;0),0)),IF(OR(AND(D2212=0,B2212=0,B2213&lt;&gt;0),AND(D2212*D2211&lt;0,B2212&lt;&gt;0)),IF(D2212=0,C2212,C2212*(1-ABS(D2212)/(ABS(D2212)+ABS(D2211)))+C2211*(1-ABS(D2211)/(ABS(D2212)+ABS(D2211)))),"")))</f>
        <v>#NAME?</v>
      </c>
    </row>
    <row r="2213" spans="2:5" x14ac:dyDescent="0.25">
      <c r="B2213" t="e">
        <f t="shared" ca="1" si="69"/>
        <v>#NAME?</v>
      </c>
      <c r="C2213">
        <v>2170</v>
      </c>
      <c r="D2213" t="e">
        <f t="shared" ca="1" si="68"/>
        <v>#NAME?</v>
      </c>
      <c r="E2213" s="115" t="e">
        <f t="array" aca="1" ref="E2213" ca="1">IF(OR(C2212=0,AND(B2214=0,C2214=0)),"",IFERROR(INDEX($F$27:$F$36,MATCH(C2213,($F$27:$F$36)*($D$27:$D$36&lt;&gt;0),0)),IF(OR(AND(D2213=0,B2213=0,B2214&lt;&gt;0),AND(D2213*D2212&lt;0,B2213&lt;&gt;0)),IF(D2213=0,C2213,C2213*(1-ABS(D2213)/(ABS(D2213)+ABS(D2212)))+C2212*(1-ABS(D2212)/(ABS(D2213)+ABS(D2212)))),"")))</f>
        <v>#NAME?</v>
      </c>
    </row>
    <row r="2214" spans="2:5" x14ac:dyDescent="0.25">
      <c r="B2214" t="e">
        <f t="shared" ca="1" si="69"/>
        <v>#NAME?</v>
      </c>
      <c r="C2214">
        <v>2171</v>
      </c>
      <c r="D2214" t="e">
        <f t="shared" ca="1" si="68"/>
        <v>#NAME?</v>
      </c>
      <c r="E2214" s="115" t="e">
        <f t="array" aca="1" ref="E2214" ca="1">IF(OR(C2213=0,AND(B2215=0,C2215=0)),"",IFERROR(INDEX($F$27:$F$36,MATCH(C2214,($F$27:$F$36)*($D$27:$D$36&lt;&gt;0),0)),IF(OR(AND(D2214=0,B2214=0,B2215&lt;&gt;0),AND(D2214*D2213&lt;0,B2214&lt;&gt;0)),IF(D2214=0,C2214,C2214*(1-ABS(D2214)/(ABS(D2214)+ABS(D2213)))+C2213*(1-ABS(D2213)/(ABS(D2214)+ABS(D2213)))),"")))</f>
        <v>#NAME?</v>
      </c>
    </row>
    <row r="2215" spans="2:5" x14ac:dyDescent="0.25">
      <c r="B2215" t="e">
        <f t="shared" ca="1" si="69"/>
        <v>#NAME?</v>
      </c>
      <c r="C2215">
        <v>2172</v>
      </c>
      <c r="D2215" t="e">
        <f t="shared" ca="1" si="68"/>
        <v>#NAME?</v>
      </c>
      <c r="E2215" s="115" t="e">
        <f t="array" aca="1" ref="E2215" ca="1">IF(OR(C2214=0,AND(B2216=0,C2216=0)),"",IFERROR(INDEX($F$27:$F$36,MATCH(C2215,($F$27:$F$36)*($D$27:$D$36&lt;&gt;0),0)),IF(OR(AND(D2215=0,B2215=0,B2216&lt;&gt;0),AND(D2215*D2214&lt;0,B2215&lt;&gt;0)),IF(D2215=0,C2215,C2215*(1-ABS(D2215)/(ABS(D2215)+ABS(D2214)))+C2214*(1-ABS(D2214)/(ABS(D2215)+ABS(D2214)))),"")))</f>
        <v>#NAME?</v>
      </c>
    </row>
    <row r="2216" spans="2:5" x14ac:dyDescent="0.25">
      <c r="B2216" t="e">
        <f t="shared" ca="1" si="69"/>
        <v>#NAME?</v>
      </c>
      <c r="C2216">
        <v>2173</v>
      </c>
      <c r="D2216" t="e">
        <f t="shared" ca="1" si="68"/>
        <v>#NAME?</v>
      </c>
      <c r="E2216" s="115" t="e">
        <f t="array" aca="1" ref="E2216" ca="1">IF(OR(C2215=0,AND(B2217=0,C2217=0)),"",IFERROR(INDEX($F$27:$F$36,MATCH(C2216,($F$27:$F$36)*($D$27:$D$36&lt;&gt;0),0)),IF(OR(AND(D2216=0,B2216=0,B2217&lt;&gt;0),AND(D2216*D2215&lt;0,B2216&lt;&gt;0)),IF(D2216=0,C2216,C2216*(1-ABS(D2216)/(ABS(D2216)+ABS(D2215)))+C2215*(1-ABS(D2215)/(ABS(D2216)+ABS(D2215)))),"")))</f>
        <v>#NAME?</v>
      </c>
    </row>
    <row r="2217" spans="2:5" x14ac:dyDescent="0.25">
      <c r="B2217" t="e">
        <f t="shared" ca="1" si="69"/>
        <v>#NAME?</v>
      </c>
      <c r="C2217">
        <v>2174</v>
      </c>
      <c r="D2217" t="e">
        <f t="shared" ca="1" si="68"/>
        <v>#NAME?</v>
      </c>
      <c r="E2217" s="115" t="e">
        <f t="array" aca="1" ref="E2217" ca="1">IF(OR(C2216=0,AND(B2218=0,C2218=0)),"",IFERROR(INDEX($F$27:$F$36,MATCH(C2217,($F$27:$F$36)*($D$27:$D$36&lt;&gt;0),0)),IF(OR(AND(D2217=0,B2217=0,B2218&lt;&gt;0),AND(D2217*D2216&lt;0,B2217&lt;&gt;0)),IF(D2217=0,C2217,C2217*(1-ABS(D2217)/(ABS(D2217)+ABS(D2216)))+C2216*(1-ABS(D2216)/(ABS(D2217)+ABS(D2216)))),"")))</f>
        <v>#NAME?</v>
      </c>
    </row>
    <row r="2218" spans="2:5" x14ac:dyDescent="0.25">
      <c r="B2218" t="e">
        <f t="shared" ca="1" si="69"/>
        <v>#NAME?</v>
      </c>
      <c r="C2218">
        <v>2175</v>
      </c>
      <c r="D2218" t="e">
        <f t="shared" ca="1" si="68"/>
        <v>#NAME?</v>
      </c>
      <c r="E2218" s="115" t="e">
        <f t="array" aca="1" ref="E2218" ca="1">IF(OR(C2217=0,AND(B2219=0,C2219=0)),"",IFERROR(INDEX($F$27:$F$36,MATCH(C2218,($F$27:$F$36)*($D$27:$D$36&lt;&gt;0),0)),IF(OR(AND(D2218=0,B2218=0,B2219&lt;&gt;0),AND(D2218*D2217&lt;0,B2218&lt;&gt;0)),IF(D2218=0,C2218,C2218*(1-ABS(D2218)/(ABS(D2218)+ABS(D2217)))+C2217*(1-ABS(D2217)/(ABS(D2218)+ABS(D2217)))),"")))</f>
        <v>#NAME?</v>
      </c>
    </row>
    <row r="2219" spans="2:5" x14ac:dyDescent="0.25">
      <c r="B2219" t="e">
        <f t="shared" ca="1" si="69"/>
        <v>#NAME?</v>
      </c>
      <c r="C2219">
        <v>2176</v>
      </c>
      <c r="D2219" t="e">
        <f t="shared" ref="D2219:D2282" ca="1" si="70">SUMPRODUCT(--($J$27:$J$37&gt;0),--($C2219-$F$27:$F$37&gt;0),($D$27:$D$37),($C2219-$F$27:$F$37))+SUMPRODUCT(--($J$27:$J$37&lt;0),--($F$27:$F$37-$C2219&gt;0),($D$27:$D$37),($F$27:$F$37-$C2219))-SUMPRODUCT($D$27:$D$37,$E$27:$E$37)</f>
        <v>#NAME?</v>
      </c>
      <c r="E2219" s="115" t="e">
        <f t="array" aca="1" ref="E2219" ca="1">IF(OR(C2218=0,AND(B2220=0,C2220=0)),"",IFERROR(INDEX($F$27:$F$36,MATCH(C2219,($F$27:$F$36)*($D$27:$D$36&lt;&gt;0),0)),IF(OR(AND(D2219=0,B2219=0,B2220&lt;&gt;0),AND(D2219*D2218&lt;0,B2219&lt;&gt;0)),IF(D2219=0,C2219,C2219*(1-ABS(D2219)/(ABS(D2219)+ABS(D2218)))+C2218*(1-ABS(D2218)/(ABS(D2219)+ABS(D2218)))),"")))</f>
        <v>#NAME?</v>
      </c>
    </row>
    <row r="2220" spans="2:5" x14ac:dyDescent="0.25">
      <c r="B2220" t="e">
        <f t="shared" ref="B2220:B2283" ca="1" si="71">ROUND((D2220-D2219)/(C2220-C2219),12)</f>
        <v>#NAME?</v>
      </c>
      <c r="C2220">
        <v>2177</v>
      </c>
      <c r="D2220" t="e">
        <f t="shared" ca="1" si="70"/>
        <v>#NAME?</v>
      </c>
      <c r="E2220" s="115" t="e">
        <f t="array" aca="1" ref="E2220" ca="1">IF(OR(C2219=0,AND(B2221=0,C2221=0)),"",IFERROR(INDEX($F$27:$F$36,MATCH(C2220,($F$27:$F$36)*($D$27:$D$36&lt;&gt;0),0)),IF(OR(AND(D2220=0,B2220=0,B2221&lt;&gt;0),AND(D2220*D2219&lt;0,B2220&lt;&gt;0)),IF(D2220=0,C2220,C2220*(1-ABS(D2220)/(ABS(D2220)+ABS(D2219)))+C2219*(1-ABS(D2219)/(ABS(D2220)+ABS(D2219)))),"")))</f>
        <v>#NAME?</v>
      </c>
    </row>
    <row r="2221" spans="2:5" x14ac:dyDescent="0.25">
      <c r="B2221" t="e">
        <f t="shared" ca="1" si="71"/>
        <v>#NAME?</v>
      </c>
      <c r="C2221">
        <v>2178</v>
      </c>
      <c r="D2221" t="e">
        <f t="shared" ca="1" si="70"/>
        <v>#NAME?</v>
      </c>
      <c r="E2221" s="115" t="e">
        <f t="array" aca="1" ref="E2221" ca="1">IF(OR(C2220=0,AND(B2222=0,C2222=0)),"",IFERROR(INDEX($F$27:$F$36,MATCH(C2221,($F$27:$F$36)*($D$27:$D$36&lt;&gt;0),0)),IF(OR(AND(D2221=0,B2221=0,B2222&lt;&gt;0),AND(D2221*D2220&lt;0,B2221&lt;&gt;0)),IF(D2221=0,C2221,C2221*(1-ABS(D2221)/(ABS(D2221)+ABS(D2220)))+C2220*(1-ABS(D2220)/(ABS(D2221)+ABS(D2220)))),"")))</f>
        <v>#NAME?</v>
      </c>
    </row>
    <row r="2222" spans="2:5" x14ac:dyDescent="0.25">
      <c r="B2222" t="e">
        <f t="shared" ca="1" si="71"/>
        <v>#NAME?</v>
      </c>
      <c r="C2222">
        <v>2179</v>
      </c>
      <c r="D2222" t="e">
        <f t="shared" ca="1" si="70"/>
        <v>#NAME?</v>
      </c>
      <c r="E2222" s="115" t="e">
        <f t="array" aca="1" ref="E2222" ca="1">IF(OR(C2221=0,AND(B2223=0,C2223=0)),"",IFERROR(INDEX($F$27:$F$36,MATCH(C2222,($F$27:$F$36)*($D$27:$D$36&lt;&gt;0),0)),IF(OR(AND(D2222=0,B2222=0,B2223&lt;&gt;0),AND(D2222*D2221&lt;0,B2222&lt;&gt;0)),IF(D2222=0,C2222,C2222*(1-ABS(D2222)/(ABS(D2222)+ABS(D2221)))+C2221*(1-ABS(D2221)/(ABS(D2222)+ABS(D2221)))),"")))</f>
        <v>#NAME?</v>
      </c>
    </row>
    <row r="2223" spans="2:5" x14ac:dyDescent="0.25">
      <c r="B2223" t="e">
        <f t="shared" ca="1" si="71"/>
        <v>#NAME?</v>
      </c>
      <c r="C2223">
        <v>2180</v>
      </c>
      <c r="D2223" t="e">
        <f t="shared" ca="1" si="70"/>
        <v>#NAME?</v>
      </c>
      <c r="E2223" s="115" t="e">
        <f t="array" aca="1" ref="E2223" ca="1">IF(OR(C2222=0,AND(B2224=0,C2224=0)),"",IFERROR(INDEX($F$27:$F$36,MATCH(C2223,($F$27:$F$36)*($D$27:$D$36&lt;&gt;0),0)),IF(OR(AND(D2223=0,B2223=0,B2224&lt;&gt;0),AND(D2223*D2222&lt;0,B2223&lt;&gt;0)),IF(D2223=0,C2223,C2223*(1-ABS(D2223)/(ABS(D2223)+ABS(D2222)))+C2222*(1-ABS(D2222)/(ABS(D2223)+ABS(D2222)))),"")))</f>
        <v>#NAME?</v>
      </c>
    </row>
    <row r="2224" spans="2:5" x14ac:dyDescent="0.25">
      <c r="B2224" t="e">
        <f t="shared" ca="1" si="71"/>
        <v>#NAME?</v>
      </c>
      <c r="C2224">
        <v>2181</v>
      </c>
      <c r="D2224" t="e">
        <f t="shared" ca="1" si="70"/>
        <v>#NAME?</v>
      </c>
      <c r="E2224" s="115" t="e">
        <f t="array" aca="1" ref="E2224" ca="1">IF(OR(C2223=0,AND(B2225=0,C2225=0)),"",IFERROR(INDEX($F$27:$F$36,MATCH(C2224,($F$27:$F$36)*($D$27:$D$36&lt;&gt;0),0)),IF(OR(AND(D2224=0,B2224=0,B2225&lt;&gt;0),AND(D2224*D2223&lt;0,B2224&lt;&gt;0)),IF(D2224=0,C2224,C2224*(1-ABS(D2224)/(ABS(D2224)+ABS(D2223)))+C2223*(1-ABS(D2223)/(ABS(D2224)+ABS(D2223)))),"")))</f>
        <v>#NAME?</v>
      </c>
    </row>
    <row r="2225" spans="2:5" x14ac:dyDescent="0.25">
      <c r="B2225" t="e">
        <f t="shared" ca="1" si="71"/>
        <v>#NAME?</v>
      </c>
      <c r="C2225">
        <v>2182</v>
      </c>
      <c r="D2225" t="e">
        <f t="shared" ca="1" si="70"/>
        <v>#NAME?</v>
      </c>
      <c r="E2225" s="115" t="e">
        <f t="array" aca="1" ref="E2225" ca="1">IF(OR(C2224=0,AND(B2226=0,C2226=0)),"",IFERROR(INDEX($F$27:$F$36,MATCH(C2225,($F$27:$F$36)*($D$27:$D$36&lt;&gt;0),0)),IF(OR(AND(D2225=0,B2225=0,B2226&lt;&gt;0),AND(D2225*D2224&lt;0,B2225&lt;&gt;0)),IF(D2225=0,C2225,C2225*(1-ABS(D2225)/(ABS(D2225)+ABS(D2224)))+C2224*(1-ABS(D2224)/(ABS(D2225)+ABS(D2224)))),"")))</f>
        <v>#NAME?</v>
      </c>
    </row>
    <row r="2226" spans="2:5" x14ac:dyDescent="0.25">
      <c r="B2226" t="e">
        <f t="shared" ca="1" si="71"/>
        <v>#NAME?</v>
      </c>
      <c r="C2226">
        <v>2183</v>
      </c>
      <c r="D2226" t="e">
        <f t="shared" ca="1" si="70"/>
        <v>#NAME?</v>
      </c>
      <c r="E2226" s="115" t="e">
        <f t="array" aca="1" ref="E2226" ca="1">IF(OR(C2225=0,AND(B2227=0,C2227=0)),"",IFERROR(INDEX($F$27:$F$36,MATCH(C2226,($F$27:$F$36)*($D$27:$D$36&lt;&gt;0),0)),IF(OR(AND(D2226=0,B2226=0,B2227&lt;&gt;0),AND(D2226*D2225&lt;0,B2226&lt;&gt;0)),IF(D2226=0,C2226,C2226*(1-ABS(D2226)/(ABS(D2226)+ABS(D2225)))+C2225*(1-ABS(D2225)/(ABS(D2226)+ABS(D2225)))),"")))</f>
        <v>#NAME?</v>
      </c>
    </row>
    <row r="2227" spans="2:5" x14ac:dyDescent="0.25">
      <c r="B2227" t="e">
        <f t="shared" ca="1" si="71"/>
        <v>#NAME?</v>
      </c>
      <c r="C2227">
        <v>2184</v>
      </c>
      <c r="D2227" t="e">
        <f t="shared" ca="1" si="70"/>
        <v>#NAME?</v>
      </c>
      <c r="E2227" s="115" t="e">
        <f t="array" aca="1" ref="E2227" ca="1">IF(OR(C2226=0,AND(B2228=0,C2228=0)),"",IFERROR(INDEX($F$27:$F$36,MATCH(C2227,($F$27:$F$36)*($D$27:$D$36&lt;&gt;0),0)),IF(OR(AND(D2227=0,B2227=0,B2228&lt;&gt;0),AND(D2227*D2226&lt;0,B2227&lt;&gt;0)),IF(D2227=0,C2227,C2227*(1-ABS(D2227)/(ABS(D2227)+ABS(D2226)))+C2226*(1-ABS(D2226)/(ABS(D2227)+ABS(D2226)))),"")))</f>
        <v>#NAME?</v>
      </c>
    </row>
    <row r="2228" spans="2:5" x14ac:dyDescent="0.25">
      <c r="B2228" t="e">
        <f t="shared" ca="1" si="71"/>
        <v>#NAME?</v>
      </c>
      <c r="C2228">
        <v>2185</v>
      </c>
      <c r="D2228" t="e">
        <f t="shared" ca="1" si="70"/>
        <v>#NAME?</v>
      </c>
      <c r="E2228" s="115" t="e">
        <f t="array" aca="1" ref="E2228" ca="1">IF(OR(C2227=0,AND(B2229=0,C2229=0)),"",IFERROR(INDEX($F$27:$F$36,MATCH(C2228,($F$27:$F$36)*($D$27:$D$36&lt;&gt;0),0)),IF(OR(AND(D2228=0,B2228=0,B2229&lt;&gt;0),AND(D2228*D2227&lt;0,B2228&lt;&gt;0)),IF(D2228=0,C2228,C2228*(1-ABS(D2228)/(ABS(D2228)+ABS(D2227)))+C2227*(1-ABS(D2227)/(ABS(D2228)+ABS(D2227)))),"")))</f>
        <v>#NAME?</v>
      </c>
    </row>
    <row r="2229" spans="2:5" x14ac:dyDescent="0.25">
      <c r="B2229" t="e">
        <f t="shared" ca="1" si="71"/>
        <v>#NAME?</v>
      </c>
      <c r="C2229">
        <v>2186</v>
      </c>
      <c r="D2229" t="e">
        <f t="shared" ca="1" si="70"/>
        <v>#NAME?</v>
      </c>
      <c r="E2229" s="115" t="e">
        <f t="array" aca="1" ref="E2229" ca="1">IF(OR(C2228=0,AND(B2230=0,C2230=0)),"",IFERROR(INDEX($F$27:$F$36,MATCH(C2229,($F$27:$F$36)*($D$27:$D$36&lt;&gt;0),0)),IF(OR(AND(D2229=0,B2229=0,B2230&lt;&gt;0),AND(D2229*D2228&lt;0,B2229&lt;&gt;0)),IF(D2229=0,C2229,C2229*(1-ABS(D2229)/(ABS(D2229)+ABS(D2228)))+C2228*(1-ABS(D2228)/(ABS(D2229)+ABS(D2228)))),"")))</f>
        <v>#NAME?</v>
      </c>
    </row>
    <row r="2230" spans="2:5" x14ac:dyDescent="0.25">
      <c r="B2230" t="e">
        <f t="shared" ca="1" si="71"/>
        <v>#NAME?</v>
      </c>
      <c r="C2230">
        <v>2187</v>
      </c>
      <c r="D2230" t="e">
        <f t="shared" ca="1" si="70"/>
        <v>#NAME?</v>
      </c>
      <c r="E2230" s="115" t="e">
        <f t="array" aca="1" ref="E2230" ca="1">IF(OR(C2229=0,AND(B2231=0,C2231=0)),"",IFERROR(INDEX($F$27:$F$36,MATCH(C2230,($F$27:$F$36)*($D$27:$D$36&lt;&gt;0),0)),IF(OR(AND(D2230=0,B2230=0,B2231&lt;&gt;0),AND(D2230*D2229&lt;0,B2230&lt;&gt;0)),IF(D2230=0,C2230,C2230*(1-ABS(D2230)/(ABS(D2230)+ABS(D2229)))+C2229*(1-ABS(D2229)/(ABS(D2230)+ABS(D2229)))),"")))</f>
        <v>#NAME?</v>
      </c>
    </row>
    <row r="2231" spans="2:5" x14ac:dyDescent="0.25">
      <c r="B2231" t="e">
        <f t="shared" ca="1" si="71"/>
        <v>#NAME?</v>
      </c>
      <c r="C2231">
        <v>2188</v>
      </c>
      <c r="D2231" t="e">
        <f t="shared" ca="1" si="70"/>
        <v>#NAME?</v>
      </c>
      <c r="E2231" s="115" t="e">
        <f t="array" aca="1" ref="E2231" ca="1">IF(OR(C2230=0,AND(B2232=0,C2232=0)),"",IFERROR(INDEX($F$27:$F$36,MATCH(C2231,($F$27:$F$36)*($D$27:$D$36&lt;&gt;0),0)),IF(OR(AND(D2231=0,B2231=0,B2232&lt;&gt;0),AND(D2231*D2230&lt;0,B2231&lt;&gt;0)),IF(D2231=0,C2231,C2231*(1-ABS(D2231)/(ABS(D2231)+ABS(D2230)))+C2230*(1-ABS(D2230)/(ABS(D2231)+ABS(D2230)))),"")))</f>
        <v>#NAME?</v>
      </c>
    </row>
    <row r="2232" spans="2:5" x14ac:dyDescent="0.25">
      <c r="B2232" t="e">
        <f t="shared" ca="1" si="71"/>
        <v>#NAME?</v>
      </c>
      <c r="C2232">
        <v>2189</v>
      </c>
      <c r="D2232" t="e">
        <f t="shared" ca="1" si="70"/>
        <v>#NAME?</v>
      </c>
      <c r="E2232" s="115" t="e">
        <f t="array" aca="1" ref="E2232" ca="1">IF(OR(C2231=0,AND(B2233=0,C2233=0)),"",IFERROR(INDEX($F$27:$F$36,MATCH(C2232,($F$27:$F$36)*($D$27:$D$36&lt;&gt;0),0)),IF(OR(AND(D2232=0,B2232=0,B2233&lt;&gt;0),AND(D2232*D2231&lt;0,B2232&lt;&gt;0)),IF(D2232=0,C2232,C2232*(1-ABS(D2232)/(ABS(D2232)+ABS(D2231)))+C2231*(1-ABS(D2231)/(ABS(D2232)+ABS(D2231)))),"")))</f>
        <v>#NAME?</v>
      </c>
    </row>
    <row r="2233" spans="2:5" x14ac:dyDescent="0.25">
      <c r="B2233" t="e">
        <f t="shared" ca="1" si="71"/>
        <v>#NAME?</v>
      </c>
      <c r="C2233">
        <v>2190</v>
      </c>
      <c r="D2233" t="e">
        <f t="shared" ca="1" si="70"/>
        <v>#NAME?</v>
      </c>
      <c r="E2233" s="115" t="e">
        <f t="array" aca="1" ref="E2233" ca="1">IF(OR(C2232=0,AND(B2234=0,C2234=0)),"",IFERROR(INDEX($F$27:$F$36,MATCH(C2233,($F$27:$F$36)*($D$27:$D$36&lt;&gt;0),0)),IF(OR(AND(D2233=0,B2233=0,B2234&lt;&gt;0),AND(D2233*D2232&lt;0,B2233&lt;&gt;0)),IF(D2233=0,C2233,C2233*(1-ABS(D2233)/(ABS(D2233)+ABS(D2232)))+C2232*(1-ABS(D2232)/(ABS(D2233)+ABS(D2232)))),"")))</f>
        <v>#NAME?</v>
      </c>
    </row>
    <row r="2234" spans="2:5" x14ac:dyDescent="0.25">
      <c r="B2234" t="e">
        <f t="shared" ca="1" si="71"/>
        <v>#NAME?</v>
      </c>
      <c r="C2234">
        <v>2191</v>
      </c>
      <c r="D2234" t="e">
        <f t="shared" ca="1" si="70"/>
        <v>#NAME?</v>
      </c>
      <c r="E2234" s="115" t="e">
        <f t="array" aca="1" ref="E2234" ca="1">IF(OR(C2233=0,AND(B2235=0,C2235=0)),"",IFERROR(INDEX($F$27:$F$36,MATCH(C2234,($F$27:$F$36)*($D$27:$D$36&lt;&gt;0),0)),IF(OR(AND(D2234=0,B2234=0,B2235&lt;&gt;0),AND(D2234*D2233&lt;0,B2234&lt;&gt;0)),IF(D2234=0,C2234,C2234*(1-ABS(D2234)/(ABS(D2234)+ABS(D2233)))+C2233*(1-ABS(D2233)/(ABS(D2234)+ABS(D2233)))),"")))</f>
        <v>#NAME?</v>
      </c>
    </row>
    <row r="2235" spans="2:5" x14ac:dyDescent="0.25">
      <c r="B2235" t="e">
        <f t="shared" ca="1" si="71"/>
        <v>#NAME?</v>
      </c>
      <c r="C2235">
        <v>2192</v>
      </c>
      <c r="D2235" t="e">
        <f t="shared" ca="1" si="70"/>
        <v>#NAME?</v>
      </c>
      <c r="E2235" s="115" t="e">
        <f t="array" aca="1" ref="E2235" ca="1">IF(OR(C2234=0,AND(B2236=0,C2236=0)),"",IFERROR(INDEX($F$27:$F$36,MATCH(C2235,($F$27:$F$36)*($D$27:$D$36&lt;&gt;0),0)),IF(OR(AND(D2235=0,B2235=0,B2236&lt;&gt;0),AND(D2235*D2234&lt;0,B2235&lt;&gt;0)),IF(D2235=0,C2235,C2235*(1-ABS(D2235)/(ABS(D2235)+ABS(D2234)))+C2234*(1-ABS(D2234)/(ABS(D2235)+ABS(D2234)))),"")))</f>
        <v>#NAME?</v>
      </c>
    </row>
    <row r="2236" spans="2:5" x14ac:dyDescent="0.25">
      <c r="B2236" t="e">
        <f t="shared" ca="1" si="71"/>
        <v>#NAME?</v>
      </c>
      <c r="C2236">
        <v>2193</v>
      </c>
      <c r="D2236" t="e">
        <f t="shared" ca="1" si="70"/>
        <v>#NAME?</v>
      </c>
      <c r="E2236" s="115" t="e">
        <f t="array" aca="1" ref="E2236" ca="1">IF(OR(C2235=0,AND(B2237=0,C2237=0)),"",IFERROR(INDEX($F$27:$F$36,MATCH(C2236,($F$27:$F$36)*($D$27:$D$36&lt;&gt;0),0)),IF(OR(AND(D2236=0,B2236=0,B2237&lt;&gt;0),AND(D2236*D2235&lt;0,B2236&lt;&gt;0)),IF(D2236=0,C2236,C2236*(1-ABS(D2236)/(ABS(D2236)+ABS(D2235)))+C2235*(1-ABS(D2235)/(ABS(D2236)+ABS(D2235)))),"")))</f>
        <v>#NAME?</v>
      </c>
    </row>
    <row r="2237" spans="2:5" x14ac:dyDescent="0.25">
      <c r="B2237" t="e">
        <f t="shared" ca="1" si="71"/>
        <v>#NAME?</v>
      </c>
      <c r="C2237">
        <v>2194</v>
      </c>
      <c r="D2237" t="e">
        <f t="shared" ca="1" si="70"/>
        <v>#NAME?</v>
      </c>
      <c r="E2237" s="115" t="e">
        <f t="array" aca="1" ref="E2237" ca="1">IF(OR(C2236=0,AND(B2238=0,C2238=0)),"",IFERROR(INDEX($F$27:$F$36,MATCH(C2237,($F$27:$F$36)*($D$27:$D$36&lt;&gt;0),0)),IF(OR(AND(D2237=0,B2237=0,B2238&lt;&gt;0),AND(D2237*D2236&lt;0,B2237&lt;&gt;0)),IF(D2237=0,C2237,C2237*(1-ABS(D2237)/(ABS(D2237)+ABS(D2236)))+C2236*(1-ABS(D2236)/(ABS(D2237)+ABS(D2236)))),"")))</f>
        <v>#NAME?</v>
      </c>
    </row>
    <row r="2238" spans="2:5" x14ac:dyDescent="0.25">
      <c r="B2238" t="e">
        <f t="shared" ca="1" si="71"/>
        <v>#NAME?</v>
      </c>
      <c r="C2238">
        <v>2195</v>
      </c>
      <c r="D2238" t="e">
        <f t="shared" ca="1" si="70"/>
        <v>#NAME?</v>
      </c>
      <c r="E2238" s="115" t="e">
        <f t="array" aca="1" ref="E2238" ca="1">IF(OR(C2237=0,AND(B2239=0,C2239=0)),"",IFERROR(INDEX($F$27:$F$36,MATCH(C2238,($F$27:$F$36)*($D$27:$D$36&lt;&gt;0),0)),IF(OR(AND(D2238=0,B2238=0,B2239&lt;&gt;0),AND(D2238*D2237&lt;0,B2238&lt;&gt;0)),IF(D2238=0,C2238,C2238*(1-ABS(D2238)/(ABS(D2238)+ABS(D2237)))+C2237*(1-ABS(D2237)/(ABS(D2238)+ABS(D2237)))),"")))</f>
        <v>#NAME?</v>
      </c>
    </row>
    <row r="2239" spans="2:5" x14ac:dyDescent="0.25">
      <c r="B2239" t="e">
        <f t="shared" ca="1" si="71"/>
        <v>#NAME?</v>
      </c>
      <c r="C2239">
        <v>2196</v>
      </c>
      <c r="D2239" t="e">
        <f t="shared" ca="1" si="70"/>
        <v>#NAME?</v>
      </c>
      <c r="E2239" s="115" t="e">
        <f t="array" aca="1" ref="E2239" ca="1">IF(OR(C2238=0,AND(B2240=0,C2240=0)),"",IFERROR(INDEX($F$27:$F$36,MATCH(C2239,($F$27:$F$36)*($D$27:$D$36&lt;&gt;0),0)),IF(OR(AND(D2239=0,B2239=0,B2240&lt;&gt;0),AND(D2239*D2238&lt;0,B2239&lt;&gt;0)),IF(D2239=0,C2239,C2239*(1-ABS(D2239)/(ABS(D2239)+ABS(D2238)))+C2238*(1-ABS(D2238)/(ABS(D2239)+ABS(D2238)))),"")))</f>
        <v>#NAME?</v>
      </c>
    </row>
    <row r="2240" spans="2:5" x14ac:dyDescent="0.25">
      <c r="B2240" t="e">
        <f t="shared" ca="1" si="71"/>
        <v>#NAME?</v>
      </c>
      <c r="C2240">
        <v>2197</v>
      </c>
      <c r="D2240" t="e">
        <f t="shared" ca="1" si="70"/>
        <v>#NAME?</v>
      </c>
      <c r="E2240" s="115" t="e">
        <f t="array" aca="1" ref="E2240" ca="1">IF(OR(C2239=0,AND(B2241=0,C2241=0)),"",IFERROR(INDEX($F$27:$F$36,MATCH(C2240,($F$27:$F$36)*($D$27:$D$36&lt;&gt;0),0)),IF(OR(AND(D2240=0,B2240=0,B2241&lt;&gt;0),AND(D2240*D2239&lt;0,B2240&lt;&gt;0)),IF(D2240=0,C2240,C2240*(1-ABS(D2240)/(ABS(D2240)+ABS(D2239)))+C2239*(1-ABS(D2239)/(ABS(D2240)+ABS(D2239)))),"")))</f>
        <v>#NAME?</v>
      </c>
    </row>
    <row r="2241" spans="2:5" x14ac:dyDescent="0.25">
      <c r="B2241" t="e">
        <f t="shared" ca="1" si="71"/>
        <v>#NAME?</v>
      </c>
      <c r="C2241">
        <v>2198</v>
      </c>
      <c r="D2241" t="e">
        <f t="shared" ca="1" si="70"/>
        <v>#NAME?</v>
      </c>
      <c r="E2241" s="115" t="e">
        <f t="array" aca="1" ref="E2241" ca="1">IF(OR(C2240=0,AND(B2242=0,C2242=0)),"",IFERROR(INDEX($F$27:$F$36,MATCH(C2241,($F$27:$F$36)*($D$27:$D$36&lt;&gt;0),0)),IF(OR(AND(D2241=0,B2241=0,B2242&lt;&gt;0),AND(D2241*D2240&lt;0,B2241&lt;&gt;0)),IF(D2241=0,C2241,C2241*(1-ABS(D2241)/(ABS(D2241)+ABS(D2240)))+C2240*(1-ABS(D2240)/(ABS(D2241)+ABS(D2240)))),"")))</f>
        <v>#NAME?</v>
      </c>
    </row>
    <row r="2242" spans="2:5" x14ac:dyDescent="0.25">
      <c r="B2242" t="e">
        <f t="shared" ca="1" si="71"/>
        <v>#NAME?</v>
      </c>
      <c r="C2242">
        <v>2199</v>
      </c>
      <c r="D2242" t="e">
        <f t="shared" ca="1" si="70"/>
        <v>#NAME?</v>
      </c>
      <c r="E2242" s="115" t="e">
        <f t="array" aca="1" ref="E2242" ca="1">IF(OR(C2241=0,AND(B2243=0,C2243=0)),"",IFERROR(INDEX($F$27:$F$36,MATCH(C2242,($F$27:$F$36)*($D$27:$D$36&lt;&gt;0),0)),IF(OR(AND(D2242=0,B2242=0,B2243&lt;&gt;0),AND(D2242*D2241&lt;0,B2242&lt;&gt;0)),IF(D2242=0,C2242,C2242*(1-ABS(D2242)/(ABS(D2242)+ABS(D2241)))+C2241*(1-ABS(D2241)/(ABS(D2242)+ABS(D2241)))),"")))</f>
        <v>#NAME?</v>
      </c>
    </row>
    <row r="2243" spans="2:5" x14ac:dyDescent="0.25">
      <c r="B2243" t="e">
        <f t="shared" ca="1" si="71"/>
        <v>#NAME?</v>
      </c>
      <c r="C2243">
        <v>2200</v>
      </c>
      <c r="D2243" t="e">
        <f t="shared" ca="1" si="70"/>
        <v>#NAME?</v>
      </c>
      <c r="E2243" s="115" t="e">
        <f t="array" aca="1" ref="E2243" ca="1">IF(OR(C2242=0,AND(B2244=0,C2244=0)),"",IFERROR(INDEX($F$27:$F$36,MATCH(C2243,($F$27:$F$36)*($D$27:$D$36&lt;&gt;0),0)),IF(OR(AND(D2243=0,B2243=0,B2244&lt;&gt;0),AND(D2243*D2242&lt;0,B2243&lt;&gt;0)),IF(D2243=0,C2243,C2243*(1-ABS(D2243)/(ABS(D2243)+ABS(D2242)))+C2242*(1-ABS(D2242)/(ABS(D2243)+ABS(D2242)))),"")))</f>
        <v>#NAME?</v>
      </c>
    </row>
    <row r="2244" spans="2:5" x14ac:dyDescent="0.25">
      <c r="B2244" t="e">
        <f t="shared" ca="1" si="71"/>
        <v>#NAME?</v>
      </c>
      <c r="C2244">
        <v>2201</v>
      </c>
      <c r="D2244" t="e">
        <f t="shared" ca="1" si="70"/>
        <v>#NAME?</v>
      </c>
      <c r="E2244" s="115" t="e">
        <f t="array" aca="1" ref="E2244" ca="1">IF(OR(C2243=0,AND(B2245=0,C2245=0)),"",IFERROR(INDEX($F$27:$F$36,MATCH(C2244,($F$27:$F$36)*($D$27:$D$36&lt;&gt;0),0)),IF(OR(AND(D2244=0,B2244=0,B2245&lt;&gt;0),AND(D2244*D2243&lt;0,B2244&lt;&gt;0)),IF(D2244=0,C2244,C2244*(1-ABS(D2244)/(ABS(D2244)+ABS(D2243)))+C2243*(1-ABS(D2243)/(ABS(D2244)+ABS(D2243)))),"")))</f>
        <v>#NAME?</v>
      </c>
    </row>
    <row r="2245" spans="2:5" x14ac:dyDescent="0.25">
      <c r="B2245" t="e">
        <f t="shared" ca="1" si="71"/>
        <v>#NAME?</v>
      </c>
      <c r="C2245">
        <v>2202</v>
      </c>
      <c r="D2245" t="e">
        <f t="shared" ca="1" si="70"/>
        <v>#NAME?</v>
      </c>
      <c r="E2245" s="115" t="e">
        <f t="array" aca="1" ref="E2245" ca="1">IF(OR(C2244=0,AND(B2246=0,C2246=0)),"",IFERROR(INDEX($F$27:$F$36,MATCH(C2245,($F$27:$F$36)*($D$27:$D$36&lt;&gt;0),0)),IF(OR(AND(D2245=0,B2245=0,B2246&lt;&gt;0),AND(D2245*D2244&lt;0,B2245&lt;&gt;0)),IF(D2245=0,C2245,C2245*(1-ABS(D2245)/(ABS(D2245)+ABS(D2244)))+C2244*(1-ABS(D2244)/(ABS(D2245)+ABS(D2244)))),"")))</f>
        <v>#NAME?</v>
      </c>
    </row>
    <row r="2246" spans="2:5" x14ac:dyDescent="0.25">
      <c r="B2246" t="e">
        <f t="shared" ca="1" si="71"/>
        <v>#NAME?</v>
      </c>
      <c r="C2246">
        <v>2203</v>
      </c>
      <c r="D2246" t="e">
        <f t="shared" ca="1" si="70"/>
        <v>#NAME?</v>
      </c>
      <c r="E2246" s="115" t="e">
        <f t="array" aca="1" ref="E2246" ca="1">IF(OR(C2245=0,AND(B2247=0,C2247=0)),"",IFERROR(INDEX($F$27:$F$36,MATCH(C2246,($F$27:$F$36)*($D$27:$D$36&lt;&gt;0),0)),IF(OR(AND(D2246=0,B2246=0,B2247&lt;&gt;0),AND(D2246*D2245&lt;0,B2246&lt;&gt;0)),IF(D2246=0,C2246,C2246*(1-ABS(D2246)/(ABS(D2246)+ABS(D2245)))+C2245*(1-ABS(D2245)/(ABS(D2246)+ABS(D2245)))),"")))</f>
        <v>#NAME?</v>
      </c>
    </row>
    <row r="2247" spans="2:5" x14ac:dyDescent="0.25">
      <c r="B2247" t="e">
        <f t="shared" ca="1" si="71"/>
        <v>#NAME?</v>
      </c>
      <c r="C2247">
        <v>2204</v>
      </c>
      <c r="D2247" t="e">
        <f t="shared" ca="1" si="70"/>
        <v>#NAME?</v>
      </c>
      <c r="E2247" s="115" t="e">
        <f t="array" aca="1" ref="E2247" ca="1">IF(OR(C2246=0,AND(B2248=0,C2248=0)),"",IFERROR(INDEX($F$27:$F$36,MATCH(C2247,($F$27:$F$36)*($D$27:$D$36&lt;&gt;0),0)),IF(OR(AND(D2247=0,B2247=0,B2248&lt;&gt;0),AND(D2247*D2246&lt;0,B2247&lt;&gt;0)),IF(D2247=0,C2247,C2247*(1-ABS(D2247)/(ABS(D2247)+ABS(D2246)))+C2246*(1-ABS(D2246)/(ABS(D2247)+ABS(D2246)))),"")))</f>
        <v>#NAME?</v>
      </c>
    </row>
    <row r="2248" spans="2:5" x14ac:dyDescent="0.25">
      <c r="B2248" t="e">
        <f t="shared" ca="1" si="71"/>
        <v>#NAME?</v>
      </c>
      <c r="C2248">
        <v>2205</v>
      </c>
      <c r="D2248" t="e">
        <f t="shared" ca="1" si="70"/>
        <v>#NAME?</v>
      </c>
      <c r="E2248" s="115" t="e">
        <f t="array" aca="1" ref="E2248" ca="1">IF(OR(C2247=0,AND(B2249=0,C2249=0)),"",IFERROR(INDEX($F$27:$F$36,MATCH(C2248,($F$27:$F$36)*($D$27:$D$36&lt;&gt;0),0)),IF(OR(AND(D2248=0,B2248=0,B2249&lt;&gt;0),AND(D2248*D2247&lt;0,B2248&lt;&gt;0)),IF(D2248=0,C2248,C2248*(1-ABS(D2248)/(ABS(D2248)+ABS(D2247)))+C2247*(1-ABS(D2247)/(ABS(D2248)+ABS(D2247)))),"")))</f>
        <v>#NAME?</v>
      </c>
    </row>
    <row r="2249" spans="2:5" x14ac:dyDescent="0.25">
      <c r="B2249" t="e">
        <f t="shared" ca="1" si="71"/>
        <v>#NAME?</v>
      </c>
      <c r="C2249">
        <v>2206</v>
      </c>
      <c r="D2249" t="e">
        <f t="shared" ca="1" si="70"/>
        <v>#NAME?</v>
      </c>
      <c r="E2249" s="115" t="e">
        <f t="array" aca="1" ref="E2249" ca="1">IF(OR(C2248=0,AND(B2250=0,C2250=0)),"",IFERROR(INDEX($F$27:$F$36,MATCH(C2249,($F$27:$F$36)*($D$27:$D$36&lt;&gt;0),0)),IF(OR(AND(D2249=0,B2249=0,B2250&lt;&gt;0),AND(D2249*D2248&lt;0,B2249&lt;&gt;0)),IF(D2249=0,C2249,C2249*(1-ABS(D2249)/(ABS(D2249)+ABS(D2248)))+C2248*(1-ABS(D2248)/(ABS(D2249)+ABS(D2248)))),"")))</f>
        <v>#NAME?</v>
      </c>
    </row>
    <row r="2250" spans="2:5" x14ac:dyDescent="0.25">
      <c r="B2250" t="e">
        <f t="shared" ca="1" si="71"/>
        <v>#NAME?</v>
      </c>
      <c r="C2250">
        <v>2207</v>
      </c>
      <c r="D2250" t="e">
        <f t="shared" ca="1" si="70"/>
        <v>#NAME?</v>
      </c>
      <c r="E2250" s="115" t="e">
        <f t="array" aca="1" ref="E2250" ca="1">IF(OR(C2249=0,AND(B2251=0,C2251=0)),"",IFERROR(INDEX($F$27:$F$36,MATCH(C2250,($F$27:$F$36)*($D$27:$D$36&lt;&gt;0),0)),IF(OR(AND(D2250=0,B2250=0,B2251&lt;&gt;0),AND(D2250*D2249&lt;0,B2250&lt;&gt;0)),IF(D2250=0,C2250,C2250*(1-ABS(D2250)/(ABS(D2250)+ABS(D2249)))+C2249*(1-ABS(D2249)/(ABS(D2250)+ABS(D2249)))),"")))</f>
        <v>#NAME?</v>
      </c>
    </row>
    <row r="2251" spans="2:5" x14ac:dyDescent="0.25">
      <c r="B2251" t="e">
        <f t="shared" ca="1" si="71"/>
        <v>#NAME?</v>
      </c>
      <c r="C2251">
        <v>2208</v>
      </c>
      <c r="D2251" t="e">
        <f t="shared" ca="1" si="70"/>
        <v>#NAME?</v>
      </c>
      <c r="E2251" s="115" t="e">
        <f t="array" aca="1" ref="E2251" ca="1">IF(OR(C2250=0,AND(B2252=0,C2252=0)),"",IFERROR(INDEX($F$27:$F$36,MATCH(C2251,($F$27:$F$36)*($D$27:$D$36&lt;&gt;0),0)),IF(OR(AND(D2251=0,B2251=0,B2252&lt;&gt;0),AND(D2251*D2250&lt;0,B2251&lt;&gt;0)),IF(D2251=0,C2251,C2251*(1-ABS(D2251)/(ABS(D2251)+ABS(D2250)))+C2250*(1-ABS(D2250)/(ABS(D2251)+ABS(D2250)))),"")))</f>
        <v>#NAME?</v>
      </c>
    </row>
    <row r="2252" spans="2:5" x14ac:dyDescent="0.25">
      <c r="B2252" t="e">
        <f t="shared" ca="1" si="71"/>
        <v>#NAME?</v>
      </c>
      <c r="C2252">
        <v>2209</v>
      </c>
      <c r="D2252" t="e">
        <f t="shared" ca="1" si="70"/>
        <v>#NAME?</v>
      </c>
      <c r="E2252" s="115" t="e">
        <f t="array" aca="1" ref="E2252" ca="1">IF(OR(C2251=0,AND(B2253=0,C2253=0)),"",IFERROR(INDEX($F$27:$F$36,MATCH(C2252,($F$27:$F$36)*($D$27:$D$36&lt;&gt;0),0)),IF(OR(AND(D2252=0,B2252=0,B2253&lt;&gt;0),AND(D2252*D2251&lt;0,B2252&lt;&gt;0)),IF(D2252=0,C2252,C2252*(1-ABS(D2252)/(ABS(D2252)+ABS(D2251)))+C2251*(1-ABS(D2251)/(ABS(D2252)+ABS(D2251)))),"")))</f>
        <v>#NAME?</v>
      </c>
    </row>
    <row r="2253" spans="2:5" x14ac:dyDescent="0.25">
      <c r="B2253" t="e">
        <f t="shared" ca="1" si="71"/>
        <v>#NAME?</v>
      </c>
      <c r="C2253">
        <v>2210</v>
      </c>
      <c r="D2253" t="e">
        <f t="shared" ca="1" si="70"/>
        <v>#NAME?</v>
      </c>
      <c r="E2253" s="115" t="e">
        <f t="array" aca="1" ref="E2253" ca="1">IF(OR(C2252=0,AND(B2254=0,C2254=0)),"",IFERROR(INDEX($F$27:$F$36,MATCH(C2253,($F$27:$F$36)*($D$27:$D$36&lt;&gt;0),0)),IF(OR(AND(D2253=0,B2253=0,B2254&lt;&gt;0),AND(D2253*D2252&lt;0,B2253&lt;&gt;0)),IF(D2253=0,C2253,C2253*(1-ABS(D2253)/(ABS(D2253)+ABS(D2252)))+C2252*(1-ABS(D2252)/(ABS(D2253)+ABS(D2252)))),"")))</f>
        <v>#NAME?</v>
      </c>
    </row>
    <row r="2254" spans="2:5" x14ac:dyDescent="0.25">
      <c r="B2254" t="e">
        <f t="shared" ca="1" si="71"/>
        <v>#NAME?</v>
      </c>
      <c r="C2254">
        <v>2211</v>
      </c>
      <c r="D2254" t="e">
        <f t="shared" ca="1" si="70"/>
        <v>#NAME?</v>
      </c>
      <c r="E2254" s="115" t="e">
        <f t="array" aca="1" ref="E2254" ca="1">IF(OR(C2253=0,AND(B2255=0,C2255=0)),"",IFERROR(INDEX($F$27:$F$36,MATCH(C2254,($F$27:$F$36)*($D$27:$D$36&lt;&gt;0),0)),IF(OR(AND(D2254=0,B2254=0,B2255&lt;&gt;0),AND(D2254*D2253&lt;0,B2254&lt;&gt;0)),IF(D2254=0,C2254,C2254*(1-ABS(D2254)/(ABS(D2254)+ABS(D2253)))+C2253*(1-ABS(D2253)/(ABS(D2254)+ABS(D2253)))),"")))</f>
        <v>#NAME?</v>
      </c>
    </row>
    <row r="2255" spans="2:5" x14ac:dyDescent="0.25">
      <c r="B2255" t="e">
        <f t="shared" ca="1" si="71"/>
        <v>#NAME?</v>
      </c>
      <c r="C2255">
        <v>2212</v>
      </c>
      <c r="D2255" t="e">
        <f t="shared" ca="1" si="70"/>
        <v>#NAME?</v>
      </c>
      <c r="E2255" s="115" t="e">
        <f t="array" aca="1" ref="E2255" ca="1">IF(OR(C2254=0,AND(B2256=0,C2256=0)),"",IFERROR(INDEX($F$27:$F$36,MATCH(C2255,($F$27:$F$36)*($D$27:$D$36&lt;&gt;0),0)),IF(OR(AND(D2255=0,B2255=0,B2256&lt;&gt;0),AND(D2255*D2254&lt;0,B2255&lt;&gt;0)),IF(D2255=0,C2255,C2255*(1-ABS(D2255)/(ABS(D2255)+ABS(D2254)))+C2254*(1-ABS(D2254)/(ABS(D2255)+ABS(D2254)))),"")))</f>
        <v>#NAME?</v>
      </c>
    </row>
    <row r="2256" spans="2:5" x14ac:dyDescent="0.25">
      <c r="B2256" t="e">
        <f t="shared" ca="1" si="71"/>
        <v>#NAME?</v>
      </c>
      <c r="C2256">
        <v>2213</v>
      </c>
      <c r="D2256" t="e">
        <f t="shared" ca="1" si="70"/>
        <v>#NAME?</v>
      </c>
      <c r="E2256" s="115" t="e">
        <f t="array" aca="1" ref="E2256" ca="1">IF(OR(C2255=0,AND(B2257=0,C2257=0)),"",IFERROR(INDEX($F$27:$F$36,MATCH(C2256,($F$27:$F$36)*($D$27:$D$36&lt;&gt;0),0)),IF(OR(AND(D2256=0,B2256=0,B2257&lt;&gt;0),AND(D2256*D2255&lt;0,B2256&lt;&gt;0)),IF(D2256=0,C2256,C2256*(1-ABS(D2256)/(ABS(D2256)+ABS(D2255)))+C2255*(1-ABS(D2255)/(ABS(D2256)+ABS(D2255)))),"")))</f>
        <v>#NAME?</v>
      </c>
    </row>
    <row r="2257" spans="2:5" x14ac:dyDescent="0.25">
      <c r="B2257" t="e">
        <f t="shared" ca="1" si="71"/>
        <v>#NAME?</v>
      </c>
      <c r="C2257">
        <v>2214</v>
      </c>
      <c r="D2257" t="e">
        <f t="shared" ca="1" si="70"/>
        <v>#NAME?</v>
      </c>
      <c r="E2257" s="115" t="e">
        <f t="array" aca="1" ref="E2257" ca="1">IF(OR(C2256=0,AND(B2258=0,C2258=0)),"",IFERROR(INDEX($F$27:$F$36,MATCH(C2257,($F$27:$F$36)*($D$27:$D$36&lt;&gt;0),0)),IF(OR(AND(D2257=0,B2257=0,B2258&lt;&gt;0),AND(D2257*D2256&lt;0,B2257&lt;&gt;0)),IF(D2257=0,C2257,C2257*(1-ABS(D2257)/(ABS(D2257)+ABS(D2256)))+C2256*(1-ABS(D2256)/(ABS(D2257)+ABS(D2256)))),"")))</f>
        <v>#NAME?</v>
      </c>
    </row>
    <row r="2258" spans="2:5" x14ac:dyDescent="0.25">
      <c r="B2258" t="e">
        <f t="shared" ca="1" si="71"/>
        <v>#NAME?</v>
      </c>
      <c r="C2258">
        <v>2215</v>
      </c>
      <c r="D2258" t="e">
        <f t="shared" ca="1" si="70"/>
        <v>#NAME?</v>
      </c>
      <c r="E2258" s="115" t="e">
        <f t="array" aca="1" ref="E2258" ca="1">IF(OR(C2257=0,AND(B2259=0,C2259=0)),"",IFERROR(INDEX($F$27:$F$36,MATCH(C2258,($F$27:$F$36)*($D$27:$D$36&lt;&gt;0),0)),IF(OR(AND(D2258=0,B2258=0,B2259&lt;&gt;0),AND(D2258*D2257&lt;0,B2258&lt;&gt;0)),IF(D2258=0,C2258,C2258*(1-ABS(D2258)/(ABS(D2258)+ABS(D2257)))+C2257*(1-ABS(D2257)/(ABS(D2258)+ABS(D2257)))),"")))</f>
        <v>#NAME?</v>
      </c>
    </row>
    <row r="2259" spans="2:5" x14ac:dyDescent="0.25">
      <c r="B2259" t="e">
        <f t="shared" ca="1" si="71"/>
        <v>#NAME?</v>
      </c>
      <c r="C2259">
        <v>2216</v>
      </c>
      <c r="D2259" t="e">
        <f t="shared" ca="1" si="70"/>
        <v>#NAME?</v>
      </c>
      <c r="E2259" s="115" t="e">
        <f t="array" aca="1" ref="E2259" ca="1">IF(OR(C2258=0,AND(B2260=0,C2260=0)),"",IFERROR(INDEX($F$27:$F$36,MATCH(C2259,($F$27:$F$36)*($D$27:$D$36&lt;&gt;0),0)),IF(OR(AND(D2259=0,B2259=0,B2260&lt;&gt;0),AND(D2259*D2258&lt;0,B2259&lt;&gt;0)),IF(D2259=0,C2259,C2259*(1-ABS(D2259)/(ABS(D2259)+ABS(D2258)))+C2258*(1-ABS(D2258)/(ABS(D2259)+ABS(D2258)))),"")))</f>
        <v>#NAME?</v>
      </c>
    </row>
    <row r="2260" spans="2:5" x14ac:dyDescent="0.25">
      <c r="B2260" t="e">
        <f t="shared" ca="1" si="71"/>
        <v>#NAME?</v>
      </c>
      <c r="C2260">
        <v>2217</v>
      </c>
      <c r="D2260" t="e">
        <f t="shared" ca="1" si="70"/>
        <v>#NAME?</v>
      </c>
      <c r="E2260" s="115" t="e">
        <f t="array" aca="1" ref="E2260" ca="1">IF(OR(C2259=0,AND(B2261=0,C2261=0)),"",IFERROR(INDEX($F$27:$F$36,MATCH(C2260,($F$27:$F$36)*($D$27:$D$36&lt;&gt;0),0)),IF(OR(AND(D2260=0,B2260=0,B2261&lt;&gt;0),AND(D2260*D2259&lt;0,B2260&lt;&gt;0)),IF(D2260=0,C2260,C2260*(1-ABS(D2260)/(ABS(D2260)+ABS(D2259)))+C2259*(1-ABS(D2259)/(ABS(D2260)+ABS(D2259)))),"")))</f>
        <v>#NAME?</v>
      </c>
    </row>
    <row r="2261" spans="2:5" x14ac:dyDescent="0.25">
      <c r="B2261" t="e">
        <f t="shared" ca="1" si="71"/>
        <v>#NAME?</v>
      </c>
      <c r="C2261">
        <v>2218</v>
      </c>
      <c r="D2261" t="e">
        <f t="shared" ca="1" si="70"/>
        <v>#NAME?</v>
      </c>
      <c r="E2261" s="115" t="e">
        <f t="array" aca="1" ref="E2261" ca="1">IF(OR(C2260=0,AND(B2262=0,C2262=0)),"",IFERROR(INDEX($F$27:$F$36,MATCH(C2261,($F$27:$F$36)*($D$27:$D$36&lt;&gt;0),0)),IF(OR(AND(D2261=0,B2261=0,B2262&lt;&gt;0),AND(D2261*D2260&lt;0,B2261&lt;&gt;0)),IF(D2261=0,C2261,C2261*(1-ABS(D2261)/(ABS(D2261)+ABS(D2260)))+C2260*(1-ABS(D2260)/(ABS(D2261)+ABS(D2260)))),"")))</f>
        <v>#NAME?</v>
      </c>
    </row>
    <row r="2262" spans="2:5" x14ac:dyDescent="0.25">
      <c r="B2262" t="e">
        <f t="shared" ca="1" si="71"/>
        <v>#NAME?</v>
      </c>
      <c r="C2262">
        <v>2219</v>
      </c>
      <c r="D2262" t="e">
        <f t="shared" ca="1" si="70"/>
        <v>#NAME?</v>
      </c>
      <c r="E2262" s="115" t="e">
        <f t="array" aca="1" ref="E2262" ca="1">IF(OR(C2261=0,AND(B2263=0,C2263=0)),"",IFERROR(INDEX($F$27:$F$36,MATCH(C2262,($F$27:$F$36)*($D$27:$D$36&lt;&gt;0),0)),IF(OR(AND(D2262=0,B2262=0,B2263&lt;&gt;0),AND(D2262*D2261&lt;0,B2262&lt;&gt;0)),IF(D2262=0,C2262,C2262*(1-ABS(D2262)/(ABS(D2262)+ABS(D2261)))+C2261*(1-ABS(D2261)/(ABS(D2262)+ABS(D2261)))),"")))</f>
        <v>#NAME?</v>
      </c>
    </row>
    <row r="2263" spans="2:5" x14ac:dyDescent="0.25">
      <c r="B2263" t="e">
        <f t="shared" ca="1" si="71"/>
        <v>#NAME?</v>
      </c>
      <c r="C2263">
        <v>2220</v>
      </c>
      <c r="D2263" t="e">
        <f t="shared" ca="1" si="70"/>
        <v>#NAME?</v>
      </c>
      <c r="E2263" s="115" t="e">
        <f t="array" aca="1" ref="E2263" ca="1">IF(OR(C2262=0,AND(B2264=0,C2264=0)),"",IFERROR(INDEX($F$27:$F$36,MATCH(C2263,($F$27:$F$36)*($D$27:$D$36&lt;&gt;0),0)),IF(OR(AND(D2263=0,B2263=0,B2264&lt;&gt;0),AND(D2263*D2262&lt;0,B2263&lt;&gt;0)),IF(D2263=0,C2263,C2263*(1-ABS(D2263)/(ABS(D2263)+ABS(D2262)))+C2262*(1-ABS(D2262)/(ABS(D2263)+ABS(D2262)))),"")))</f>
        <v>#NAME?</v>
      </c>
    </row>
    <row r="2264" spans="2:5" x14ac:dyDescent="0.25">
      <c r="B2264" t="e">
        <f t="shared" ca="1" si="71"/>
        <v>#NAME?</v>
      </c>
      <c r="C2264">
        <v>2221</v>
      </c>
      <c r="D2264" t="e">
        <f t="shared" ca="1" si="70"/>
        <v>#NAME?</v>
      </c>
      <c r="E2264" s="115" t="e">
        <f t="array" aca="1" ref="E2264" ca="1">IF(OR(C2263=0,AND(B2265=0,C2265=0)),"",IFERROR(INDEX($F$27:$F$36,MATCH(C2264,($F$27:$F$36)*($D$27:$D$36&lt;&gt;0),0)),IF(OR(AND(D2264=0,B2264=0,B2265&lt;&gt;0),AND(D2264*D2263&lt;0,B2264&lt;&gt;0)),IF(D2264=0,C2264,C2264*(1-ABS(D2264)/(ABS(D2264)+ABS(D2263)))+C2263*(1-ABS(D2263)/(ABS(D2264)+ABS(D2263)))),"")))</f>
        <v>#NAME?</v>
      </c>
    </row>
    <row r="2265" spans="2:5" x14ac:dyDescent="0.25">
      <c r="B2265" t="e">
        <f t="shared" ca="1" si="71"/>
        <v>#NAME?</v>
      </c>
      <c r="C2265">
        <v>2222</v>
      </c>
      <c r="D2265" t="e">
        <f t="shared" ca="1" si="70"/>
        <v>#NAME?</v>
      </c>
      <c r="E2265" s="115" t="e">
        <f t="array" aca="1" ref="E2265" ca="1">IF(OR(C2264=0,AND(B2266=0,C2266=0)),"",IFERROR(INDEX($F$27:$F$36,MATCH(C2265,($F$27:$F$36)*($D$27:$D$36&lt;&gt;0),0)),IF(OR(AND(D2265=0,B2265=0,B2266&lt;&gt;0),AND(D2265*D2264&lt;0,B2265&lt;&gt;0)),IF(D2265=0,C2265,C2265*(1-ABS(D2265)/(ABS(D2265)+ABS(D2264)))+C2264*(1-ABS(D2264)/(ABS(D2265)+ABS(D2264)))),"")))</f>
        <v>#NAME?</v>
      </c>
    </row>
    <row r="2266" spans="2:5" x14ac:dyDescent="0.25">
      <c r="B2266" t="e">
        <f t="shared" ca="1" si="71"/>
        <v>#NAME?</v>
      </c>
      <c r="C2266">
        <v>2223</v>
      </c>
      <c r="D2266" t="e">
        <f t="shared" ca="1" si="70"/>
        <v>#NAME?</v>
      </c>
      <c r="E2266" s="115" t="e">
        <f t="array" aca="1" ref="E2266" ca="1">IF(OR(C2265=0,AND(B2267=0,C2267=0)),"",IFERROR(INDEX($F$27:$F$36,MATCH(C2266,($F$27:$F$36)*($D$27:$D$36&lt;&gt;0),0)),IF(OR(AND(D2266=0,B2266=0,B2267&lt;&gt;0),AND(D2266*D2265&lt;0,B2266&lt;&gt;0)),IF(D2266=0,C2266,C2266*(1-ABS(D2266)/(ABS(D2266)+ABS(D2265)))+C2265*(1-ABS(D2265)/(ABS(D2266)+ABS(D2265)))),"")))</f>
        <v>#NAME?</v>
      </c>
    </row>
    <row r="2267" spans="2:5" x14ac:dyDescent="0.25">
      <c r="B2267" t="e">
        <f t="shared" ca="1" si="71"/>
        <v>#NAME?</v>
      </c>
      <c r="C2267">
        <v>2224</v>
      </c>
      <c r="D2267" t="e">
        <f t="shared" ca="1" si="70"/>
        <v>#NAME?</v>
      </c>
      <c r="E2267" s="115" t="e">
        <f t="array" aca="1" ref="E2267" ca="1">IF(OR(C2266=0,AND(B2268=0,C2268=0)),"",IFERROR(INDEX($F$27:$F$36,MATCH(C2267,($F$27:$F$36)*($D$27:$D$36&lt;&gt;0),0)),IF(OR(AND(D2267=0,B2267=0,B2268&lt;&gt;0),AND(D2267*D2266&lt;0,B2267&lt;&gt;0)),IF(D2267=0,C2267,C2267*(1-ABS(D2267)/(ABS(D2267)+ABS(D2266)))+C2266*(1-ABS(D2266)/(ABS(D2267)+ABS(D2266)))),"")))</f>
        <v>#NAME?</v>
      </c>
    </row>
    <row r="2268" spans="2:5" x14ac:dyDescent="0.25">
      <c r="B2268" t="e">
        <f t="shared" ca="1" si="71"/>
        <v>#NAME?</v>
      </c>
      <c r="C2268">
        <v>2225</v>
      </c>
      <c r="D2268" t="e">
        <f t="shared" ca="1" si="70"/>
        <v>#NAME?</v>
      </c>
      <c r="E2268" s="115" t="e">
        <f t="array" aca="1" ref="E2268" ca="1">IF(OR(C2267=0,AND(B2269=0,C2269=0)),"",IFERROR(INDEX($F$27:$F$36,MATCH(C2268,($F$27:$F$36)*($D$27:$D$36&lt;&gt;0),0)),IF(OR(AND(D2268=0,B2268=0,B2269&lt;&gt;0),AND(D2268*D2267&lt;0,B2268&lt;&gt;0)),IF(D2268=0,C2268,C2268*(1-ABS(D2268)/(ABS(D2268)+ABS(D2267)))+C2267*(1-ABS(D2267)/(ABS(D2268)+ABS(D2267)))),"")))</f>
        <v>#NAME?</v>
      </c>
    </row>
    <row r="2269" spans="2:5" x14ac:dyDescent="0.25">
      <c r="B2269" t="e">
        <f t="shared" ca="1" si="71"/>
        <v>#NAME?</v>
      </c>
      <c r="C2269">
        <v>2226</v>
      </c>
      <c r="D2269" t="e">
        <f t="shared" ca="1" si="70"/>
        <v>#NAME?</v>
      </c>
      <c r="E2269" s="115" t="e">
        <f t="array" aca="1" ref="E2269" ca="1">IF(OR(C2268=0,AND(B2270=0,C2270=0)),"",IFERROR(INDEX($F$27:$F$36,MATCH(C2269,($F$27:$F$36)*($D$27:$D$36&lt;&gt;0),0)),IF(OR(AND(D2269=0,B2269=0,B2270&lt;&gt;0),AND(D2269*D2268&lt;0,B2269&lt;&gt;0)),IF(D2269=0,C2269,C2269*(1-ABS(D2269)/(ABS(D2269)+ABS(D2268)))+C2268*(1-ABS(D2268)/(ABS(D2269)+ABS(D2268)))),"")))</f>
        <v>#NAME?</v>
      </c>
    </row>
    <row r="2270" spans="2:5" x14ac:dyDescent="0.25">
      <c r="B2270" t="e">
        <f t="shared" ca="1" si="71"/>
        <v>#NAME?</v>
      </c>
      <c r="C2270">
        <v>2227</v>
      </c>
      <c r="D2270" t="e">
        <f t="shared" ca="1" si="70"/>
        <v>#NAME?</v>
      </c>
      <c r="E2270" s="115" t="e">
        <f t="array" aca="1" ref="E2270" ca="1">IF(OR(C2269=0,AND(B2271=0,C2271=0)),"",IFERROR(INDEX($F$27:$F$36,MATCH(C2270,($F$27:$F$36)*($D$27:$D$36&lt;&gt;0),0)),IF(OR(AND(D2270=0,B2270=0,B2271&lt;&gt;0),AND(D2270*D2269&lt;0,B2270&lt;&gt;0)),IF(D2270=0,C2270,C2270*(1-ABS(D2270)/(ABS(D2270)+ABS(D2269)))+C2269*(1-ABS(D2269)/(ABS(D2270)+ABS(D2269)))),"")))</f>
        <v>#NAME?</v>
      </c>
    </row>
    <row r="2271" spans="2:5" x14ac:dyDescent="0.25">
      <c r="B2271" t="e">
        <f t="shared" ca="1" si="71"/>
        <v>#NAME?</v>
      </c>
      <c r="C2271">
        <v>2228</v>
      </c>
      <c r="D2271" t="e">
        <f t="shared" ca="1" si="70"/>
        <v>#NAME?</v>
      </c>
      <c r="E2271" s="115" t="e">
        <f t="array" aca="1" ref="E2271" ca="1">IF(OR(C2270=0,AND(B2272=0,C2272=0)),"",IFERROR(INDEX($F$27:$F$36,MATCH(C2271,($F$27:$F$36)*($D$27:$D$36&lt;&gt;0),0)),IF(OR(AND(D2271=0,B2271=0,B2272&lt;&gt;0),AND(D2271*D2270&lt;0,B2271&lt;&gt;0)),IF(D2271=0,C2271,C2271*(1-ABS(D2271)/(ABS(D2271)+ABS(D2270)))+C2270*(1-ABS(D2270)/(ABS(D2271)+ABS(D2270)))),"")))</f>
        <v>#NAME?</v>
      </c>
    </row>
    <row r="2272" spans="2:5" x14ac:dyDescent="0.25">
      <c r="B2272" t="e">
        <f t="shared" ca="1" si="71"/>
        <v>#NAME?</v>
      </c>
      <c r="C2272">
        <v>2229</v>
      </c>
      <c r="D2272" t="e">
        <f t="shared" ca="1" si="70"/>
        <v>#NAME?</v>
      </c>
      <c r="E2272" s="115" t="e">
        <f t="array" aca="1" ref="E2272" ca="1">IF(OR(C2271=0,AND(B2273=0,C2273=0)),"",IFERROR(INDEX($F$27:$F$36,MATCH(C2272,($F$27:$F$36)*($D$27:$D$36&lt;&gt;0),0)),IF(OR(AND(D2272=0,B2272=0,B2273&lt;&gt;0),AND(D2272*D2271&lt;0,B2272&lt;&gt;0)),IF(D2272=0,C2272,C2272*(1-ABS(D2272)/(ABS(D2272)+ABS(D2271)))+C2271*(1-ABS(D2271)/(ABS(D2272)+ABS(D2271)))),"")))</f>
        <v>#NAME?</v>
      </c>
    </row>
    <row r="2273" spans="2:5" x14ac:dyDescent="0.25">
      <c r="B2273" t="e">
        <f t="shared" ca="1" si="71"/>
        <v>#NAME?</v>
      </c>
      <c r="C2273">
        <v>2230</v>
      </c>
      <c r="D2273" t="e">
        <f t="shared" ca="1" si="70"/>
        <v>#NAME?</v>
      </c>
      <c r="E2273" s="115" t="e">
        <f t="array" aca="1" ref="E2273" ca="1">IF(OR(C2272=0,AND(B2274=0,C2274=0)),"",IFERROR(INDEX($F$27:$F$36,MATCH(C2273,($F$27:$F$36)*($D$27:$D$36&lt;&gt;0),0)),IF(OR(AND(D2273=0,B2273=0,B2274&lt;&gt;0),AND(D2273*D2272&lt;0,B2273&lt;&gt;0)),IF(D2273=0,C2273,C2273*(1-ABS(D2273)/(ABS(D2273)+ABS(D2272)))+C2272*(1-ABS(D2272)/(ABS(D2273)+ABS(D2272)))),"")))</f>
        <v>#NAME?</v>
      </c>
    </row>
    <row r="2274" spans="2:5" x14ac:dyDescent="0.25">
      <c r="B2274" t="e">
        <f t="shared" ca="1" si="71"/>
        <v>#NAME?</v>
      </c>
      <c r="C2274">
        <v>2231</v>
      </c>
      <c r="D2274" t="e">
        <f t="shared" ca="1" si="70"/>
        <v>#NAME?</v>
      </c>
      <c r="E2274" s="115" t="e">
        <f t="array" aca="1" ref="E2274" ca="1">IF(OR(C2273=0,AND(B2275=0,C2275=0)),"",IFERROR(INDEX($F$27:$F$36,MATCH(C2274,($F$27:$F$36)*($D$27:$D$36&lt;&gt;0),0)),IF(OR(AND(D2274=0,B2274=0,B2275&lt;&gt;0),AND(D2274*D2273&lt;0,B2274&lt;&gt;0)),IF(D2274=0,C2274,C2274*(1-ABS(D2274)/(ABS(D2274)+ABS(D2273)))+C2273*(1-ABS(D2273)/(ABS(D2274)+ABS(D2273)))),"")))</f>
        <v>#NAME?</v>
      </c>
    </row>
    <row r="2275" spans="2:5" x14ac:dyDescent="0.25">
      <c r="B2275" t="e">
        <f t="shared" ca="1" si="71"/>
        <v>#NAME?</v>
      </c>
      <c r="C2275">
        <v>2232</v>
      </c>
      <c r="D2275" t="e">
        <f t="shared" ca="1" si="70"/>
        <v>#NAME?</v>
      </c>
      <c r="E2275" s="115" t="e">
        <f t="array" aca="1" ref="E2275" ca="1">IF(OR(C2274=0,AND(B2276=0,C2276=0)),"",IFERROR(INDEX($F$27:$F$36,MATCH(C2275,($F$27:$F$36)*($D$27:$D$36&lt;&gt;0),0)),IF(OR(AND(D2275=0,B2275=0,B2276&lt;&gt;0),AND(D2275*D2274&lt;0,B2275&lt;&gt;0)),IF(D2275=0,C2275,C2275*(1-ABS(D2275)/(ABS(D2275)+ABS(D2274)))+C2274*(1-ABS(D2274)/(ABS(D2275)+ABS(D2274)))),"")))</f>
        <v>#NAME?</v>
      </c>
    </row>
    <row r="2276" spans="2:5" x14ac:dyDescent="0.25">
      <c r="B2276" t="e">
        <f t="shared" ca="1" si="71"/>
        <v>#NAME?</v>
      </c>
      <c r="C2276">
        <v>2233</v>
      </c>
      <c r="D2276" t="e">
        <f t="shared" ca="1" si="70"/>
        <v>#NAME?</v>
      </c>
      <c r="E2276" s="115" t="e">
        <f t="array" aca="1" ref="E2276" ca="1">IF(OR(C2275=0,AND(B2277=0,C2277=0)),"",IFERROR(INDEX($F$27:$F$36,MATCH(C2276,($F$27:$F$36)*($D$27:$D$36&lt;&gt;0),0)),IF(OR(AND(D2276=0,B2276=0,B2277&lt;&gt;0),AND(D2276*D2275&lt;0,B2276&lt;&gt;0)),IF(D2276=0,C2276,C2276*(1-ABS(D2276)/(ABS(D2276)+ABS(D2275)))+C2275*(1-ABS(D2275)/(ABS(D2276)+ABS(D2275)))),"")))</f>
        <v>#NAME?</v>
      </c>
    </row>
    <row r="2277" spans="2:5" x14ac:dyDescent="0.25">
      <c r="B2277" t="e">
        <f t="shared" ca="1" si="71"/>
        <v>#NAME?</v>
      </c>
      <c r="C2277">
        <v>2234</v>
      </c>
      <c r="D2277" t="e">
        <f t="shared" ca="1" si="70"/>
        <v>#NAME?</v>
      </c>
      <c r="E2277" s="115" t="e">
        <f t="array" aca="1" ref="E2277" ca="1">IF(OR(C2276=0,AND(B2278=0,C2278=0)),"",IFERROR(INDEX($F$27:$F$36,MATCH(C2277,($F$27:$F$36)*($D$27:$D$36&lt;&gt;0),0)),IF(OR(AND(D2277=0,B2277=0,B2278&lt;&gt;0),AND(D2277*D2276&lt;0,B2277&lt;&gt;0)),IF(D2277=0,C2277,C2277*(1-ABS(D2277)/(ABS(D2277)+ABS(D2276)))+C2276*(1-ABS(D2276)/(ABS(D2277)+ABS(D2276)))),"")))</f>
        <v>#NAME?</v>
      </c>
    </row>
    <row r="2278" spans="2:5" x14ac:dyDescent="0.25">
      <c r="B2278" t="e">
        <f t="shared" ca="1" si="71"/>
        <v>#NAME?</v>
      </c>
      <c r="C2278">
        <v>2235</v>
      </c>
      <c r="D2278" t="e">
        <f t="shared" ca="1" si="70"/>
        <v>#NAME?</v>
      </c>
      <c r="E2278" s="115" t="e">
        <f t="array" aca="1" ref="E2278" ca="1">IF(OR(C2277=0,AND(B2279=0,C2279=0)),"",IFERROR(INDEX($F$27:$F$36,MATCH(C2278,($F$27:$F$36)*($D$27:$D$36&lt;&gt;0),0)),IF(OR(AND(D2278=0,B2278=0,B2279&lt;&gt;0),AND(D2278*D2277&lt;0,B2278&lt;&gt;0)),IF(D2278=0,C2278,C2278*(1-ABS(D2278)/(ABS(D2278)+ABS(D2277)))+C2277*(1-ABS(D2277)/(ABS(D2278)+ABS(D2277)))),"")))</f>
        <v>#NAME?</v>
      </c>
    </row>
    <row r="2279" spans="2:5" x14ac:dyDescent="0.25">
      <c r="B2279" t="e">
        <f t="shared" ca="1" si="71"/>
        <v>#NAME?</v>
      </c>
      <c r="C2279">
        <v>2236</v>
      </c>
      <c r="D2279" t="e">
        <f t="shared" ca="1" si="70"/>
        <v>#NAME?</v>
      </c>
      <c r="E2279" s="115" t="e">
        <f t="array" aca="1" ref="E2279" ca="1">IF(OR(C2278=0,AND(B2280=0,C2280=0)),"",IFERROR(INDEX($F$27:$F$36,MATCH(C2279,($F$27:$F$36)*($D$27:$D$36&lt;&gt;0),0)),IF(OR(AND(D2279=0,B2279=0,B2280&lt;&gt;0),AND(D2279*D2278&lt;0,B2279&lt;&gt;0)),IF(D2279=0,C2279,C2279*(1-ABS(D2279)/(ABS(D2279)+ABS(D2278)))+C2278*(1-ABS(D2278)/(ABS(D2279)+ABS(D2278)))),"")))</f>
        <v>#NAME?</v>
      </c>
    </row>
    <row r="2280" spans="2:5" x14ac:dyDescent="0.25">
      <c r="B2280" t="e">
        <f t="shared" ca="1" si="71"/>
        <v>#NAME?</v>
      </c>
      <c r="C2280">
        <v>2237</v>
      </c>
      <c r="D2280" t="e">
        <f t="shared" ca="1" si="70"/>
        <v>#NAME?</v>
      </c>
      <c r="E2280" s="115" t="e">
        <f t="array" aca="1" ref="E2280" ca="1">IF(OR(C2279=0,AND(B2281=0,C2281=0)),"",IFERROR(INDEX($F$27:$F$36,MATCH(C2280,($F$27:$F$36)*($D$27:$D$36&lt;&gt;0),0)),IF(OR(AND(D2280=0,B2280=0,B2281&lt;&gt;0),AND(D2280*D2279&lt;0,B2280&lt;&gt;0)),IF(D2280=0,C2280,C2280*(1-ABS(D2280)/(ABS(D2280)+ABS(D2279)))+C2279*(1-ABS(D2279)/(ABS(D2280)+ABS(D2279)))),"")))</f>
        <v>#NAME?</v>
      </c>
    </row>
    <row r="2281" spans="2:5" x14ac:dyDescent="0.25">
      <c r="B2281" t="e">
        <f t="shared" ca="1" si="71"/>
        <v>#NAME?</v>
      </c>
      <c r="C2281">
        <v>2238</v>
      </c>
      <c r="D2281" t="e">
        <f t="shared" ca="1" si="70"/>
        <v>#NAME?</v>
      </c>
      <c r="E2281" s="115" t="e">
        <f t="array" aca="1" ref="E2281" ca="1">IF(OR(C2280=0,AND(B2282=0,C2282=0)),"",IFERROR(INDEX($F$27:$F$36,MATCH(C2281,($F$27:$F$36)*($D$27:$D$36&lt;&gt;0),0)),IF(OR(AND(D2281=0,B2281=0,B2282&lt;&gt;0),AND(D2281*D2280&lt;0,B2281&lt;&gt;0)),IF(D2281=0,C2281,C2281*(1-ABS(D2281)/(ABS(D2281)+ABS(D2280)))+C2280*(1-ABS(D2280)/(ABS(D2281)+ABS(D2280)))),"")))</f>
        <v>#NAME?</v>
      </c>
    </row>
    <row r="2282" spans="2:5" x14ac:dyDescent="0.25">
      <c r="B2282" t="e">
        <f t="shared" ca="1" si="71"/>
        <v>#NAME?</v>
      </c>
      <c r="C2282">
        <v>2239</v>
      </c>
      <c r="D2282" t="e">
        <f t="shared" ca="1" si="70"/>
        <v>#NAME?</v>
      </c>
      <c r="E2282" s="115" t="e">
        <f t="array" aca="1" ref="E2282" ca="1">IF(OR(C2281=0,AND(B2283=0,C2283=0)),"",IFERROR(INDEX($F$27:$F$36,MATCH(C2282,($F$27:$F$36)*($D$27:$D$36&lt;&gt;0),0)),IF(OR(AND(D2282=0,B2282=0,B2283&lt;&gt;0),AND(D2282*D2281&lt;0,B2282&lt;&gt;0)),IF(D2282=0,C2282,C2282*(1-ABS(D2282)/(ABS(D2282)+ABS(D2281)))+C2281*(1-ABS(D2281)/(ABS(D2282)+ABS(D2281)))),"")))</f>
        <v>#NAME?</v>
      </c>
    </row>
    <row r="2283" spans="2:5" x14ac:dyDescent="0.25">
      <c r="B2283" t="e">
        <f t="shared" ca="1" si="71"/>
        <v>#NAME?</v>
      </c>
      <c r="C2283">
        <v>2240</v>
      </c>
      <c r="D2283" t="e">
        <f t="shared" ref="D2283:D2346" ca="1" si="72">SUMPRODUCT(--($J$27:$J$37&gt;0),--($C2283-$F$27:$F$37&gt;0),($D$27:$D$37),($C2283-$F$27:$F$37))+SUMPRODUCT(--($J$27:$J$37&lt;0),--($F$27:$F$37-$C2283&gt;0),($D$27:$D$37),($F$27:$F$37-$C2283))-SUMPRODUCT($D$27:$D$37,$E$27:$E$37)</f>
        <v>#NAME?</v>
      </c>
      <c r="E2283" s="115" t="e">
        <f t="array" aca="1" ref="E2283" ca="1">IF(OR(C2282=0,AND(B2284=0,C2284=0)),"",IFERROR(INDEX($F$27:$F$36,MATCH(C2283,($F$27:$F$36)*($D$27:$D$36&lt;&gt;0),0)),IF(OR(AND(D2283=0,B2283=0,B2284&lt;&gt;0),AND(D2283*D2282&lt;0,B2283&lt;&gt;0)),IF(D2283=0,C2283,C2283*(1-ABS(D2283)/(ABS(D2283)+ABS(D2282)))+C2282*(1-ABS(D2282)/(ABS(D2283)+ABS(D2282)))),"")))</f>
        <v>#NAME?</v>
      </c>
    </row>
    <row r="2284" spans="2:5" x14ac:dyDescent="0.25">
      <c r="B2284" t="e">
        <f t="shared" ref="B2284:B2347" ca="1" si="73">ROUND((D2284-D2283)/(C2284-C2283),12)</f>
        <v>#NAME?</v>
      </c>
      <c r="C2284">
        <v>2241</v>
      </c>
      <c r="D2284" t="e">
        <f t="shared" ca="1" si="72"/>
        <v>#NAME?</v>
      </c>
      <c r="E2284" s="115" t="e">
        <f t="array" aca="1" ref="E2284" ca="1">IF(OR(C2283=0,AND(B2285=0,C2285=0)),"",IFERROR(INDEX($F$27:$F$36,MATCH(C2284,($F$27:$F$36)*($D$27:$D$36&lt;&gt;0),0)),IF(OR(AND(D2284=0,B2284=0,B2285&lt;&gt;0),AND(D2284*D2283&lt;0,B2284&lt;&gt;0)),IF(D2284=0,C2284,C2284*(1-ABS(D2284)/(ABS(D2284)+ABS(D2283)))+C2283*(1-ABS(D2283)/(ABS(D2284)+ABS(D2283)))),"")))</f>
        <v>#NAME?</v>
      </c>
    </row>
    <row r="2285" spans="2:5" x14ac:dyDescent="0.25">
      <c r="B2285" t="e">
        <f t="shared" ca="1" si="73"/>
        <v>#NAME?</v>
      </c>
      <c r="C2285">
        <v>2242</v>
      </c>
      <c r="D2285" t="e">
        <f t="shared" ca="1" si="72"/>
        <v>#NAME?</v>
      </c>
      <c r="E2285" s="115" t="e">
        <f t="array" aca="1" ref="E2285" ca="1">IF(OR(C2284=0,AND(B2286=0,C2286=0)),"",IFERROR(INDEX($F$27:$F$36,MATCH(C2285,($F$27:$F$36)*($D$27:$D$36&lt;&gt;0),0)),IF(OR(AND(D2285=0,B2285=0,B2286&lt;&gt;0),AND(D2285*D2284&lt;0,B2285&lt;&gt;0)),IF(D2285=0,C2285,C2285*(1-ABS(D2285)/(ABS(D2285)+ABS(D2284)))+C2284*(1-ABS(D2284)/(ABS(D2285)+ABS(D2284)))),"")))</f>
        <v>#NAME?</v>
      </c>
    </row>
    <row r="2286" spans="2:5" x14ac:dyDescent="0.25">
      <c r="B2286" t="e">
        <f t="shared" ca="1" si="73"/>
        <v>#NAME?</v>
      </c>
      <c r="C2286">
        <v>2243</v>
      </c>
      <c r="D2286" t="e">
        <f t="shared" ca="1" si="72"/>
        <v>#NAME?</v>
      </c>
      <c r="E2286" s="115" t="e">
        <f t="array" aca="1" ref="E2286" ca="1">IF(OR(C2285=0,AND(B2287=0,C2287=0)),"",IFERROR(INDEX($F$27:$F$36,MATCH(C2286,($F$27:$F$36)*($D$27:$D$36&lt;&gt;0),0)),IF(OR(AND(D2286=0,B2286=0,B2287&lt;&gt;0),AND(D2286*D2285&lt;0,B2286&lt;&gt;0)),IF(D2286=0,C2286,C2286*(1-ABS(D2286)/(ABS(D2286)+ABS(D2285)))+C2285*(1-ABS(D2285)/(ABS(D2286)+ABS(D2285)))),"")))</f>
        <v>#NAME?</v>
      </c>
    </row>
    <row r="2287" spans="2:5" x14ac:dyDescent="0.25">
      <c r="B2287" t="e">
        <f t="shared" ca="1" si="73"/>
        <v>#NAME?</v>
      </c>
      <c r="C2287">
        <v>2244</v>
      </c>
      <c r="D2287" t="e">
        <f t="shared" ca="1" si="72"/>
        <v>#NAME?</v>
      </c>
      <c r="E2287" s="115" t="e">
        <f t="array" aca="1" ref="E2287" ca="1">IF(OR(C2286=0,AND(B2288=0,C2288=0)),"",IFERROR(INDEX($F$27:$F$36,MATCH(C2287,($F$27:$F$36)*($D$27:$D$36&lt;&gt;0),0)),IF(OR(AND(D2287=0,B2287=0,B2288&lt;&gt;0),AND(D2287*D2286&lt;0,B2287&lt;&gt;0)),IF(D2287=0,C2287,C2287*(1-ABS(D2287)/(ABS(D2287)+ABS(D2286)))+C2286*(1-ABS(D2286)/(ABS(D2287)+ABS(D2286)))),"")))</f>
        <v>#NAME?</v>
      </c>
    </row>
    <row r="2288" spans="2:5" x14ac:dyDescent="0.25">
      <c r="B2288" t="e">
        <f t="shared" ca="1" si="73"/>
        <v>#NAME?</v>
      </c>
      <c r="C2288">
        <v>2245</v>
      </c>
      <c r="D2288" t="e">
        <f t="shared" ca="1" si="72"/>
        <v>#NAME?</v>
      </c>
      <c r="E2288" s="115" t="e">
        <f t="array" aca="1" ref="E2288" ca="1">IF(OR(C2287=0,AND(B2289=0,C2289=0)),"",IFERROR(INDEX($F$27:$F$36,MATCH(C2288,($F$27:$F$36)*($D$27:$D$36&lt;&gt;0),0)),IF(OR(AND(D2288=0,B2288=0,B2289&lt;&gt;0),AND(D2288*D2287&lt;0,B2288&lt;&gt;0)),IF(D2288=0,C2288,C2288*(1-ABS(D2288)/(ABS(D2288)+ABS(D2287)))+C2287*(1-ABS(D2287)/(ABS(D2288)+ABS(D2287)))),"")))</f>
        <v>#NAME?</v>
      </c>
    </row>
    <row r="2289" spans="2:5" x14ac:dyDescent="0.25">
      <c r="B2289" t="e">
        <f t="shared" ca="1" si="73"/>
        <v>#NAME?</v>
      </c>
      <c r="C2289">
        <v>2246</v>
      </c>
      <c r="D2289" t="e">
        <f t="shared" ca="1" si="72"/>
        <v>#NAME?</v>
      </c>
      <c r="E2289" s="115" t="e">
        <f t="array" aca="1" ref="E2289" ca="1">IF(OR(C2288=0,AND(B2290=0,C2290=0)),"",IFERROR(INDEX($F$27:$F$36,MATCH(C2289,($F$27:$F$36)*($D$27:$D$36&lt;&gt;0),0)),IF(OR(AND(D2289=0,B2289=0,B2290&lt;&gt;0),AND(D2289*D2288&lt;0,B2289&lt;&gt;0)),IF(D2289=0,C2289,C2289*(1-ABS(D2289)/(ABS(D2289)+ABS(D2288)))+C2288*(1-ABS(D2288)/(ABS(D2289)+ABS(D2288)))),"")))</f>
        <v>#NAME?</v>
      </c>
    </row>
    <row r="2290" spans="2:5" x14ac:dyDescent="0.25">
      <c r="B2290" t="e">
        <f t="shared" ca="1" si="73"/>
        <v>#NAME?</v>
      </c>
      <c r="C2290">
        <v>2247</v>
      </c>
      <c r="D2290" t="e">
        <f t="shared" ca="1" si="72"/>
        <v>#NAME?</v>
      </c>
      <c r="E2290" s="115" t="e">
        <f t="array" aca="1" ref="E2290" ca="1">IF(OR(C2289=0,AND(B2291=0,C2291=0)),"",IFERROR(INDEX($F$27:$F$36,MATCH(C2290,($F$27:$F$36)*($D$27:$D$36&lt;&gt;0),0)),IF(OR(AND(D2290=0,B2290=0,B2291&lt;&gt;0),AND(D2290*D2289&lt;0,B2290&lt;&gt;0)),IF(D2290=0,C2290,C2290*(1-ABS(D2290)/(ABS(D2290)+ABS(D2289)))+C2289*(1-ABS(D2289)/(ABS(D2290)+ABS(D2289)))),"")))</f>
        <v>#NAME?</v>
      </c>
    </row>
    <row r="2291" spans="2:5" x14ac:dyDescent="0.25">
      <c r="B2291" t="e">
        <f t="shared" ca="1" si="73"/>
        <v>#NAME?</v>
      </c>
      <c r="C2291">
        <v>2248</v>
      </c>
      <c r="D2291" t="e">
        <f t="shared" ca="1" si="72"/>
        <v>#NAME?</v>
      </c>
      <c r="E2291" s="115" t="e">
        <f t="array" aca="1" ref="E2291" ca="1">IF(OR(C2290=0,AND(B2292=0,C2292=0)),"",IFERROR(INDEX($F$27:$F$36,MATCH(C2291,($F$27:$F$36)*($D$27:$D$36&lt;&gt;0),0)),IF(OR(AND(D2291=0,B2291=0,B2292&lt;&gt;0),AND(D2291*D2290&lt;0,B2291&lt;&gt;0)),IF(D2291=0,C2291,C2291*(1-ABS(D2291)/(ABS(D2291)+ABS(D2290)))+C2290*(1-ABS(D2290)/(ABS(D2291)+ABS(D2290)))),"")))</f>
        <v>#NAME?</v>
      </c>
    </row>
    <row r="2292" spans="2:5" x14ac:dyDescent="0.25">
      <c r="B2292" t="e">
        <f t="shared" ca="1" si="73"/>
        <v>#NAME?</v>
      </c>
      <c r="C2292">
        <v>2249</v>
      </c>
      <c r="D2292" t="e">
        <f t="shared" ca="1" si="72"/>
        <v>#NAME?</v>
      </c>
      <c r="E2292" s="115" t="e">
        <f t="array" aca="1" ref="E2292" ca="1">IF(OR(C2291=0,AND(B2293=0,C2293=0)),"",IFERROR(INDEX($F$27:$F$36,MATCH(C2292,($F$27:$F$36)*($D$27:$D$36&lt;&gt;0),0)),IF(OR(AND(D2292=0,B2292=0,B2293&lt;&gt;0),AND(D2292*D2291&lt;0,B2292&lt;&gt;0)),IF(D2292=0,C2292,C2292*(1-ABS(D2292)/(ABS(D2292)+ABS(D2291)))+C2291*(1-ABS(D2291)/(ABS(D2292)+ABS(D2291)))),"")))</f>
        <v>#NAME?</v>
      </c>
    </row>
    <row r="2293" spans="2:5" x14ac:dyDescent="0.25">
      <c r="B2293" t="e">
        <f t="shared" ca="1" si="73"/>
        <v>#NAME?</v>
      </c>
      <c r="C2293">
        <v>2250</v>
      </c>
      <c r="D2293" t="e">
        <f t="shared" ca="1" si="72"/>
        <v>#NAME?</v>
      </c>
      <c r="E2293" s="115" t="e">
        <f t="array" aca="1" ref="E2293" ca="1">IF(OR(C2292=0,AND(B2294=0,C2294=0)),"",IFERROR(INDEX($F$27:$F$36,MATCH(C2293,($F$27:$F$36)*($D$27:$D$36&lt;&gt;0),0)),IF(OR(AND(D2293=0,B2293=0,B2294&lt;&gt;0),AND(D2293*D2292&lt;0,B2293&lt;&gt;0)),IF(D2293=0,C2293,C2293*(1-ABS(D2293)/(ABS(D2293)+ABS(D2292)))+C2292*(1-ABS(D2292)/(ABS(D2293)+ABS(D2292)))),"")))</f>
        <v>#NAME?</v>
      </c>
    </row>
    <row r="2294" spans="2:5" x14ac:dyDescent="0.25">
      <c r="B2294" t="e">
        <f t="shared" ca="1" si="73"/>
        <v>#NAME?</v>
      </c>
      <c r="C2294">
        <v>2251</v>
      </c>
      <c r="D2294" t="e">
        <f t="shared" ca="1" si="72"/>
        <v>#NAME?</v>
      </c>
      <c r="E2294" s="115" t="e">
        <f t="array" aca="1" ref="E2294" ca="1">IF(OR(C2293=0,AND(B2295=0,C2295=0)),"",IFERROR(INDEX($F$27:$F$36,MATCH(C2294,($F$27:$F$36)*($D$27:$D$36&lt;&gt;0),0)),IF(OR(AND(D2294=0,B2294=0,B2295&lt;&gt;0),AND(D2294*D2293&lt;0,B2294&lt;&gt;0)),IF(D2294=0,C2294,C2294*(1-ABS(D2294)/(ABS(D2294)+ABS(D2293)))+C2293*(1-ABS(D2293)/(ABS(D2294)+ABS(D2293)))),"")))</f>
        <v>#NAME?</v>
      </c>
    </row>
    <row r="2295" spans="2:5" x14ac:dyDescent="0.25">
      <c r="B2295" t="e">
        <f t="shared" ca="1" si="73"/>
        <v>#NAME?</v>
      </c>
      <c r="C2295">
        <v>2252</v>
      </c>
      <c r="D2295" t="e">
        <f t="shared" ca="1" si="72"/>
        <v>#NAME?</v>
      </c>
      <c r="E2295" s="115" t="e">
        <f t="array" aca="1" ref="E2295" ca="1">IF(OR(C2294=0,AND(B2296=0,C2296=0)),"",IFERROR(INDEX($F$27:$F$36,MATCH(C2295,($F$27:$F$36)*($D$27:$D$36&lt;&gt;0),0)),IF(OR(AND(D2295=0,B2295=0,B2296&lt;&gt;0),AND(D2295*D2294&lt;0,B2295&lt;&gt;0)),IF(D2295=0,C2295,C2295*(1-ABS(D2295)/(ABS(D2295)+ABS(D2294)))+C2294*(1-ABS(D2294)/(ABS(D2295)+ABS(D2294)))),"")))</f>
        <v>#NAME?</v>
      </c>
    </row>
    <row r="2296" spans="2:5" x14ac:dyDescent="0.25">
      <c r="B2296" t="e">
        <f t="shared" ca="1" si="73"/>
        <v>#NAME?</v>
      </c>
      <c r="C2296">
        <v>2253</v>
      </c>
      <c r="D2296" t="e">
        <f t="shared" ca="1" si="72"/>
        <v>#NAME?</v>
      </c>
      <c r="E2296" s="115" t="e">
        <f t="array" aca="1" ref="E2296" ca="1">IF(OR(C2295=0,AND(B2297=0,C2297=0)),"",IFERROR(INDEX($F$27:$F$36,MATCH(C2296,($F$27:$F$36)*($D$27:$D$36&lt;&gt;0),0)),IF(OR(AND(D2296=0,B2296=0,B2297&lt;&gt;0),AND(D2296*D2295&lt;0,B2296&lt;&gt;0)),IF(D2296=0,C2296,C2296*(1-ABS(D2296)/(ABS(D2296)+ABS(D2295)))+C2295*(1-ABS(D2295)/(ABS(D2296)+ABS(D2295)))),"")))</f>
        <v>#NAME?</v>
      </c>
    </row>
    <row r="2297" spans="2:5" x14ac:dyDescent="0.25">
      <c r="B2297" t="e">
        <f t="shared" ca="1" si="73"/>
        <v>#NAME?</v>
      </c>
      <c r="C2297">
        <v>2254</v>
      </c>
      <c r="D2297" t="e">
        <f t="shared" ca="1" si="72"/>
        <v>#NAME?</v>
      </c>
      <c r="E2297" s="115" t="e">
        <f t="array" aca="1" ref="E2297" ca="1">IF(OR(C2296=0,AND(B2298=0,C2298=0)),"",IFERROR(INDEX($F$27:$F$36,MATCH(C2297,($F$27:$F$36)*($D$27:$D$36&lt;&gt;0),0)),IF(OR(AND(D2297=0,B2297=0,B2298&lt;&gt;0),AND(D2297*D2296&lt;0,B2297&lt;&gt;0)),IF(D2297=0,C2297,C2297*(1-ABS(D2297)/(ABS(D2297)+ABS(D2296)))+C2296*(1-ABS(D2296)/(ABS(D2297)+ABS(D2296)))),"")))</f>
        <v>#NAME?</v>
      </c>
    </row>
    <row r="2298" spans="2:5" x14ac:dyDescent="0.25">
      <c r="B2298" t="e">
        <f t="shared" ca="1" si="73"/>
        <v>#NAME?</v>
      </c>
      <c r="C2298">
        <v>2255</v>
      </c>
      <c r="D2298" t="e">
        <f t="shared" ca="1" si="72"/>
        <v>#NAME?</v>
      </c>
      <c r="E2298" s="115" t="e">
        <f t="array" aca="1" ref="E2298" ca="1">IF(OR(C2297=0,AND(B2299=0,C2299=0)),"",IFERROR(INDEX($F$27:$F$36,MATCH(C2298,($F$27:$F$36)*($D$27:$D$36&lt;&gt;0),0)),IF(OR(AND(D2298=0,B2298=0,B2299&lt;&gt;0),AND(D2298*D2297&lt;0,B2298&lt;&gt;0)),IF(D2298=0,C2298,C2298*(1-ABS(D2298)/(ABS(D2298)+ABS(D2297)))+C2297*(1-ABS(D2297)/(ABS(D2298)+ABS(D2297)))),"")))</f>
        <v>#NAME?</v>
      </c>
    </row>
    <row r="2299" spans="2:5" x14ac:dyDescent="0.25">
      <c r="B2299" t="e">
        <f t="shared" ca="1" si="73"/>
        <v>#NAME?</v>
      </c>
      <c r="C2299">
        <v>2256</v>
      </c>
      <c r="D2299" t="e">
        <f t="shared" ca="1" si="72"/>
        <v>#NAME?</v>
      </c>
      <c r="E2299" s="115" t="e">
        <f t="array" aca="1" ref="E2299" ca="1">IF(OR(C2298=0,AND(B2300=0,C2300=0)),"",IFERROR(INDEX($F$27:$F$36,MATCH(C2299,($F$27:$F$36)*($D$27:$D$36&lt;&gt;0),0)),IF(OR(AND(D2299=0,B2299=0,B2300&lt;&gt;0),AND(D2299*D2298&lt;0,B2299&lt;&gt;0)),IF(D2299=0,C2299,C2299*(1-ABS(D2299)/(ABS(D2299)+ABS(D2298)))+C2298*(1-ABS(D2298)/(ABS(D2299)+ABS(D2298)))),"")))</f>
        <v>#NAME?</v>
      </c>
    </row>
    <row r="2300" spans="2:5" x14ac:dyDescent="0.25">
      <c r="B2300" t="e">
        <f t="shared" ca="1" si="73"/>
        <v>#NAME?</v>
      </c>
      <c r="C2300">
        <v>2257</v>
      </c>
      <c r="D2300" t="e">
        <f t="shared" ca="1" si="72"/>
        <v>#NAME?</v>
      </c>
      <c r="E2300" s="115" t="e">
        <f t="array" aca="1" ref="E2300" ca="1">IF(OR(C2299=0,AND(B2301=0,C2301=0)),"",IFERROR(INDEX($F$27:$F$36,MATCH(C2300,($F$27:$F$36)*($D$27:$D$36&lt;&gt;0),0)),IF(OR(AND(D2300=0,B2300=0,B2301&lt;&gt;0),AND(D2300*D2299&lt;0,B2300&lt;&gt;0)),IF(D2300=0,C2300,C2300*(1-ABS(D2300)/(ABS(D2300)+ABS(D2299)))+C2299*(1-ABS(D2299)/(ABS(D2300)+ABS(D2299)))),"")))</f>
        <v>#NAME?</v>
      </c>
    </row>
    <row r="2301" spans="2:5" x14ac:dyDescent="0.25">
      <c r="B2301" t="e">
        <f t="shared" ca="1" si="73"/>
        <v>#NAME?</v>
      </c>
      <c r="C2301">
        <v>2258</v>
      </c>
      <c r="D2301" t="e">
        <f t="shared" ca="1" si="72"/>
        <v>#NAME?</v>
      </c>
      <c r="E2301" s="115" t="e">
        <f t="array" aca="1" ref="E2301" ca="1">IF(OR(C2300=0,AND(B2302=0,C2302=0)),"",IFERROR(INDEX($F$27:$F$36,MATCH(C2301,($F$27:$F$36)*($D$27:$D$36&lt;&gt;0),0)),IF(OR(AND(D2301=0,B2301=0,B2302&lt;&gt;0),AND(D2301*D2300&lt;0,B2301&lt;&gt;0)),IF(D2301=0,C2301,C2301*(1-ABS(D2301)/(ABS(D2301)+ABS(D2300)))+C2300*(1-ABS(D2300)/(ABS(D2301)+ABS(D2300)))),"")))</f>
        <v>#NAME?</v>
      </c>
    </row>
    <row r="2302" spans="2:5" x14ac:dyDescent="0.25">
      <c r="B2302" t="e">
        <f t="shared" ca="1" si="73"/>
        <v>#NAME?</v>
      </c>
      <c r="C2302">
        <v>2259</v>
      </c>
      <c r="D2302" t="e">
        <f t="shared" ca="1" si="72"/>
        <v>#NAME?</v>
      </c>
      <c r="E2302" s="115" t="e">
        <f t="array" aca="1" ref="E2302" ca="1">IF(OR(C2301=0,AND(B2303=0,C2303=0)),"",IFERROR(INDEX($F$27:$F$36,MATCH(C2302,($F$27:$F$36)*($D$27:$D$36&lt;&gt;0),0)),IF(OR(AND(D2302=0,B2302=0,B2303&lt;&gt;0),AND(D2302*D2301&lt;0,B2302&lt;&gt;0)),IF(D2302=0,C2302,C2302*(1-ABS(D2302)/(ABS(D2302)+ABS(D2301)))+C2301*(1-ABS(D2301)/(ABS(D2302)+ABS(D2301)))),"")))</f>
        <v>#NAME?</v>
      </c>
    </row>
    <row r="2303" spans="2:5" x14ac:dyDescent="0.25">
      <c r="B2303" t="e">
        <f t="shared" ca="1" si="73"/>
        <v>#NAME?</v>
      </c>
      <c r="C2303">
        <v>2260</v>
      </c>
      <c r="D2303" t="e">
        <f t="shared" ca="1" si="72"/>
        <v>#NAME?</v>
      </c>
      <c r="E2303" s="115" t="e">
        <f t="array" aca="1" ref="E2303" ca="1">IF(OR(C2302=0,AND(B2304=0,C2304=0)),"",IFERROR(INDEX($F$27:$F$36,MATCH(C2303,($F$27:$F$36)*($D$27:$D$36&lt;&gt;0),0)),IF(OR(AND(D2303=0,B2303=0,B2304&lt;&gt;0),AND(D2303*D2302&lt;0,B2303&lt;&gt;0)),IF(D2303=0,C2303,C2303*(1-ABS(D2303)/(ABS(D2303)+ABS(D2302)))+C2302*(1-ABS(D2302)/(ABS(D2303)+ABS(D2302)))),"")))</f>
        <v>#NAME?</v>
      </c>
    </row>
    <row r="2304" spans="2:5" x14ac:dyDescent="0.25">
      <c r="B2304" t="e">
        <f t="shared" ca="1" si="73"/>
        <v>#NAME?</v>
      </c>
      <c r="C2304">
        <v>2261</v>
      </c>
      <c r="D2304" t="e">
        <f t="shared" ca="1" si="72"/>
        <v>#NAME?</v>
      </c>
      <c r="E2304" s="115" t="e">
        <f t="array" aca="1" ref="E2304" ca="1">IF(OR(C2303=0,AND(B2305=0,C2305=0)),"",IFERROR(INDEX($F$27:$F$36,MATCH(C2304,($F$27:$F$36)*($D$27:$D$36&lt;&gt;0),0)),IF(OR(AND(D2304=0,B2304=0,B2305&lt;&gt;0),AND(D2304*D2303&lt;0,B2304&lt;&gt;0)),IF(D2304=0,C2304,C2304*(1-ABS(D2304)/(ABS(D2304)+ABS(D2303)))+C2303*(1-ABS(D2303)/(ABS(D2304)+ABS(D2303)))),"")))</f>
        <v>#NAME?</v>
      </c>
    </row>
    <row r="2305" spans="2:5" x14ac:dyDescent="0.25">
      <c r="B2305" t="e">
        <f t="shared" ca="1" si="73"/>
        <v>#NAME?</v>
      </c>
      <c r="C2305">
        <v>2262</v>
      </c>
      <c r="D2305" t="e">
        <f t="shared" ca="1" si="72"/>
        <v>#NAME?</v>
      </c>
      <c r="E2305" s="115" t="e">
        <f t="array" aca="1" ref="E2305" ca="1">IF(OR(C2304=0,AND(B2306=0,C2306=0)),"",IFERROR(INDEX($F$27:$F$36,MATCH(C2305,($F$27:$F$36)*($D$27:$D$36&lt;&gt;0),0)),IF(OR(AND(D2305=0,B2305=0,B2306&lt;&gt;0),AND(D2305*D2304&lt;0,B2305&lt;&gt;0)),IF(D2305=0,C2305,C2305*(1-ABS(D2305)/(ABS(D2305)+ABS(D2304)))+C2304*(1-ABS(D2304)/(ABS(D2305)+ABS(D2304)))),"")))</f>
        <v>#NAME?</v>
      </c>
    </row>
    <row r="2306" spans="2:5" x14ac:dyDescent="0.25">
      <c r="B2306" t="e">
        <f t="shared" ca="1" si="73"/>
        <v>#NAME?</v>
      </c>
      <c r="C2306">
        <v>2263</v>
      </c>
      <c r="D2306" t="e">
        <f t="shared" ca="1" si="72"/>
        <v>#NAME?</v>
      </c>
      <c r="E2306" s="115" t="e">
        <f t="array" aca="1" ref="E2306" ca="1">IF(OR(C2305=0,AND(B2307=0,C2307=0)),"",IFERROR(INDEX($F$27:$F$36,MATCH(C2306,($F$27:$F$36)*($D$27:$D$36&lt;&gt;0),0)),IF(OR(AND(D2306=0,B2306=0,B2307&lt;&gt;0),AND(D2306*D2305&lt;0,B2306&lt;&gt;0)),IF(D2306=0,C2306,C2306*(1-ABS(D2306)/(ABS(D2306)+ABS(D2305)))+C2305*(1-ABS(D2305)/(ABS(D2306)+ABS(D2305)))),"")))</f>
        <v>#NAME?</v>
      </c>
    </row>
    <row r="2307" spans="2:5" x14ac:dyDescent="0.25">
      <c r="B2307" t="e">
        <f t="shared" ca="1" si="73"/>
        <v>#NAME?</v>
      </c>
      <c r="C2307">
        <v>2264</v>
      </c>
      <c r="D2307" t="e">
        <f t="shared" ca="1" si="72"/>
        <v>#NAME?</v>
      </c>
      <c r="E2307" s="115" t="e">
        <f t="array" aca="1" ref="E2307" ca="1">IF(OR(C2306=0,AND(B2308=0,C2308=0)),"",IFERROR(INDEX($F$27:$F$36,MATCH(C2307,($F$27:$F$36)*($D$27:$D$36&lt;&gt;0),0)),IF(OR(AND(D2307=0,B2307=0,B2308&lt;&gt;0),AND(D2307*D2306&lt;0,B2307&lt;&gt;0)),IF(D2307=0,C2307,C2307*(1-ABS(D2307)/(ABS(D2307)+ABS(D2306)))+C2306*(1-ABS(D2306)/(ABS(D2307)+ABS(D2306)))),"")))</f>
        <v>#NAME?</v>
      </c>
    </row>
    <row r="2308" spans="2:5" x14ac:dyDescent="0.25">
      <c r="B2308" t="e">
        <f t="shared" ca="1" si="73"/>
        <v>#NAME?</v>
      </c>
      <c r="C2308">
        <v>2265</v>
      </c>
      <c r="D2308" t="e">
        <f t="shared" ca="1" si="72"/>
        <v>#NAME?</v>
      </c>
      <c r="E2308" s="115" t="e">
        <f t="array" aca="1" ref="E2308" ca="1">IF(OR(C2307=0,AND(B2309=0,C2309=0)),"",IFERROR(INDEX($F$27:$F$36,MATCH(C2308,($F$27:$F$36)*($D$27:$D$36&lt;&gt;0),0)),IF(OR(AND(D2308=0,B2308=0,B2309&lt;&gt;0),AND(D2308*D2307&lt;0,B2308&lt;&gt;0)),IF(D2308=0,C2308,C2308*(1-ABS(D2308)/(ABS(D2308)+ABS(D2307)))+C2307*(1-ABS(D2307)/(ABS(D2308)+ABS(D2307)))),"")))</f>
        <v>#NAME?</v>
      </c>
    </row>
    <row r="2309" spans="2:5" x14ac:dyDescent="0.25">
      <c r="B2309" t="e">
        <f t="shared" ca="1" si="73"/>
        <v>#NAME?</v>
      </c>
      <c r="C2309">
        <v>2266</v>
      </c>
      <c r="D2309" t="e">
        <f t="shared" ca="1" si="72"/>
        <v>#NAME?</v>
      </c>
      <c r="E2309" s="115" t="e">
        <f t="array" aca="1" ref="E2309" ca="1">IF(OR(C2308=0,AND(B2310=0,C2310=0)),"",IFERROR(INDEX($F$27:$F$36,MATCH(C2309,($F$27:$F$36)*($D$27:$D$36&lt;&gt;0),0)),IF(OR(AND(D2309=0,B2309=0,B2310&lt;&gt;0),AND(D2309*D2308&lt;0,B2309&lt;&gt;0)),IF(D2309=0,C2309,C2309*(1-ABS(D2309)/(ABS(D2309)+ABS(D2308)))+C2308*(1-ABS(D2308)/(ABS(D2309)+ABS(D2308)))),"")))</f>
        <v>#NAME?</v>
      </c>
    </row>
    <row r="2310" spans="2:5" x14ac:dyDescent="0.25">
      <c r="B2310" t="e">
        <f t="shared" ca="1" si="73"/>
        <v>#NAME?</v>
      </c>
      <c r="C2310">
        <v>2267</v>
      </c>
      <c r="D2310" t="e">
        <f t="shared" ca="1" si="72"/>
        <v>#NAME?</v>
      </c>
      <c r="E2310" s="115" t="e">
        <f t="array" aca="1" ref="E2310" ca="1">IF(OR(C2309=0,AND(B2311=0,C2311=0)),"",IFERROR(INDEX($F$27:$F$36,MATCH(C2310,($F$27:$F$36)*($D$27:$D$36&lt;&gt;0),0)),IF(OR(AND(D2310=0,B2310=0,B2311&lt;&gt;0),AND(D2310*D2309&lt;0,B2310&lt;&gt;0)),IF(D2310=0,C2310,C2310*(1-ABS(D2310)/(ABS(D2310)+ABS(D2309)))+C2309*(1-ABS(D2309)/(ABS(D2310)+ABS(D2309)))),"")))</f>
        <v>#NAME?</v>
      </c>
    </row>
    <row r="2311" spans="2:5" x14ac:dyDescent="0.25">
      <c r="B2311" t="e">
        <f t="shared" ca="1" si="73"/>
        <v>#NAME?</v>
      </c>
      <c r="C2311">
        <v>2268</v>
      </c>
      <c r="D2311" t="e">
        <f t="shared" ca="1" si="72"/>
        <v>#NAME?</v>
      </c>
      <c r="E2311" s="115" t="e">
        <f t="array" aca="1" ref="E2311" ca="1">IF(OR(C2310=0,AND(B2312=0,C2312=0)),"",IFERROR(INDEX($F$27:$F$36,MATCH(C2311,($F$27:$F$36)*($D$27:$D$36&lt;&gt;0),0)),IF(OR(AND(D2311=0,B2311=0,B2312&lt;&gt;0),AND(D2311*D2310&lt;0,B2311&lt;&gt;0)),IF(D2311=0,C2311,C2311*(1-ABS(D2311)/(ABS(D2311)+ABS(D2310)))+C2310*(1-ABS(D2310)/(ABS(D2311)+ABS(D2310)))),"")))</f>
        <v>#NAME?</v>
      </c>
    </row>
    <row r="2312" spans="2:5" x14ac:dyDescent="0.25">
      <c r="B2312" t="e">
        <f t="shared" ca="1" si="73"/>
        <v>#NAME?</v>
      </c>
      <c r="C2312">
        <v>2269</v>
      </c>
      <c r="D2312" t="e">
        <f t="shared" ca="1" si="72"/>
        <v>#NAME?</v>
      </c>
      <c r="E2312" s="115" t="e">
        <f t="array" aca="1" ref="E2312" ca="1">IF(OR(C2311=0,AND(B2313=0,C2313=0)),"",IFERROR(INDEX($F$27:$F$36,MATCH(C2312,($F$27:$F$36)*($D$27:$D$36&lt;&gt;0),0)),IF(OR(AND(D2312=0,B2312=0,B2313&lt;&gt;0),AND(D2312*D2311&lt;0,B2312&lt;&gt;0)),IF(D2312=0,C2312,C2312*(1-ABS(D2312)/(ABS(D2312)+ABS(D2311)))+C2311*(1-ABS(D2311)/(ABS(D2312)+ABS(D2311)))),"")))</f>
        <v>#NAME?</v>
      </c>
    </row>
    <row r="2313" spans="2:5" x14ac:dyDescent="0.25">
      <c r="B2313" t="e">
        <f t="shared" ca="1" si="73"/>
        <v>#NAME?</v>
      </c>
      <c r="C2313">
        <v>2270</v>
      </c>
      <c r="D2313" t="e">
        <f t="shared" ca="1" si="72"/>
        <v>#NAME?</v>
      </c>
      <c r="E2313" s="115" t="e">
        <f t="array" aca="1" ref="E2313" ca="1">IF(OR(C2312=0,AND(B2314=0,C2314=0)),"",IFERROR(INDEX($F$27:$F$36,MATCH(C2313,($F$27:$F$36)*($D$27:$D$36&lt;&gt;0),0)),IF(OR(AND(D2313=0,B2313=0,B2314&lt;&gt;0),AND(D2313*D2312&lt;0,B2313&lt;&gt;0)),IF(D2313=0,C2313,C2313*(1-ABS(D2313)/(ABS(D2313)+ABS(D2312)))+C2312*(1-ABS(D2312)/(ABS(D2313)+ABS(D2312)))),"")))</f>
        <v>#NAME?</v>
      </c>
    </row>
    <row r="2314" spans="2:5" x14ac:dyDescent="0.25">
      <c r="B2314" t="e">
        <f t="shared" ca="1" si="73"/>
        <v>#NAME?</v>
      </c>
      <c r="C2314">
        <v>2271</v>
      </c>
      <c r="D2314" t="e">
        <f t="shared" ca="1" si="72"/>
        <v>#NAME?</v>
      </c>
      <c r="E2314" s="115" t="e">
        <f t="array" aca="1" ref="E2314" ca="1">IF(OR(C2313=0,AND(B2315=0,C2315=0)),"",IFERROR(INDEX($F$27:$F$36,MATCH(C2314,($F$27:$F$36)*($D$27:$D$36&lt;&gt;0),0)),IF(OR(AND(D2314=0,B2314=0,B2315&lt;&gt;0),AND(D2314*D2313&lt;0,B2314&lt;&gt;0)),IF(D2314=0,C2314,C2314*(1-ABS(D2314)/(ABS(D2314)+ABS(D2313)))+C2313*(1-ABS(D2313)/(ABS(D2314)+ABS(D2313)))),"")))</f>
        <v>#NAME?</v>
      </c>
    </row>
    <row r="2315" spans="2:5" x14ac:dyDescent="0.25">
      <c r="B2315" t="e">
        <f t="shared" ca="1" si="73"/>
        <v>#NAME?</v>
      </c>
      <c r="C2315">
        <v>2272</v>
      </c>
      <c r="D2315" t="e">
        <f t="shared" ca="1" si="72"/>
        <v>#NAME?</v>
      </c>
      <c r="E2315" s="115" t="e">
        <f t="array" aca="1" ref="E2315" ca="1">IF(OR(C2314=0,AND(B2316=0,C2316=0)),"",IFERROR(INDEX($F$27:$F$36,MATCH(C2315,($F$27:$F$36)*($D$27:$D$36&lt;&gt;0),0)),IF(OR(AND(D2315=0,B2315=0,B2316&lt;&gt;0),AND(D2315*D2314&lt;0,B2315&lt;&gt;0)),IF(D2315=0,C2315,C2315*(1-ABS(D2315)/(ABS(D2315)+ABS(D2314)))+C2314*(1-ABS(D2314)/(ABS(D2315)+ABS(D2314)))),"")))</f>
        <v>#NAME?</v>
      </c>
    </row>
    <row r="2316" spans="2:5" x14ac:dyDescent="0.25">
      <c r="B2316" t="e">
        <f t="shared" ca="1" si="73"/>
        <v>#NAME?</v>
      </c>
      <c r="C2316">
        <v>2273</v>
      </c>
      <c r="D2316" t="e">
        <f t="shared" ca="1" si="72"/>
        <v>#NAME?</v>
      </c>
      <c r="E2316" s="115" t="e">
        <f t="array" aca="1" ref="E2316" ca="1">IF(OR(C2315=0,AND(B2317=0,C2317=0)),"",IFERROR(INDEX($F$27:$F$36,MATCH(C2316,($F$27:$F$36)*($D$27:$D$36&lt;&gt;0),0)),IF(OR(AND(D2316=0,B2316=0,B2317&lt;&gt;0),AND(D2316*D2315&lt;0,B2316&lt;&gt;0)),IF(D2316=0,C2316,C2316*(1-ABS(D2316)/(ABS(D2316)+ABS(D2315)))+C2315*(1-ABS(D2315)/(ABS(D2316)+ABS(D2315)))),"")))</f>
        <v>#NAME?</v>
      </c>
    </row>
    <row r="2317" spans="2:5" x14ac:dyDescent="0.25">
      <c r="B2317" t="e">
        <f t="shared" ca="1" si="73"/>
        <v>#NAME?</v>
      </c>
      <c r="C2317">
        <v>2274</v>
      </c>
      <c r="D2317" t="e">
        <f t="shared" ca="1" si="72"/>
        <v>#NAME?</v>
      </c>
      <c r="E2317" s="115" t="e">
        <f t="array" aca="1" ref="E2317" ca="1">IF(OR(C2316=0,AND(B2318=0,C2318=0)),"",IFERROR(INDEX($F$27:$F$36,MATCH(C2317,($F$27:$F$36)*($D$27:$D$36&lt;&gt;0),0)),IF(OR(AND(D2317=0,B2317=0,B2318&lt;&gt;0),AND(D2317*D2316&lt;0,B2317&lt;&gt;0)),IF(D2317=0,C2317,C2317*(1-ABS(D2317)/(ABS(D2317)+ABS(D2316)))+C2316*(1-ABS(D2316)/(ABS(D2317)+ABS(D2316)))),"")))</f>
        <v>#NAME?</v>
      </c>
    </row>
    <row r="2318" spans="2:5" x14ac:dyDescent="0.25">
      <c r="B2318" t="e">
        <f t="shared" ca="1" si="73"/>
        <v>#NAME?</v>
      </c>
      <c r="C2318">
        <v>2275</v>
      </c>
      <c r="D2318" t="e">
        <f t="shared" ca="1" si="72"/>
        <v>#NAME?</v>
      </c>
      <c r="E2318" s="115" t="e">
        <f t="array" aca="1" ref="E2318" ca="1">IF(OR(C2317=0,AND(B2319=0,C2319=0)),"",IFERROR(INDEX($F$27:$F$36,MATCH(C2318,($F$27:$F$36)*($D$27:$D$36&lt;&gt;0),0)),IF(OR(AND(D2318=0,B2318=0,B2319&lt;&gt;0),AND(D2318*D2317&lt;0,B2318&lt;&gt;0)),IF(D2318=0,C2318,C2318*(1-ABS(D2318)/(ABS(D2318)+ABS(D2317)))+C2317*(1-ABS(D2317)/(ABS(D2318)+ABS(D2317)))),"")))</f>
        <v>#NAME?</v>
      </c>
    </row>
    <row r="2319" spans="2:5" x14ac:dyDescent="0.25">
      <c r="B2319" t="e">
        <f t="shared" ca="1" si="73"/>
        <v>#NAME?</v>
      </c>
      <c r="C2319">
        <v>2276</v>
      </c>
      <c r="D2319" t="e">
        <f t="shared" ca="1" si="72"/>
        <v>#NAME?</v>
      </c>
      <c r="E2319" s="115" t="e">
        <f t="array" aca="1" ref="E2319" ca="1">IF(OR(C2318=0,AND(B2320=0,C2320=0)),"",IFERROR(INDEX($F$27:$F$36,MATCH(C2319,($F$27:$F$36)*($D$27:$D$36&lt;&gt;0),0)),IF(OR(AND(D2319=0,B2319=0,B2320&lt;&gt;0),AND(D2319*D2318&lt;0,B2319&lt;&gt;0)),IF(D2319=0,C2319,C2319*(1-ABS(D2319)/(ABS(D2319)+ABS(D2318)))+C2318*(1-ABS(D2318)/(ABS(D2319)+ABS(D2318)))),"")))</f>
        <v>#NAME?</v>
      </c>
    </row>
    <row r="2320" spans="2:5" x14ac:dyDescent="0.25">
      <c r="B2320" t="e">
        <f t="shared" ca="1" si="73"/>
        <v>#NAME?</v>
      </c>
      <c r="C2320">
        <v>2277</v>
      </c>
      <c r="D2320" t="e">
        <f t="shared" ca="1" si="72"/>
        <v>#NAME?</v>
      </c>
      <c r="E2320" s="115" t="e">
        <f t="array" aca="1" ref="E2320" ca="1">IF(OR(C2319=0,AND(B2321=0,C2321=0)),"",IFERROR(INDEX($F$27:$F$36,MATCH(C2320,($F$27:$F$36)*($D$27:$D$36&lt;&gt;0),0)),IF(OR(AND(D2320=0,B2320=0,B2321&lt;&gt;0),AND(D2320*D2319&lt;0,B2320&lt;&gt;0)),IF(D2320=0,C2320,C2320*(1-ABS(D2320)/(ABS(D2320)+ABS(D2319)))+C2319*(1-ABS(D2319)/(ABS(D2320)+ABS(D2319)))),"")))</f>
        <v>#NAME?</v>
      </c>
    </row>
    <row r="2321" spans="2:5" x14ac:dyDescent="0.25">
      <c r="B2321" t="e">
        <f t="shared" ca="1" si="73"/>
        <v>#NAME?</v>
      </c>
      <c r="C2321">
        <v>2278</v>
      </c>
      <c r="D2321" t="e">
        <f t="shared" ca="1" si="72"/>
        <v>#NAME?</v>
      </c>
      <c r="E2321" s="115" t="e">
        <f t="array" aca="1" ref="E2321" ca="1">IF(OR(C2320=0,AND(B2322=0,C2322=0)),"",IFERROR(INDEX($F$27:$F$36,MATCH(C2321,($F$27:$F$36)*($D$27:$D$36&lt;&gt;0),0)),IF(OR(AND(D2321=0,B2321=0,B2322&lt;&gt;0),AND(D2321*D2320&lt;0,B2321&lt;&gt;0)),IF(D2321=0,C2321,C2321*(1-ABS(D2321)/(ABS(D2321)+ABS(D2320)))+C2320*(1-ABS(D2320)/(ABS(D2321)+ABS(D2320)))),"")))</f>
        <v>#NAME?</v>
      </c>
    </row>
    <row r="2322" spans="2:5" x14ac:dyDescent="0.25">
      <c r="B2322" t="e">
        <f t="shared" ca="1" si="73"/>
        <v>#NAME?</v>
      </c>
      <c r="C2322">
        <v>2279</v>
      </c>
      <c r="D2322" t="e">
        <f t="shared" ca="1" si="72"/>
        <v>#NAME?</v>
      </c>
      <c r="E2322" s="115" t="e">
        <f t="array" aca="1" ref="E2322" ca="1">IF(OR(C2321=0,AND(B2323=0,C2323=0)),"",IFERROR(INDEX($F$27:$F$36,MATCH(C2322,($F$27:$F$36)*($D$27:$D$36&lt;&gt;0),0)),IF(OR(AND(D2322=0,B2322=0,B2323&lt;&gt;0),AND(D2322*D2321&lt;0,B2322&lt;&gt;0)),IF(D2322=0,C2322,C2322*(1-ABS(D2322)/(ABS(D2322)+ABS(D2321)))+C2321*(1-ABS(D2321)/(ABS(D2322)+ABS(D2321)))),"")))</f>
        <v>#NAME?</v>
      </c>
    </row>
    <row r="2323" spans="2:5" x14ac:dyDescent="0.25">
      <c r="B2323" t="e">
        <f t="shared" ca="1" si="73"/>
        <v>#NAME?</v>
      </c>
      <c r="C2323">
        <v>2280</v>
      </c>
      <c r="D2323" t="e">
        <f t="shared" ca="1" si="72"/>
        <v>#NAME?</v>
      </c>
      <c r="E2323" s="115" t="e">
        <f t="array" aca="1" ref="E2323" ca="1">IF(OR(C2322=0,AND(B2324=0,C2324=0)),"",IFERROR(INDEX($F$27:$F$36,MATCH(C2323,($F$27:$F$36)*($D$27:$D$36&lt;&gt;0),0)),IF(OR(AND(D2323=0,B2323=0,B2324&lt;&gt;0),AND(D2323*D2322&lt;0,B2323&lt;&gt;0)),IF(D2323=0,C2323,C2323*(1-ABS(D2323)/(ABS(D2323)+ABS(D2322)))+C2322*(1-ABS(D2322)/(ABS(D2323)+ABS(D2322)))),"")))</f>
        <v>#NAME?</v>
      </c>
    </row>
    <row r="2324" spans="2:5" x14ac:dyDescent="0.25">
      <c r="B2324" t="e">
        <f t="shared" ca="1" si="73"/>
        <v>#NAME?</v>
      </c>
      <c r="C2324">
        <v>2281</v>
      </c>
      <c r="D2324" t="e">
        <f t="shared" ca="1" si="72"/>
        <v>#NAME?</v>
      </c>
      <c r="E2324" s="115" t="e">
        <f t="array" aca="1" ref="E2324" ca="1">IF(OR(C2323=0,AND(B2325=0,C2325=0)),"",IFERROR(INDEX($F$27:$F$36,MATCH(C2324,($F$27:$F$36)*($D$27:$D$36&lt;&gt;0),0)),IF(OR(AND(D2324=0,B2324=0,B2325&lt;&gt;0),AND(D2324*D2323&lt;0,B2324&lt;&gt;0)),IF(D2324=0,C2324,C2324*(1-ABS(D2324)/(ABS(D2324)+ABS(D2323)))+C2323*(1-ABS(D2323)/(ABS(D2324)+ABS(D2323)))),"")))</f>
        <v>#NAME?</v>
      </c>
    </row>
    <row r="2325" spans="2:5" x14ac:dyDescent="0.25">
      <c r="B2325" t="e">
        <f t="shared" ca="1" si="73"/>
        <v>#NAME?</v>
      </c>
      <c r="C2325">
        <v>2282</v>
      </c>
      <c r="D2325" t="e">
        <f t="shared" ca="1" si="72"/>
        <v>#NAME?</v>
      </c>
      <c r="E2325" s="115" t="e">
        <f t="array" aca="1" ref="E2325" ca="1">IF(OR(C2324=0,AND(B2326=0,C2326=0)),"",IFERROR(INDEX($F$27:$F$36,MATCH(C2325,($F$27:$F$36)*($D$27:$D$36&lt;&gt;0),0)),IF(OR(AND(D2325=0,B2325=0,B2326&lt;&gt;0),AND(D2325*D2324&lt;0,B2325&lt;&gt;0)),IF(D2325=0,C2325,C2325*(1-ABS(D2325)/(ABS(D2325)+ABS(D2324)))+C2324*(1-ABS(D2324)/(ABS(D2325)+ABS(D2324)))),"")))</f>
        <v>#NAME?</v>
      </c>
    </row>
    <row r="2326" spans="2:5" x14ac:dyDescent="0.25">
      <c r="B2326" t="e">
        <f t="shared" ca="1" si="73"/>
        <v>#NAME?</v>
      </c>
      <c r="C2326">
        <v>2283</v>
      </c>
      <c r="D2326" t="e">
        <f t="shared" ca="1" si="72"/>
        <v>#NAME?</v>
      </c>
      <c r="E2326" s="115" t="e">
        <f t="array" aca="1" ref="E2326" ca="1">IF(OR(C2325=0,AND(B2327=0,C2327=0)),"",IFERROR(INDEX($F$27:$F$36,MATCH(C2326,($F$27:$F$36)*($D$27:$D$36&lt;&gt;0),0)),IF(OR(AND(D2326=0,B2326=0,B2327&lt;&gt;0),AND(D2326*D2325&lt;0,B2326&lt;&gt;0)),IF(D2326=0,C2326,C2326*(1-ABS(D2326)/(ABS(D2326)+ABS(D2325)))+C2325*(1-ABS(D2325)/(ABS(D2326)+ABS(D2325)))),"")))</f>
        <v>#NAME?</v>
      </c>
    </row>
    <row r="2327" spans="2:5" x14ac:dyDescent="0.25">
      <c r="B2327" t="e">
        <f t="shared" ca="1" si="73"/>
        <v>#NAME?</v>
      </c>
      <c r="C2327">
        <v>2284</v>
      </c>
      <c r="D2327" t="e">
        <f t="shared" ca="1" si="72"/>
        <v>#NAME?</v>
      </c>
      <c r="E2327" s="115" t="e">
        <f t="array" aca="1" ref="E2327" ca="1">IF(OR(C2326=0,AND(B2328=0,C2328=0)),"",IFERROR(INDEX($F$27:$F$36,MATCH(C2327,($F$27:$F$36)*($D$27:$D$36&lt;&gt;0),0)),IF(OR(AND(D2327=0,B2327=0,B2328&lt;&gt;0),AND(D2327*D2326&lt;0,B2327&lt;&gt;0)),IF(D2327=0,C2327,C2327*(1-ABS(D2327)/(ABS(D2327)+ABS(D2326)))+C2326*(1-ABS(D2326)/(ABS(D2327)+ABS(D2326)))),"")))</f>
        <v>#NAME?</v>
      </c>
    </row>
    <row r="2328" spans="2:5" x14ac:dyDescent="0.25">
      <c r="B2328" t="e">
        <f t="shared" ca="1" si="73"/>
        <v>#NAME?</v>
      </c>
      <c r="C2328">
        <v>2285</v>
      </c>
      <c r="D2328" t="e">
        <f t="shared" ca="1" si="72"/>
        <v>#NAME?</v>
      </c>
      <c r="E2328" s="115" t="e">
        <f t="array" aca="1" ref="E2328" ca="1">IF(OR(C2327=0,AND(B2329=0,C2329=0)),"",IFERROR(INDEX($F$27:$F$36,MATCH(C2328,($F$27:$F$36)*($D$27:$D$36&lt;&gt;0),0)),IF(OR(AND(D2328=0,B2328=0,B2329&lt;&gt;0),AND(D2328*D2327&lt;0,B2328&lt;&gt;0)),IF(D2328=0,C2328,C2328*(1-ABS(D2328)/(ABS(D2328)+ABS(D2327)))+C2327*(1-ABS(D2327)/(ABS(D2328)+ABS(D2327)))),"")))</f>
        <v>#NAME?</v>
      </c>
    </row>
    <row r="2329" spans="2:5" x14ac:dyDescent="0.25">
      <c r="B2329" t="e">
        <f t="shared" ca="1" si="73"/>
        <v>#NAME?</v>
      </c>
      <c r="C2329">
        <v>2286</v>
      </c>
      <c r="D2329" t="e">
        <f t="shared" ca="1" si="72"/>
        <v>#NAME?</v>
      </c>
      <c r="E2329" s="115" t="e">
        <f t="array" aca="1" ref="E2329" ca="1">IF(OR(C2328=0,AND(B2330=0,C2330=0)),"",IFERROR(INDEX($F$27:$F$36,MATCH(C2329,($F$27:$F$36)*($D$27:$D$36&lt;&gt;0),0)),IF(OR(AND(D2329=0,B2329=0,B2330&lt;&gt;0),AND(D2329*D2328&lt;0,B2329&lt;&gt;0)),IF(D2329=0,C2329,C2329*(1-ABS(D2329)/(ABS(D2329)+ABS(D2328)))+C2328*(1-ABS(D2328)/(ABS(D2329)+ABS(D2328)))),"")))</f>
        <v>#NAME?</v>
      </c>
    </row>
    <row r="2330" spans="2:5" x14ac:dyDescent="0.25">
      <c r="B2330" t="e">
        <f t="shared" ca="1" si="73"/>
        <v>#NAME?</v>
      </c>
      <c r="C2330">
        <v>2287</v>
      </c>
      <c r="D2330" t="e">
        <f t="shared" ca="1" si="72"/>
        <v>#NAME?</v>
      </c>
      <c r="E2330" s="115" t="e">
        <f t="array" aca="1" ref="E2330" ca="1">IF(OR(C2329=0,AND(B2331=0,C2331=0)),"",IFERROR(INDEX($F$27:$F$36,MATCH(C2330,($F$27:$F$36)*($D$27:$D$36&lt;&gt;0),0)),IF(OR(AND(D2330=0,B2330=0,B2331&lt;&gt;0),AND(D2330*D2329&lt;0,B2330&lt;&gt;0)),IF(D2330=0,C2330,C2330*(1-ABS(D2330)/(ABS(D2330)+ABS(D2329)))+C2329*(1-ABS(D2329)/(ABS(D2330)+ABS(D2329)))),"")))</f>
        <v>#NAME?</v>
      </c>
    </row>
    <row r="2331" spans="2:5" x14ac:dyDescent="0.25">
      <c r="B2331" t="e">
        <f t="shared" ca="1" si="73"/>
        <v>#NAME?</v>
      </c>
      <c r="C2331">
        <v>2288</v>
      </c>
      <c r="D2331" t="e">
        <f t="shared" ca="1" si="72"/>
        <v>#NAME?</v>
      </c>
      <c r="E2331" s="115" t="e">
        <f t="array" aca="1" ref="E2331" ca="1">IF(OR(C2330=0,AND(B2332=0,C2332=0)),"",IFERROR(INDEX($F$27:$F$36,MATCH(C2331,($F$27:$F$36)*($D$27:$D$36&lt;&gt;0),0)),IF(OR(AND(D2331=0,B2331=0,B2332&lt;&gt;0),AND(D2331*D2330&lt;0,B2331&lt;&gt;0)),IF(D2331=0,C2331,C2331*(1-ABS(D2331)/(ABS(D2331)+ABS(D2330)))+C2330*(1-ABS(D2330)/(ABS(D2331)+ABS(D2330)))),"")))</f>
        <v>#NAME?</v>
      </c>
    </row>
    <row r="2332" spans="2:5" x14ac:dyDescent="0.25">
      <c r="B2332" t="e">
        <f t="shared" ca="1" si="73"/>
        <v>#NAME?</v>
      </c>
      <c r="C2332">
        <v>2289</v>
      </c>
      <c r="D2332" t="e">
        <f t="shared" ca="1" si="72"/>
        <v>#NAME?</v>
      </c>
      <c r="E2332" s="115" t="e">
        <f t="array" aca="1" ref="E2332" ca="1">IF(OR(C2331=0,AND(B2333=0,C2333=0)),"",IFERROR(INDEX($F$27:$F$36,MATCH(C2332,($F$27:$F$36)*($D$27:$D$36&lt;&gt;0),0)),IF(OR(AND(D2332=0,B2332=0,B2333&lt;&gt;0),AND(D2332*D2331&lt;0,B2332&lt;&gt;0)),IF(D2332=0,C2332,C2332*(1-ABS(D2332)/(ABS(D2332)+ABS(D2331)))+C2331*(1-ABS(D2331)/(ABS(D2332)+ABS(D2331)))),"")))</f>
        <v>#NAME?</v>
      </c>
    </row>
    <row r="2333" spans="2:5" x14ac:dyDescent="0.25">
      <c r="B2333" t="e">
        <f t="shared" ca="1" si="73"/>
        <v>#NAME?</v>
      </c>
      <c r="C2333">
        <v>2290</v>
      </c>
      <c r="D2333" t="e">
        <f t="shared" ca="1" si="72"/>
        <v>#NAME?</v>
      </c>
      <c r="E2333" s="115" t="e">
        <f t="array" aca="1" ref="E2333" ca="1">IF(OR(C2332=0,AND(B2334=0,C2334=0)),"",IFERROR(INDEX($F$27:$F$36,MATCH(C2333,($F$27:$F$36)*($D$27:$D$36&lt;&gt;0),0)),IF(OR(AND(D2333=0,B2333=0,B2334&lt;&gt;0),AND(D2333*D2332&lt;0,B2333&lt;&gt;0)),IF(D2333=0,C2333,C2333*(1-ABS(D2333)/(ABS(D2333)+ABS(D2332)))+C2332*(1-ABS(D2332)/(ABS(D2333)+ABS(D2332)))),"")))</f>
        <v>#NAME?</v>
      </c>
    </row>
    <row r="2334" spans="2:5" x14ac:dyDescent="0.25">
      <c r="B2334" t="e">
        <f t="shared" ca="1" si="73"/>
        <v>#NAME?</v>
      </c>
      <c r="C2334">
        <v>2291</v>
      </c>
      <c r="D2334" t="e">
        <f t="shared" ca="1" si="72"/>
        <v>#NAME?</v>
      </c>
      <c r="E2334" s="115" t="e">
        <f t="array" aca="1" ref="E2334" ca="1">IF(OR(C2333=0,AND(B2335=0,C2335=0)),"",IFERROR(INDEX($F$27:$F$36,MATCH(C2334,($F$27:$F$36)*($D$27:$D$36&lt;&gt;0),0)),IF(OR(AND(D2334=0,B2334=0,B2335&lt;&gt;0),AND(D2334*D2333&lt;0,B2334&lt;&gt;0)),IF(D2334=0,C2334,C2334*(1-ABS(D2334)/(ABS(D2334)+ABS(D2333)))+C2333*(1-ABS(D2333)/(ABS(D2334)+ABS(D2333)))),"")))</f>
        <v>#NAME?</v>
      </c>
    </row>
    <row r="2335" spans="2:5" x14ac:dyDescent="0.25">
      <c r="B2335" t="e">
        <f t="shared" ca="1" si="73"/>
        <v>#NAME?</v>
      </c>
      <c r="C2335">
        <v>2292</v>
      </c>
      <c r="D2335" t="e">
        <f t="shared" ca="1" si="72"/>
        <v>#NAME?</v>
      </c>
      <c r="E2335" s="115" t="e">
        <f t="array" aca="1" ref="E2335" ca="1">IF(OR(C2334=0,AND(B2336=0,C2336=0)),"",IFERROR(INDEX($F$27:$F$36,MATCH(C2335,($F$27:$F$36)*($D$27:$D$36&lt;&gt;0),0)),IF(OR(AND(D2335=0,B2335=0,B2336&lt;&gt;0),AND(D2335*D2334&lt;0,B2335&lt;&gt;0)),IF(D2335=0,C2335,C2335*(1-ABS(D2335)/(ABS(D2335)+ABS(D2334)))+C2334*(1-ABS(D2334)/(ABS(D2335)+ABS(D2334)))),"")))</f>
        <v>#NAME?</v>
      </c>
    </row>
    <row r="2336" spans="2:5" x14ac:dyDescent="0.25">
      <c r="B2336" t="e">
        <f t="shared" ca="1" si="73"/>
        <v>#NAME?</v>
      </c>
      <c r="C2336">
        <v>2293</v>
      </c>
      <c r="D2336" t="e">
        <f t="shared" ca="1" si="72"/>
        <v>#NAME?</v>
      </c>
      <c r="E2336" s="115" t="e">
        <f t="array" aca="1" ref="E2336" ca="1">IF(OR(C2335=0,AND(B2337=0,C2337=0)),"",IFERROR(INDEX($F$27:$F$36,MATCH(C2336,($F$27:$F$36)*($D$27:$D$36&lt;&gt;0),0)),IF(OR(AND(D2336=0,B2336=0,B2337&lt;&gt;0),AND(D2336*D2335&lt;0,B2336&lt;&gt;0)),IF(D2336=0,C2336,C2336*(1-ABS(D2336)/(ABS(D2336)+ABS(D2335)))+C2335*(1-ABS(D2335)/(ABS(D2336)+ABS(D2335)))),"")))</f>
        <v>#NAME?</v>
      </c>
    </row>
    <row r="2337" spans="2:5" x14ac:dyDescent="0.25">
      <c r="B2337" t="e">
        <f t="shared" ca="1" si="73"/>
        <v>#NAME?</v>
      </c>
      <c r="C2337">
        <v>2294</v>
      </c>
      <c r="D2337" t="e">
        <f t="shared" ca="1" si="72"/>
        <v>#NAME?</v>
      </c>
      <c r="E2337" s="115" t="e">
        <f t="array" aca="1" ref="E2337" ca="1">IF(OR(C2336=0,AND(B2338=0,C2338=0)),"",IFERROR(INDEX($F$27:$F$36,MATCH(C2337,($F$27:$F$36)*($D$27:$D$36&lt;&gt;0),0)),IF(OR(AND(D2337=0,B2337=0,B2338&lt;&gt;0),AND(D2337*D2336&lt;0,B2337&lt;&gt;0)),IF(D2337=0,C2337,C2337*(1-ABS(D2337)/(ABS(D2337)+ABS(D2336)))+C2336*(1-ABS(D2336)/(ABS(D2337)+ABS(D2336)))),"")))</f>
        <v>#NAME?</v>
      </c>
    </row>
    <row r="2338" spans="2:5" x14ac:dyDescent="0.25">
      <c r="B2338" t="e">
        <f t="shared" ca="1" si="73"/>
        <v>#NAME?</v>
      </c>
      <c r="C2338">
        <v>2295</v>
      </c>
      <c r="D2338" t="e">
        <f t="shared" ca="1" si="72"/>
        <v>#NAME?</v>
      </c>
      <c r="E2338" s="115" t="e">
        <f t="array" aca="1" ref="E2338" ca="1">IF(OR(C2337=0,AND(B2339=0,C2339=0)),"",IFERROR(INDEX($F$27:$F$36,MATCH(C2338,($F$27:$F$36)*($D$27:$D$36&lt;&gt;0),0)),IF(OR(AND(D2338=0,B2338=0,B2339&lt;&gt;0),AND(D2338*D2337&lt;0,B2338&lt;&gt;0)),IF(D2338=0,C2338,C2338*(1-ABS(D2338)/(ABS(D2338)+ABS(D2337)))+C2337*(1-ABS(D2337)/(ABS(D2338)+ABS(D2337)))),"")))</f>
        <v>#NAME?</v>
      </c>
    </row>
    <row r="2339" spans="2:5" x14ac:dyDescent="0.25">
      <c r="B2339" t="e">
        <f t="shared" ca="1" si="73"/>
        <v>#NAME?</v>
      </c>
      <c r="C2339">
        <v>2296</v>
      </c>
      <c r="D2339" t="e">
        <f t="shared" ca="1" si="72"/>
        <v>#NAME?</v>
      </c>
      <c r="E2339" s="115" t="e">
        <f t="array" aca="1" ref="E2339" ca="1">IF(OR(C2338=0,AND(B2340=0,C2340=0)),"",IFERROR(INDEX($F$27:$F$36,MATCH(C2339,($F$27:$F$36)*($D$27:$D$36&lt;&gt;0),0)),IF(OR(AND(D2339=0,B2339=0,B2340&lt;&gt;0),AND(D2339*D2338&lt;0,B2339&lt;&gt;0)),IF(D2339=0,C2339,C2339*(1-ABS(D2339)/(ABS(D2339)+ABS(D2338)))+C2338*(1-ABS(D2338)/(ABS(D2339)+ABS(D2338)))),"")))</f>
        <v>#NAME?</v>
      </c>
    </row>
    <row r="2340" spans="2:5" x14ac:dyDescent="0.25">
      <c r="B2340" t="e">
        <f t="shared" ca="1" si="73"/>
        <v>#NAME?</v>
      </c>
      <c r="C2340">
        <v>2297</v>
      </c>
      <c r="D2340" t="e">
        <f t="shared" ca="1" si="72"/>
        <v>#NAME?</v>
      </c>
      <c r="E2340" s="115" t="e">
        <f t="array" aca="1" ref="E2340" ca="1">IF(OR(C2339=0,AND(B2341=0,C2341=0)),"",IFERROR(INDEX($F$27:$F$36,MATCH(C2340,($F$27:$F$36)*($D$27:$D$36&lt;&gt;0),0)),IF(OR(AND(D2340=0,B2340=0,B2341&lt;&gt;0),AND(D2340*D2339&lt;0,B2340&lt;&gt;0)),IF(D2340=0,C2340,C2340*(1-ABS(D2340)/(ABS(D2340)+ABS(D2339)))+C2339*(1-ABS(D2339)/(ABS(D2340)+ABS(D2339)))),"")))</f>
        <v>#NAME?</v>
      </c>
    </row>
    <row r="2341" spans="2:5" x14ac:dyDescent="0.25">
      <c r="B2341" t="e">
        <f t="shared" ca="1" si="73"/>
        <v>#NAME?</v>
      </c>
      <c r="C2341">
        <v>2298</v>
      </c>
      <c r="D2341" t="e">
        <f t="shared" ca="1" si="72"/>
        <v>#NAME?</v>
      </c>
      <c r="E2341" s="115" t="e">
        <f t="array" aca="1" ref="E2341" ca="1">IF(OR(C2340=0,AND(B2342=0,C2342=0)),"",IFERROR(INDEX($F$27:$F$36,MATCH(C2341,($F$27:$F$36)*($D$27:$D$36&lt;&gt;0),0)),IF(OR(AND(D2341=0,B2341=0,B2342&lt;&gt;0),AND(D2341*D2340&lt;0,B2341&lt;&gt;0)),IF(D2341=0,C2341,C2341*(1-ABS(D2341)/(ABS(D2341)+ABS(D2340)))+C2340*(1-ABS(D2340)/(ABS(D2341)+ABS(D2340)))),"")))</f>
        <v>#NAME?</v>
      </c>
    </row>
    <row r="2342" spans="2:5" x14ac:dyDescent="0.25">
      <c r="B2342" t="e">
        <f t="shared" ca="1" si="73"/>
        <v>#NAME?</v>
      </c>
      <c r="C2342">
        <v>2299</v>
      </c>
      <c r="D2342" t="e">
        <f t="shared" ca="1" si="72"/>
        <v>#NAME?</v>
      </c>
      <c r="E2342" s="115" t="e">
        <f t="array" aca="1" ref="E2342" ca="1">IF(OR(C2341=0,AND(B2343=0,C2343=0)),"",IFERROR(INDEX($F$27:$F$36,MATCH(C2342,($F$27:$F$36)*($D$27:$D$36&lt;&gt;0),0)),IF(OR(AND(D2342=0,B2342=0,B2343&lt;&gt;0),AND(D2342*D2341&lt;0,B2342&lt;&gt;0)),IF(D2342=0,C2342,C2342*(1-ABS(D2342)/(ABS(D2342)+ABS(D2341)))+C2341*(1-ABS(D2341)/(ABS(D2342)+ABS(D2341)))),"")))</f>
        <v>#NAME?</v>
      </c>
    </row>
    <row r="2343" spans="2:5" x14ac:dyDescent="0.25">
      <c r="B2343" t="e">
        <f t="shared" ca="1" si="73"/>
        <v>#NAME?</v>
      </c>
      <c r="C2343">
        <v>2300</v>
      </c>
      <c r="D2343" t="e">
        <f t="shared" ca="1" si="72"/>
        <v>#NAME?</v>
      </c>
      <c r="E2343" s="115" t="e">
        <f t="array" aca="1" ref="E2343" ca="1">IF(OR(C2342=0,AND(B2344=0,C2344=0)),"",IFERROR(INDEX($F$27:$F$36,MATCH(C2343,($F$27:$F$36)*($D$27:$D$36&lt;&gt;0),0)),IF(OR(AND(D2343=0,B2343=0,B2344&lt;&gt;0),AND(D2343*D2342&lt;0,B2343&lt;&gt;0)),IF(D2343=0,C2343,C2343*(1-ABS(D2343)/(ABS(D2343)+ABS(D2342)))+C2342*(1-ABS(D2342)/(ABS(D2343)+ABS(D2342)))),"")))</f>
        <v>#NAME?</v>
      </c>
    </row>
    <row r="2344" spans="2:5" x14ac:dyDescent="0.25">
      <c r="B2344" t="e">
        <f t="shared" ca="1" si="73"/>
        <v>#NAME?</v>
      </c>
      <c r="C2344">
        <v>2301</v>
      </c>
      <c r="D2344" t="e">
        <f t="shared" ca="1" si="72"/>
        <v>#NAME?</v>
      </c>
      <c r="E2344" s="115" t="e">
        <f t="array" aca="1" ref="E2344" ca="1">IF(OR(C2343=0,AND(B2345=0,C2345=0)),"",IFERROR(INDEX($F$27:$F$36,MATCH(C2344,($F$27:$F$36)*($D$27:$D$36&lt;&gt;0),0)),IF(OR(AND(D2344=0,B2344=0,B2345&lt;&gt;0),AND(D2344*D2343&lt;0,B2344&lt;&gt;0)),IF(D2344=0,C2344,C2344*(1-ABS(D2344)/(ABS(D2344)+ABS(D2343)))+C2343*(1-ABS(D2343)/(ABS(D2344)+ABS(D2343)))),"")))</f>
        <v>#NAME?</v>
      </c>
    </row>
    <row r="2345" spans="2:5" x14ac:dyDescent="0.25">
      <c r="B2345" t="e">
        <f t="shared" ca="1" si="73"/>
        <v>#NAME?</v>
      </c>
      <c r="C2345">
        <v>2302</v>
      </c>
      <c r="D2345" t="e">
        <f t="shared" ca="1" si="72"/>
        <v>#NAME?</v>
      </c>
      <c r="E2345" s="115" t="e">
        <f t="array" aca="1" ref="E2345" ca="1">IF(OR(C2344=0,AND(B2346=0,C2346=0)),"",IFERROR(INDEX($F$27:$F$36,MATCH(C2345,($F$27:$F$36)*($D$27:$D$36&lt;&gt;0),0)),IF(OR(AND(D2345=0,B2345=0,B2346&lt;&gt;0),AND(D2345*D2344&lt;0,B2345&lt;&gt;0)),IF(D2345=0,C2345,C2345*(1-ABS(D2345)/(ABS(D2345)+ABS(D2344)))+C2344*(1-ABS(D2344)/(ABS(D2345)+ABS(D2344)))),"")))</f>
        <v>#NAME?</v>
      </c>
    </row>
    <row r="2346" spans="2:5" x14ac:dyDescent="0.25">
      <c r="B2346" t="e">
        <f t="shared" ca="1" si="73"/>
        <v>#NAME?</v>
      </c>
      <c r="C2346">
        <v>2303</v>
      </c>
      <c r="D2346" t="e">
        <f t="shared" ca="1" si="72"/>
        <v>#NAME?</v>
      </c>
      <c r="E2346" s="115" t="e">
        <f t="array" aca="1" ref="E2346" ca="1">IF(OR(C2345=0,AND(B2347=0,C2347=0)),"",IFERROR(INDEX($F$27:$F$36,MATCH(C2346,($F$27:$F$36)*($D$27:$D$36&lt;&gt;0),0)),IF(OR(AND(D2346=0,B2346=0,B2347&lt;&gt;0),AND(D2346*D2345&lt;0,B2346&lt;&gt;0)),IF(D2346=0,C2346,C2346*(1-ABS(D2346)/(ABS(D2346)+ABS(D2345)))+C2345*(1-ABS(D2345)/(ABS(D2346)+ABS(D2345)))),"")))</f>
        <v>#NAME?</v>
      </c>
    </row>
    <row r="2347" spans="2:5" x14ac:dyDescent="0.25">
      <c r="B2347" t="e">
        <f t="shared" ca="1" si="73"/>
        <v>#NAME?</v>
      </c>
      <c r="C2347">
        <v>2304</v>
      </c>
      <c r="D2347" t="e">
        <f t="shared" ref="D2347:D2410" ca="1" si="74">SUMPRODUCT(--($J$27:$J$37&gt;0),--($C2347-$F$27:$F$37&gt;0),($D$27:$D$37),($C2347-$F$27:$F$37))+SUMPRODUCT(--($J$27:$J$37&lt;0),--($F$27:$F$37-$C2347&gt;0),($D$27:$D$37),($F$27:$F$37-$C2347))-SUMPRODUCT($D$27:$D$37,$E$27:$E$37)</f>
        <v>#NAME?</v>
      </c>
      <c r="E2347" s="115" t="e">
        <f t="array" aca="1" ref="E2347" ca="1">IF(OR(C2346=0,AND(B2348=0,C2348=0)),"",IFERROR(INDEX($F$27:$F$36,MATCH(C2347,($F$27:$F$36)*($D$27:$D$36&lt;&gt;0),0)),IF(OR(AND(D2347=0,B2347=0,B2348&lt;&gt;0),AND(D2347*D2346&lt;0,B2347&lt;&gt;0)),IF(D2347=0,C2347,C2347*(1-ABS(D2347)/(ABS(D2347)+ABS(D2346)))+C2346*(1-ABS(D2346)/(ABS(D2347)+ABS(D2346)))),"")))</f>
        <v>#NAME?</v>
      </c>
    </row>
    <row r="2348" spans="2:5" x14ac:dyDescent="0.25">
      <c r="B2348" t="e">
        <f t="shared" ref="B2348:B2411" ca="1" si="75">ROUND((D2348-D2347)/(C2348-C2347),12)</f>
        <v>#NAME?</v>
      </c>
      <c r="C2348">
        <v>2305</v>
      </c>
      <c r="D2348" t="e">
        <f t="shared" ca="1" si="74"/>
        <v>#NAME?</v>
      </c>
      <c r="E2348" s="115" t="e">
        <f t="array" aca="1" ref="E2348" ca="1">IF(OR(C2347=0,AND(B2349=0,C2349=0)),"",IFERROR(INDEX($F$27:$F$36,MATCH(C2348,($F$27:$F$36)*($D$27:$D$36&lt;&gt;0),0)),IF(OR(AND(D2348=0,B2348=0,B2349&lt;&gt;0),AND(D2348*D2347&lt;0,B2348&lt;&gt;0)),IF(D2348=0,C2348,C2348*(1-ABS(D2348)/(ABS(D2348)+ABS(D2347)))+C2347*(1-ABS(D2347)/(ABS(D2348)+ABS(D2347)))),"")))</f>
        <v>#NAME?</v>
      </c>
    </row>
    <row r="2349" spans="2:5" x14ac:dyDescent="0.25">
      <c r="B2349" t="e">
        <f t="shared" ca="1" si="75"/>
        <v>#NAME?</v>
      </c>
      <c r="C2349">
        <v>2306</v>
      </c>
      <c r="D2349" t="e">
        <f t="shared" ca="1" si="74"/>
        <v>#NAME?</v>
      </c>
      <c r="E2349" s="115" t="e">
        <f t="array" aca="1" ref="E2349" ca="1">IF(OR(C2348=0,AND(B2350=0,C2350=0)),"",IFERROR(INDEX($F$27:$F$36,MATCH(C2349,($F$27:$F$36)*($D$27:$D$36&lt;&gt;0),0)),IF(OR(AND(D2349=0,B2349=0,B2350&lt;&gt;0),AND(D2349*D2348&lt;0,B2349&lt;&gt;0)),IF(D2349=0,C2349,C2349*(1-ABS(D2349)/(ABS(D2349)+ABS(D2348)))+C2348*(1-ABS(D2348)/(ABS(D2349)+ABS(D2348)))),"")))</f>
        <v>#NAME?</v>
      </c>
    </row>
    <row r="2350" spans="2:5" x14ac:dyDescent="0.25">
      <c r="B2350" t="e">
        <f t="shared" ca="1" si="75"/>
        <v>#NAME?</v>
      </c>
      <c r="C2350">
        <v>2307</v>
      </c>
      <c r="D2350" t="e">
        <f t="shared" ca="1" si="74"/>
        <v>#NAME?</v>
      </c>
      <c r="E2350" s="115" t="e">
        <f t="array" aca="1" ref="E2350" ca="1">IF(OR(C2349=0,AND(B2351=0,C2351=0)),"",IFERROR(INDEX($F$27:$F$36,MATCH(C2350,($F$27:$F$36)*($D$27:$D$36&lt;&gt;0),0)),IF(OR(AND(D2350=0,B2350=0,B2351&lt;&gt;0),AND(D2350*D2349&lt;0,B2350&lt;&gt;0)),IF(D2350=0,C2350,C2350*(1-ABS(D2350)/(ABS(D2350)+ABS(D2349)))+C2349*(1-ABS(D2349)/(ABS(D2350)+ABS(D2349)))),"")))</f>
        <v>#NAME?</v>
      </c>
    </row>
    <row r="2351" spans="2:5" x14ac:dyDescent="0.25">
      <c r="B2351" t="e">
        <f t="shared" ca="1" si="75"/>
        <v>#NAME?</v>
      </c>
      <c r="C2351">
        <v>2308</v>
      </c>
      <c r="D2351" t="e">
        <f t="shared" ca="1" si="74"/>
        <v>#NAME?</v>
      </c>
      <c r="E2351" s="115" t="e">
        <f t="array" aca="1" ref="E2351" ca="1">IF(OR(C2350=0,AND(B2352=0,C2352=0)),"",IFERROR(INDEX($F$27:$F$36,MATCH(C2351,($F$27:$F$36)*($D$27:$D$36&lt;&gt;0),0)),IF(OR(AND(D2351=0,B2351=0,B2352&lt;&gt;0),AND(D2351*D2350&lt;0,B2351&lt;&gt;0)),IF(D2351=0,C2351,C2351*(1-ABS(D2351)/(ABS(D2351)+ABS(D2350)))+C2350*(1-ABS(D2350)/(ABS(D2351)+ABS(D2350)))),"")))</f>
        <v>#NAME?</v>
      </c>
    </row>
    <row r="2352" spans="2:5" x14ac:dyDescent="0.25">
      <c r="B2352" t="e">
        <f t="shared" ca="1" si="75"/>
        <v>#NAME?</v>
      </c>
      <c r="C2352">
        <v>2309</v>
      </c>
      <c r="D2352" t="e">
        <f t="shared" ca="1" si="74"/>
        <v>#NAME?</v>
      </c>
      <c r="E2352" s="115" t="e">
        <f t="array" aca="1" ref="E2352" ca="1">IF(OR(C2351=0,AND(B2353=0,C2353=0)),"",IFERROR(INDEX($F$27:$F$36,MATCH(C2352,($F$27:$F$36)*($D$27:$D$36&lt;&gt;0),0)),IF(OR(AND(D2352=0,B2352=0,B2353&lt;&gt;0),AND(D2352*D2351&lt;0,B2352&lt;&gt;0)),IF(D2352=0,C2352,C2352*(1-ABS(D2352)/(ABS(D2352)+ABS(D2351)))+C2351*(1-ABS(D2351)/(ABS(D2352)+ABS(D2351)))),"")))</f>
        <v>#NAME?</v>
      </c>
    </row>
    <row r="2353" spans="2:5" x14ac:dyDescent="0.25">
      <c r="B2353" t="e">
        <f t="shared" ca="1" si="75"/>
        <v>#NAME?</v>
      </c>
      <c r="C2353">
        <v>2310</v>
      </c>
      <c r="D2353" t="e">
        <f t="shared" ca="1" si="74"/>
        <v>#NAME?</v>
      </c>
      <c r="E2353" s="115" t="e">
        <f t="array" aca="1" ref="E2353" ca="1">IF(OR(C2352=0,AND(B2354=0,C2354=0)),"",IFERROR(INDEX($F$27:$F$36,MATCH(C2353,($F$27:$F$36)*($D$27:$D$36&lt;&gt;0),0)),IF(OR(AND(D2353=0,B2353=0,B2354&lt;&gt;0),AND(D2353*D2352&lt;0,B2353&lt;&gt;0)),IF(D2353=0,C2353,C2353*(1-ABS(D2353)/(ABS(D2353)+ABS(D2352)))+C2352*(1-ABS(D2352)/(ABS(D2353)+ABS(D2352)))),"")))</f>
        <v>#NAME?</v>
      </c>
    </row>
    <row r="2354" spans="2:5" x14ac:dyDescent="0.25">
      <c r="B2354" t="e">
        <f t="shared" ca="1" si="75"/>
        <v>#NAME?</v>
      </c>
      <c r="C2354">
        <v>2311</v>
      </c>
      <c r="D2354" t="e">
        <f t="shared" ca="1" si="74"/>
        <v>#NAME?</v>
      </c>
      <c r="E2354" s="115" t="e">
        <f t="array" aca="1" ref="E2354" ca="1">IF(OR(C2353=0,AND(B2355=0,C2355=0)),"",IFERROR(INDEX($F$27:$F$36,MATCH(C2354,($F$27:$F$36)*($D$27:$D$36&lt;&gt;0),0)),IF(OR(AND(D2354=0,B2354=0,B2355&lt;&gt;0),AND(D2354*D2353&lt;0,B2354&lt;&gt;0)),IF(D2354=0,C2354,C2354*(1-ABS(D2354)/(ABS(D2354)+ABS(D2353)))+C2353*(1-ABS(D2353)/(ABS(D2354)+ABS(D2353)))),"")))</f>
        <v>#NAME?</v>
      </c>
    </row>
    <row r="2355" spans="2:5" x14ac:dyDescent="0.25">
      <c r="B2355" t="e">
        <f t="shared" ca="1" si="75"/>
        <v>#NAME?</v>
      </c>
      <c r="C2355">
        <v>2312</v>
      </c>
      <c r="D2355" t="e">
        <f t="shared" ca="1" si="74"/>
        <v>#NAME?</v>
      </c>
      <c r="E2355" s="115" t="e">
        <f t="array" aca="1" ref="E2355" ca="1">IF(OR(C2354=0,AND(B2356=0,C2356=0)),"",IFERROR(INDEX($F$27:$F$36,MATCH(C2355,($F$27:$F$36)*($D$27:$D$36&lt;&gt;0),0)),IF(OR(AND(D2355=0,B2355=0,B2356&lt;&gt;0),AND(D2355*D2354&lt;0,B2355&lt;&gt;0)),IF(D2355=0,C2355,C2355*(1-ABS(D2355)/(ABS(D2355)+ABS(D2354)))+C2354*(1-ABS(D2354)/(ABS(D2355)+ABS(D2354)))),"")))</f>
        <v>#NAME?</v>
      </c>
    </row>
    <row r="2356" spans="2:5" x14ac:dyDescent="0.25">
      <c r="B2356" t="e">
        <f t="shared" ca="1" si="75"/>
        <v>#NAME?</v>
      </c>
      <c r="C2356">
        <v>2313</v>
      </c>
      <c r="D2356" t="e">
        <f t="shared" ca="1" si="74"/>
        <v>#NAME?</v>
      </c>
      <c r="E2356" s="115" t="e">
        <f t="array" aca="1" ref="E2356" ca="1">IF(OR(C2355=0,AND(B2357=0,C2357=0)),"",IFERROR(INDEX($F$27:$F$36,MATCH(C2356,($F$27:$F$36)*($D$27:$D$36&lt;&gt;0),0)),IF(OR(AND(D2356=0,B2356=0,B2357&lt;&gt;0),AND(D2356*D2355&lt;0,B2356&lt;&gt;0)),IF(D2356=0,C2356,C2356*(1-ABS(D2356)/(ABS(D2356)+ABS(D2355)))+C2355*(1-ABS(D2355)/(ABS(D2356)+ABS(D2355)))),"")))</f>
        <v>#NAME?</v>
      </c>
    </row>
    <row r="2357" spans="2:5" x14ac:dyDescent="0.25">
      <c r="B2357" t="e">
        <f t="shared" ca="1" si="75"/>
        <v>#NAME?</v>
      </c>
      <c r="C2357">
        <v>2314</v>
      </c>
      <c r="D2357" t="e">
        <f t="shared" ca="1" si="74"/>
        <v>#NAME?</v>
      </c>
      <c r="E2357" s="115" t="e">
        <f t="array" aca="1" ref="E2357" ca="1">IF(OR(C2356=0,AND(B2358=0,C2358=0)),"",IFERROR(INDEX($F$27:$F$36,MATCH(C2357,($F$27:$F$36)*($D$27:$D$36&lt;&gt;0),0)),IF(OR(AND(D2357=0,B2357=0,B2358&lt;&gt;0),AND(D2357*D2356&lt;0,B2357&lt;&gt;0)),IF(D2357=0,C2357,C2357*(1-ABS(D2357)/(ABS(D2357)+ABS(D2356)))+C2356*(1-ABS(D2356)/(ABS(D2357)+ABS(D2356)))),"")))</f>
        <v>#NAME?</v>
      </c>
    </row>
    <row r="2358" spans="2:5" x14ac:dyDescent="0.25">
      <c r="B2358" t="e">
        <f t="shared" ca="1" si="75"/>
        <v>#NAME?</v>
      </c>
      <c r="C2358">
        <v>2315</v>
      </c>
      <c r="D2358" t="e">
        <f t="shared" ca="1" si="74"/>
        <v>#NAME?</v>
      </c>
      <c r="E2358" s="115" t="e">
        <f t="array" aca="1" ref="E2358" ca="1">IF(OR(C2357=0,AND(B2359=0,C2359=0)),"",IFERROR(INDEX($F$27:$F$36,MATCH(C2358,($F$27:$F$36)*($D$27:$D$36&lt;&gt;0),0)),IF(OR(AND(D2358=0,B2358=0,B2359&lt;&gt;0),AND(D2358*D2357&lt;0,B2358&lt;&gt;0)),IF(D2358=0,C2358,C2358*(1-ABS(D2358)/(ABS(D2358)+ABS(D2357)))+C2357*(1-ABS(D2357)/(ABS(D2358)+ABS(D2357)))),"")))</f>
        <v>#NAME?</v>
      </c>
    </row>
    <row r="2359" spans="2:5" x14ac:dyDescent="0.25">
      <c r="B2359" t="e">
        <f t="shared" ca="1" si="75"/>
        <v>#NAME?</v>
      </c>
      <c r="C2359">
        <v>2316</v>
      </c>
      <c r="D2359" t="e">
        <f t="shared" ca="1" si="74"/>
        <v>#NAME?</v>
      </c>
      <c r="E2359" s="115" t="e">
        <f t="array" aca="1" ref="E2359" ca="1">IF(OR(C2358=0,AND(B2360=0,C2360=0)),"",IFERROR(INDEX($F$27:$F$36,MATCH(C2359,($F$27:$F$36)*($D$27:$D$36&lt;&gt;0),0)),IF(OR(AND(D2359=0,B2359=0,B2360&lt;&gt;0),AND(D2359*D2358&lt;0,B2359&lt;&gt;0)),IF(D2359=0,C2359,C2359*(1-ABS(D2359)/(ABS(D2359)+ABS(D2358)))+C2358*(1-ABS(D2358)/(ABS(D2359)+ABS(D2358)))),"")))</f>
        <v>#NAME?</v>
      </c>
    </row>
    <row r="2360" spans="2:5" x14ac:dyDescent="0.25">
      <c r="B2360" t="e">
        <f t="shared" ca="1" si="75"/>
        <v>#NAME?</v>
      </c>
      <c r="C2360">
        <v>2317</v>
      </c>
      <c r="D2360" t="e">
        <f t="shared" ca="1" si="74"/>
        <v>#NAME?</v>
      </c>
      <c r="E2360" s="115" t="e">
        <f t="array" aca="1" ref="E2360" ca="1">IF(OR(C2359=0,AND(B2361=0,C2361=0)),"",IFERROR(INDEX($F$27:$F$36,MATCH(C2360,($F$27:$F$36)*($D$27:$D$36&lt;&gt;0),0)),IF(OR(AND(D2360=0,B2360=0,B2361&lt;&gt;0),AND(D2360*D2359&lt;0,B2360&lt;&gt;0)),IF(D2360=0,C2360,C2360*(1-ABS(D2360)/(ABS(D2360)+ABS(D2359)))+C2359*(1-ABS(D2359)/(ABS(D2360)+ABS(D2359)))),"")))</f>
        <v>#NAME?</v>
      </c>
    </row>
    <row r="2361" spans="2:5" x14ac:dyDescent="0.25">
      <c r="B2361" t="e">
        <f t="shared" ca="1" si="75"/>
        <v>#NAME?</v>
      </c>
      <c r="C2361">
        <v>2318</v>
      </c>
      <c r="D2361" t="e">
        <f t="shared" ca="1" si="74"/>
        <v>#NAME?</v>
      </c>
      <c r="E2361" s="115" t="e">
        <f t="array" aca="1" ref="E2361" ca="1">IF(OR(C2360=0,AND(B2362=0,C2362=0)),"",IFERROR(INDEX($F$27:$F$36,MATCH(C2361,($F$27:$F$36)*($D$27:$D$36&lt;&gt;0),0)),IF(OR(AND(D2361=0,B2361=0,B2362&lt;&gt;0),AND(D2361*D2360&lt;0,B2361&lt;&gt;0)),IF(D2361=0,C2361,C2361*(1-ABS(D2361)/(ABS(D2361)+ABS(D2360)))+C2360*(1-ABS(D2360)/(ABS(D2361)+ABS(D2360)))),"")))</f>
        <v>#NAME?</v>
      </c>
    </row>
    <row r="2362" spans="2:5" x14ac:dyDescent="0.25">
      <c r="B2362" t="e">
        <f t="shared" ca="1" si="75"/>
        <v>#NAME?</v>
      </c>
      <c r="C2362">
        <v>2319</v>
      </c>
      <c r="D2362" t="e">
        <f t="shared" ca="1" si="74"/>
        <v>#NAME?</v>
      </c>
      <c r="E2362" s="115" t="e">
        <f t="array" aca="1" ref="E2362" ca="1">IF(OR(C2361=0,AND(B2363=0,C2363=0)),"",IFERROR(INDEX($F$27:$F$36,MATCH(C2362,($F$27:$F$36)*($D$27:$D$36&lt;&gt;0),0)),IF(OR(AND(D2362=0,B2362=0,B2363&lt;&gt;0),AND(D2362*D2361&lt;0,B2362&lt;&gt;0)),IF(D2362=0,C2362,C2362*(1-ABS(D2362)/(ABS(D2362)+ABS(D2361)))+C2361*(1-ABS(D2361)/(ABS(D2362)+ABS(D2361)))),"")))</f>
        <v>#NAME?</v>
      </c>
    </row>
    <row r="2363" spans="2:5" x14ac:dyDescent="0.25">
      <c r="B2363" t="e">
        <f t="shared" ca="1" si="75"/>
        <v>#NAME?</v>
      </c>
      <c r="C2363">
        <v>2320</v>
      </c>
      <c r="D2363" t="e">
        <f t="shared" ca="1" si="74"/>
        <v>#NAME?</v>
      </c>
      <c r="E2363" s="115" t="e">
        <f t="array" aca="1" ref="E2363" ca="1">IF(OR(C2362=0,AND(B2364=0,C2364=0)),"",IFERROR(INDEX($F$27:$F$36,MATCH(C2363,($F$27:$F$36)*($D$27:$D$36&lt;&gt;0),0)),IF(OR(AND(D2363=0,B2363=0,B2364&lt;&gt;0),AND(D2363*D2362&lt;0,B2363&lt;&gt;0)),IF(D2363=0,C2363,C2363*(1-ABS(D2363)/(ABS(D2363)+ABS(D2362)))+C2362*(1-ABS(D2362)/(ABS(D2363)+ABS(D2362)))),"")))</f>
        <v>#NAME?</v>
      </c>
    </row>
    <row r="2364" spans="2:5" x14ac:dyDescent="0.25">
      <c r="B2364" t="e">
        <f t="shared" ca="1" si="75"/>
        <v>#NAME?</v>
      </c>
      <c r="C2364">
        <v>2321</v>
      </c>
      <c r="D2364" t="e">
        <f t="shared" ca="1" si="74"/>
        <v>#NAME?</v>
      </c>
      <c r="E2364" s="115" t="e">
        <f t="array" aca="1" ref="E2364" ca="1">IF(OR(C2363=0,AND(B2365=0,C2365=0)),"",IFERROR(INDEX($F$27:$F$36,MATCH(C2364,($F$27:$F$36)*($D$27:$D$36&lt;&gt;0),0)),IF(OR(AND(D2364=0,B2364=0,B2365&lt;&gt;0),AND(D2364*D2363&lt;0,B2364&lt;&gt;0)),IF(D2364=0,C2364,C2364*(1-ABS(D2364)/(ABS(D2364)+ABS(D2363)))+C2363*(1-ABS(D2363)/(ABS(D2364)+ABS(D2363)))),"")))</f>
        <v>#NAME?</v>
      </c>
    </row>
    <row r="2365" spans="2:5" x14ac:dyDescent="0.25">
      <c r="B2365" t="e">
        <f t="shared" ca="1" si="75"/>
        <v>#NAME?</v>
      </c>
      <c r="C2365">
        <v>2322</v>
      </c>
      <c r="D2365" t="e">
        <f t="shared" ca="1" si="74"/>
        <v>#NAME?</v>
      </c>
      <c r="E2365" s="115" t="e">
        <f t="array" aca="1" ref="E2365" ca="1">IF(OR(C2364=0,AND(B2366=0,C2366=0)),"",IFERROR(INDEX($F$27:$F$36,MATCH(C2365,($F$27:$F$36)*($D$27:$D$36&lt;&gt;0),0)),IF(OR(AND(D2365=0,B2365=0,B2366&lt;&gt;0),AND(D2365*D2364&lt;0,B2365&lt;&gt;0)),IF(D2365=0,C2365,C2365*(1-ABS(D2365)/(ABS(D2365)+ABS(D2364)))+C2364*(1-ABS(D2364)/(ABS(D2365)+ABS(D2364)))),"")))</f>
        <v>#NAME?</v>
      </c>
    </row>
    <row r="2366" spans="2:5" x14ac:dyDescent="0.25">
      <c r="B2366" t="e">
        <f t="shared" ca="1" si="75"/>
        <v>#NAME?</v>
      </c>
      <c r="C2366">
        <v>2323</v>
      </c>
      <c r="D2366" t="e">
        <f t="shared" ca="1" si="74"/>
        <v>#NAME?</v>
      </c>
      <c r="E2366" s="115" t="e">
        <f t="array" aca="1" ref="E2366" ca="1">IF(OR(C2365=0,AND(B2367=0,C2367=0)),"",IFERROR(INDEX($F$27:$F$36,MATCH(C2366,($F$27:$F$36)*($D$27:$D$36&lt;&gt;0),0)),IF(OR(AND(D2366=0,B2366=0,B2367&lt;&gt;0),AND(D2366*D2365&lt;0,B2366&lt;&gt;0)),IF(D2366=0,C2366,C2366*(1-ABS(D2366)/(ABS(D2366)+ABS(D2365)))+C2365*(1-ABS(D2365)/(ABS(D2366)+ABS(D2365)))),"")))</f>
        <v>#NAME?</v>
      </c>
    </row>
    <row r="2367" spans="2:5" x14ac:dyDescent="0.25">
      <c r="B2367" t="e">
        <f t="shared" ca="1" si="75"/>
        <v>#NAME?</v>
      </c>
      <c r="C2367">
        <v>2324</v>
      </c>
      <c r="D2367" t="e">
        <f t="shared" ca="1" si="74"/>
        <v>#NAME?</v>
      </c>
      <c r="E2367" s="115" t="e">
        <f t="array" aca="1" ref="E2367" ca="1">IF(OR(C2366=0,AND(B2368=0,C2368=0)),"",IFERROR(INDEX($F$27:$F$36,MATCH(C2367,($F$27:$F$36)*($D$27:$D$36&lt;&gt;0),0)),IF(OR(AND(D2367=0,B2367=0,B2368&lt;&gt;0),AND(D2367*D2366&lt;0,B2367&lt;&gt;0)),IF(D2367=0,C2367,C2367*(1-ABS(D2367)/(ABS(D2367)+ABS(D2366)))+C2366*(1-ABS(D2366)/(ABS(D2367)+ABS(D2366)))),"")))</f>
        <v>#NAME?</v>
      </c>
    </row>
    <row r="2368" spans="2:5" x14ac:dyDescent="0.25">
      <c r="B2368" t="e">
        <f t="shared" ca="1" si="75"/>
        <v>#NAME?</v>
      </c>
      <c r="C2368">
        <v>2325</v>
      </c>
      <c r="D2368" t="e">
        <f t="shared" ca="1" si="74"/>
        <v>#NAME?</v>
      </c>
      <c r="E2368" s="115" t="e">
        <f t="array" aca="1" ref="E2368" ca="1">IF(OR(C2367=0,AND(B2369=0,C2369=0)),"",IFERROR(INDEX($F$27:$F$36,MATCH(C2368,($F$27:$F$36)*($D$27:$D$36&lt;&gt;0),0)),IF(OR(AND(D2368=0,B2368=0,B2369&lt;&gt;0),AND(D2368*D2367&lt;0,B2368&lt;&gt;0)),IF(D2368=0,C2368,C2368*(1-ABS(D2368)/(ABS(D2368)+ABS(D2367)))+C2367*(1-ABS(D2367)/(ABS(D2368)+ABS(D2367)))),"")))</f>
        <v>#NAME?</v>
      </c>
    </row>
    <row r="2369" spans="2:5" x14ac:dyDescent="0.25">
      <c r="B2369" t="e">
        <f t="shared" ca="1" si="75"/>
        <v>#NAME?</v>
      </c>
      <c r="C2369">
        <v>2326</v>
      </c>
      <c r="D2369" t="e">
        <f t="shared" ca="1" si="74"/>
        <v>#NAME?</v>
      </c>
      <c r="E2369" s="115" t="e">
        <f t="array" aca="1" ref="E2369" ca="1">IF(OR(C2368=0,AND(B2370=0,C2370=0)),"",IFERROR(INDEX($F$27:$F$36,MATCH(C2369,($F$27:$F$36)*($D$27:$D$36&lt;&gt;0),0)),IF(OR(AND(D2369=0,B2369=0,B2370&lt;&gt;0),AND(D2369*D2368&lt;0,B2369&lt;&gt;0)),IF(D2369=0,C2369,C2369*(1-ABS(D2369)/(ABS(D2369)+ABS(D2368)))+C2368*(1-ABS(D2368)/(ABS(D2369)+ABS(D2368)))),"")))</f>
        <v>#NAME?</v>
      </c>
    </row>
    <row r="2370" spans="2:5" x14ac:dyDescent="0.25">
      <c r="B2370" t="e">
        <f t="shared" ca="1" si="75"/>
        <v>#NAME?</v>
      </c>
      <c r="C2370">
        <v>2327</v>
      </c>
      <c r="D2370" t="e">
        <f t="shared" ca="1" si="74"/>
        <v>#NAME?</v>
      </c>
      <c r="E2370" s="115" t="e">
        <f t="array" aca="1" ref="E2370" ca="1">IF(OR(C2369=0,AND(B2371=0,C2371=0)),"",IFERROR(INDEX($F$27:$F$36,MATCH(C2370,($F$27:$F$36)*($D$27:$D$36&lt;&gt;0),0)),IF(OR(AND(D2370=0,B2370=0,B2371&lt;&gt;0),AND(D2370*D2369&lt;0,B2370&lt;&gt;0)),IF(D2370=0,C2370,C2370*(1-ABS(D2370)/(ABS(D2370)+ABS(D2369)))+C2369*(1-ABS(D2369)/(ABS(D2370)+ABS(D2369)))),"")))</f>
        <v>#NAME?</v>
      </c>
    </row>
    <row r="2371" spans="2:5" x14ac:dyDescent="0.25">
      <c r="B2371" t="e">
        <f t="shared" ca="1" si="75"/>
        <v>#NAME?</v>
      </c>
      <c r="C2371">
        <v>2328</v>
      </c>
      <c r="D2371" t="e">
        <f t="shared" ca="1" si="74"/>
        <v>#NAME?</v>
      </c>
      <c r="E2371" s="115" t="e">
        <f t="array" aca="1" ref="E2371" ca="1">IF(OR(C2370=0,AND(B2372=0,C2372=0)),"",IFERROR(INDEX($F$27:$F$36,MATCH(C2371,($F$27:$F$36)*($D$27:$D$36&lt;&gt;0),0)),IF(OR(AND(D2371=0,B2371=0,B2372&lt;&gt;0),AND(D2371*D2370&lt;0,B2371&lt;&gt;0)),IF(D2371=0,C2371,C2371*(1-ABS(D2371)/(ABS(D2371)+ABS(D2370)))+C2370*(1-ABS(D2370)/(ABS(D2371)+ABS(D2370)))),"")))</f>
        <v>#NAME?</v>
      </c>
    </row>
    <row r="2372" spans="2:5" x14ac:dyDescent="0.25">
      <c r="B2372" t="e">
        <f t="shared" ca="1" si="75"/>
        <v>#NAME?</v>
      </c>
      <c r="C2372">
        <v>2329</v>
      </c>
      <c r="D2372" t="e">
        <f t="shared" ca="1" si="74"/>
        <v>#NAME?</v>
      </c>
      <c r="E2372" s="115" t="e">
        <f t="array" aca="1" ref="E2372" ca="1">IF(OR(C2371=0,AND(B2373=0,C2373=0)),"",IFERROR(INDEX($F$27:$F$36,MATCH(C2372,($F$27:$F$36)*($D$27:$D$36&lt;&gt;0),0)),IF(OR(AND(D2372=0,B2372=0,B2373&lt;&gt;0),AND(D2372*D2371&lt;0,B2372&lt;&gt;0)),IF(D2372=0,C2372,C2372*(1-ABS(D2372)/(ABS(D2372)+ABS(D2371)))+C2371*(1-ABS(D2371)/(ABS(D2372)+ABS(D2371)))),"")))</f>
        <v>#NAME?</v>
      </c>
    </row>
    <row r="2373" spans="2:5" x14ac:dyDescent="0.25">
      <c r="B2373" t="e">
        <f t="shared" ca="1" si="75"/>
        <v>#NAME?</v>
      </c>
      <c r="C2373">
        <v>2330</v>
      </c>
      <c r="D2373" t="e">
        <f t="shared" ca="1" si="74"/>
        <v>#NAME?</v>
      </c>
      <c r="E2373" s="115" t="e">
        <f t="array" aca="1" ref="E2373" ca="1">IF(OR(C2372=0,AND(B2374=0,C2374=0)),"",IFERROR(INDEX($F$27:$F$36,MATCH(C2373,($F$27:$F$36)*($D$27:$D$36&lt;&gt;0),0)),IF(OR(AND(D2373=0,B2373=0,B2374&lt;&gt;0),AND(D2373*D2372&lt;0,B2373&lt;&gt;0)),IF(D2373=0,C2373,C2373*(1-ABS(D2373)/(ABS(D2373)+ABS(D2372)))+C2372*(1-ABS(D2372)/(ABS(D2373)+ABS(D2372)))),"")))</f>
        <v>#NAME?</v>
      </c>
    </row>
    <row r="2374" spans="2:5" x14ac:dyDescent="0.25">
      <c r="B2374" t="e">
        <f t="shared" ca="1" si="75"/>
        <v>#NAME?</v>
      </c>
      <c r="C2374">
        <v>2331</v>
      </c>
      <c r="D2374" t="e">
        <f t="shared" ca="1" si="74"/>
        <v>#NAME?</v>
      </c>
      <c r="E2374" s="115" t="e">
        <f t="array" aca="1" ref="E2374" ca="1">IF(OR(C2373=0,AND(B2375=0,C2375=0)),"",IFERROR(INDEX($F$27:$F$36,MATCH(C2374,($F$27:$F$36)*($D$27:$D$36&lt;&gt;0),0)),IF(OR(AND(D2374=0,B2374=0,B2375&lt;&gt;0),AND(D2374*D2373&lt;0,B2374&lt;&gt;0)),IF(D2374=0,C2374,C2374*(1-ABS(D2374)/(ABS(D2374)+ABS(D2373)))+C2373*(1-ABS(D2373)/(ABS(D2374)+ABS(D2373)))),"")))</f>
        <v>#NAME?</v>
      </c>
    </row>
    <row r="2375" spans="2:5" x14ac:dyDescent="0.25">
      <c r="B2375" t="e">
        <f t="shared" ca="1" si="75"/>
        <v>#NAME?</v>
      </c>
      <c r="C2375">
        <v>2332</v>
      </c>
      <c r="D2375" t="e">
        <f t="shared" ca="1" si="74"/>
        <v>#NAME?</v>
      </c>
      <c r="E2375" s="115" t="e">
        <f t="array" aca="1" ref="E2375" ca="1">IF(OR(C2374=0,AND(B2376=0,C2376=0)),"",IFERROR(INDEX($F$27:$F$36,MATCH(C2375,($F$27:$F$36)*($D$27:$D$36&lt;&gt;0),0)),IF(OR(AND(D2375=0,B2375=0,B2376&lt;&gt;0),AND(D2375*D2374&lt;0,B2375&lt;&gt;0)),IF(D2375=0,C2375,C2375*(1-ABS(D2375)/(ABS(D2375)+ABS(D2374)))+C2374*(1-ABS(D2374)/(ABS(D2375)+ABS(D2374)))),"")))</f>
        <v>#NAME?</v>
      </c>
    </row>
    <row r="2376" spans="2:5" x14ac:dyDescent="0.25">
      <c r="B2376" t="e">
        <f t="shared" ca="1" si="75"/>
        <v>#NAME?</v>
      </c>
      <c r="C2376">
        <v>2333</v>
      </c>
      <c r="D2376" t="e">
        <f t="shared" ca="1" si="74"/>
        <v>#NAME?</v>
      </c>
      <c r="E2376" s="115" t="e">
        <f t="array" aca="1" ref="E2376" ca="1">IF(OR(C2375=0,AND(B2377=0,C2377=0)),"",IFERROR(INDEX($F$27:$F$36,MATCH(C2376,($F$27:$F$36)*($D$27:$D$36&lt;&gt;0),0)),IF(OR(AND(D2376=0,B2376=0,B2377&lt;&gt;0),AND(D2376*D2375&lt;0,B2376&lt;&gt;0)),IF(D2376=0,C2376,C2376*(1-ABS(D2376)/(ABS(D2376)+ABS(D2375)))+C2375*(1-ABS(D2375)/(ABS(D2376)+ABS(D2375)))),"")))</f>
        <v>#NAME?</v>
      </c>
    </row>
    <row r="2377" spans="2:5" x14ac:dyDescent="0.25">
      <c r="B2377" t="e">
        <f t="shared" ca="1" si="75"/>
        <v>#NAME?</v>
      </c>
      <c r="C2377">
        <v>2334</v>
      </c>
      <c r="D2377" t="e">
        <f t="shared" ca="1" si="74"/>
        <v>#NAME?</v>
      </c>
      <c r="E2377" s="115" t="e">
        <f t="array" aca="1" ref="E2377" ca="1">IF(OR(C2376=0,AND(B2378=0,C2378=0)),"",IFERROR(INDEX($F$27:$F$36,MATCH(C2377,($F$27:$F$36)*($D$27:$D$36&lt;&gt;0),0)),IF(OR(AND(D2377=0,B2377=0,B2378&lt;&gt;0),AND(D2377*D2376&lt;0,B2377&lt;&gt;0)),IF(D2377=0,C2377,C2377*(1-ABS(D2377)/(ABS(D2377)+ABS(D2376)))+C2376*(1-ABS(D2376)/(ABS(D2377)+ABS(D2376)))),"")))</f>
        <v>#NAME?</v>
      </c>
    </row>
    <row r="2378" spans="2:5" x14ac:dyDescent="0.25">
      <c r="B2378" t="e">
        <f t="shared" ca="1" si="75"/>
        <v>#NAME?</v>
      </c>
      <c r="C2378">
        <v>2335</v>
      </c>
      <c r="D2378" t="e">
        <f t="shared" ca="1" si="74"/>
        <v>#NAME?</v>
      </c>
      <c r="E2378" s="115" t="e">
        <f t="array" aca="1" ref="E2378" ca="1">IF(OR(C2377=0,AND(B2379=0,C2379=0)),"",IFERROR(INDEX($F$27:$F$36,MATCH(C2378,($F$27:$F$36)*($D$27:$D$36&lt;&gt;0),0)),IF(OR(AND(D2378=0,B2378=0,B2379&lt;&gt;0),AND(D2378*D2377&lt;0,B2378&lt;&gt;0)),IF(D2378=0,C2378,C2378*(1-ABS(D2378)/(ABS(D2378)+ABS(D2377)))+C2377*(1-ABS(D2377)/(ABS(D2378)+ABS(D2377)))),"")))</f>
        <v>#NAME?</v>
      </c>
    </row>
    <row r="2379" spans="2:5" x14ac:dyDescent="0.25">
      <c r="B2379" t="e">
        <f t="shared" ca="1" si="75"/>
        <v>#NAME?</v>
      </c>
      <c r="C2379">
        <v>2336</v>
      </c>
      <c r="D2379" t="e">
        <f t="shared" ca="1" si="74"/>
        <v>#NAME?</v>
      </c>
      <c r="E2379" s="115" t="e">
        <f t="array" aca="1" ref="E2379" ca="1">IF(OR(C2378=0,AND(B2380=0,C2380=0)),"",IFERROR(INDEX($F$27:$F$36,MATCH(C2379,($F$27:$F$36)*($D$27:$D$36&lt;&gt;0),0)),IF(OR(AND(D2379=0,B2379=0,B2380&lt;&gt;0),AND(D2379*D2378&lt;0,B2379&lt;&gt;0)),IF(D2379=0,C2379,C2379*(1-ABS(D2379)/(ABS(D2379)+ABS(D2378)))+C2378*(1-ABS(D2378)/(ABS(D2379)+ABS(D2378)))),"")))</f>
        <v>#NAME?</v>
      </c>
    </row>
    <row r="2380" spans="2:5" x14ac:dyDescent="0.25">
      <c r="B2380" t="e">
        <f t="shared" ca="1" si="75"/>
        <v>#NAME?</v>
      </c>
      <c r="C2380">
        <v>2337</v>
      </c>
      <c r="D2380" t="e">
        <f t="shared" ca="1" si="74"/>
        <v>#NAME?</v>
      </c>
      <c r="E2380" s="115" t="e">
        <f t="array" aca="1" ref="E2380" ca="1">IF(OR(C2379=0,AND(B2381=0,C2381=0)),"",IFERROR(INDEX($F$27:$F$36,MATCH(C2380,($F$27:$F$36)*($D$27:$D$36&lt;&gt;0),0)),IF(OR(AND(D2380=0,B2380=0,B2381&lt;&gt;0),AND(D2380*D2379&lt;0,B2380&lt;&gt;0)),IF(D2380=0,C2380,C2380*(1-ABS(D2380)/(ABS(D2380)+ABS(D2379)))+C2379*(1-ABS(D2379)/(ABS(D2380)+ABS(D2379)))),"")))</f>
        <v>#NAME?</v>
      </c>
    </row>
    <row r="2381" spans="2:5" x14ac:dyDescent="0.25">
      <c r="B2381" t="e">
        <f t="shared" ca="1" si="75"/>
        <v>#NAME?</v>
      </c>
      <c r="C2381">
        <v>2338</v>
      </c>
      <c r="D2381" t="e">
        <f t="shared" ca="1" si="74"/>
        <v>#NAME?</v>
      </c>
      <c r="E2381" s="115" t="e">
        <f t="array" aca="1" ref="E2381" ca="1">IF(OR(C2380=0,AND(B2382=0,C2382=0)),"",IFERROR(INDEX($F$27:$F$36,MATCH(C2381,($F$27:$F$36)*($D$27:$D$36&lt;&gt;0),0)),IF(OR(AND(D2381=0,B2381=0,B2382&lt;&gt;0),AND(D2381*D2380&lt;0,B2381&lt;&gt;0)),IF(D2381=0,C2381,C2381*(1-ABS(D2381)/(ABS(D2381)+ABS(D2380)))+C2380*(1-ABS(D2380)/(ABS(D2381)+ABS(D2380)))),"")))</f>
        <v>#NAME?</v>
      </c>
    </row>
    <row r="2382" spans="2:5" x14ac:dyDescent="0.25">
      <c r="B2382" t="e">
        <f t="shared" ca="1" si="75"/>
        <v>#NAME?</v>
      </c>
      <c r="C2382">
        <v>2339</v>
      </c>
      <c r="D2382" t="e">
        <f t="shared" ca="1" si="74"/>
        <v>#NAME?</v>
      </c>
      <c r="E2382" s="115" t="e">
        <f t="array" aca="1" ref="E2382" ca="1">IF(OR(C2381=0,AND(B2383=0,C2383=0)),"",IFERROR(INDEX($F$27:$F$36,MATCH(C2382,($F$27:$F$36)*($D$27:$D$36&lt;&gt;0),0)),IF(OR(AND(D2382=0,B2382=0,B2383&lt;&gt;0),AND(D2382*D2381&lt;0,B2382&lt;&gt;0)),IF(D2382=0,C2382,C2382*(1-ABS(D2382)/(ABS(D2382)+ABS(D2381)))+C2381*(1-ABS(D2381)/(ABS(D2382)+ABS(D2381)))),"")))</f>
        <v>#NAME?</v>
      </c>
    </row>
    <row r="2383" spans="2:5" x14ac:dyDescent="0.25">
      <c r="B2383" t="e">
        <f t="shared" ca="1" si="75"/>
        <v>#NAME?</v>
      </c>
      <c r="C2383">
        <v>2340</v>
      </c>
      <c r="D2383" t="e">
        <f t="shared" ca="1" si="74"/>
        <v>#NAME?</v>
      </c>
      <c r="E2383" s="115" t="e">
        <f t="array" aca="1" ref="E2383" ca="1">IF(OR(C2382=0,AND(B2384=0,C2384=0)),"",IFERROR(INDEX($F$27:$F$36,MATCH(C2383,($F$27:$F$36)*($D$27:$D$36&lt;&gt;0),0)),IF(OR(AND(D2383=0,B2383=0,B2384&lt;&gt;0),AND(D2383*D2382&lt;0,B2383&lt;&gt;0)),IF(D2383=0,C2383,C2383*(1-ABS(D2383)/(ABS(D2383)+ABS(D2382)))+C2382*(1-ABS(D2382)/(ABS(D2383)+ABS(D2382)))),"")))</f>
        <v>#NAME?</v>
      </c>
    </row>
    <row r="2384" spans="2:5" x14ac:dyDescent="0.25">
      <c r="B2384" t="e">
        <f t="shared" ca="1" si="75"/>
        <v>#NAME?</v>
      </c>
      <c r="C2384">
        <v>2341</v>
      </c>
      <c r="D2384" t="e">
        <f t="shared" ca="1" si="74"/>
        <v>#NAME?</v>
      </c>
      <c r="E2384" s="115" t="e">
        <f t="array" aca="1" ref="E2384" ca="1">IF(OR(C2383=0,AND(B2385=0,C2385=0)),"",IFERROR(INDEX($F$27:$F$36,MATCH(C2384,($F$27:$F$36)*($D$27:$D$36&lt;&gt;0),0)),IF(OR(AND(D2384=0,B2384=0,B2385&lt;&gt;0),AND(D2384*D2383&lt;0,B2384&lt;&gt;0)),IF(D2384=0,C2384,C2384*(1-ABS(D2384)/(ABS(D2384)+ABS(D2383)))+C2383*(1-ABS(D2383)/(ABS(D2384)+ABS(D2383)))),"")))</f>
        <v>#NAME?</v>
      </c>
    </row>
    <row r="2385" spans="2:5" x14ac:dyDescent="0.25">
      <c r="B2385" t="e">
        <f t="shared" ca="1" si="75"/>
        <v>#NAME?</v>
      </c>
      <c r="C2385">
        <v>2342</v>
      </c>
      <c r="D2385" t="e">
        <f t="shared" ca="1" si="74"/>
        <v>#NAME?</v>
      </c>
      <c r="E2385" s="115" t="e">
        <f t="array" aca="1" ref="E2385" ca="1">IF(OR(C2384=0,AND(B2386=0,C2386=0)),"",IFERROR(INDEX($F$27:$F$36,MATCH(C2385,($F$27:$F$36)*($D$27:$D$36&lt;&gt;0),0)),IF(OR(AND(D2385=0,B2385=0,B2386&lt;&gt;0),AND(D2385*D2384&lt;0,B2385&lt;&gt;0)),IF(D2385=0,C2385,C2385*(1-ABS(D2385)/(ABS(D2385)+ABS(D2384)))+C2384*(1-ABS(D2384)/(ABS(D2385)+ABS(D2384)))),"")))</f>
        <v>#NAME?</v>
      </c>
    </row>
    <row r="2386" spans="2:5" x14ac:dyDescent="0.25">
      <c r="B2386" t="e">
        <f t="shared" ca="1" si="75"/>
        <v>#NAME?</v>
      </c>
      <c r="C2386">
        <v>2343</v>
      </c>
      <c r="D2386" t="e">
        <f t="shared" ca="1" si="74"/>
        <v>#NAME?</v>
      </c>
      <c r="E2386" s="115" t="e">
        <f t="array" aca="1" ref="E2386" ca="1">IF(OR(C2385=0,AND(B2387=0,C2387=0)),"",IFERROR(INDEX($F$27:$F$36,MATCH(C2386,($F$27:$F$36)*($D$27:$D$36&lt;&gt;0),0)),IF(OR(AND(D2386=0,B2386=0,B2387&lt;&gt;0),AND(D2386*D2385&lt;0,B2386&lt;&gt;0)),IF(D2386=0,C2386,C2386*(1-ABS(D2386)/(ABS(D2386)+ABS(D2385)))+C2385*(1-ABS(D2385)/(ABS(D2386)+ABS(D2385)))),"")))</f>
        <v>#NAME?</v>
      </c>
    </row>
    <row r="2387" spans="2:5" x14ac:dyDescent="0.25">
      <c r="B2387" t="e">
        <f t="shared" ca="1" si="75"/>
        <v>#NAME?</v>
      </c>
      <c r="C2387">
        <v>2344</v>
      </c>
      <c r="D2387" t="e">
        <f t="shared" ca="1" si="74"/>
        <v>#NAME?</v>
      </c>
      <c r="E2387" s="115" t="e">
        <f t="array" aca="1" ref="E2387" ca="1">IF(OR(C2386=0,AND(B2388=0,C2388=0)),"",IFERROR(INDEX($F$27:$F$36,MATCH(C2387,($F$27:$F$36)*($D$27:$D$36&lt;&gt;0),0)),IF(OR(AND(D2387=0,B2387=0,B2388&lt;&gt;0),AND(D2387*D2386&lt;0,B2387&lt;&gt;0)),IF(D2387=0,C2387,C2387*(1-ABS(D2387)/(ABS(D2387)+ABS(D2386)))+C2386*(1-ABS(D2386)/(ABS(D2387)+ABS(D2386)))),"")))</f>
        <v>#NAME?</v>
      </c>
    </row>
    <row r="2388" spans="2:5" x14ac:dyDescent="0.25">
      <c r="B2388" t="e">
        <f t="shared" ca="1" si="75"/>
        <v>#NAME?</v>
      </c>
      <c r="C2388">
        <v>2345</v>
      </c>
      <c r="D2388" t="e">
        <f t="shared" ca="1" si="74"/>
        <v>#NAME?</v>
      </c>
      <c r="E2388" s="115" t="e">
        <f t="array" aca="1" ref="E2388" ca="1">IF(OR(C2387=0,AND(B2389=0,C2389=0)),"",IFERROR(INDEX($F$27:$F$36,MATCH(C2388,($F$27:$F$36)*($D$27:$D$36&lt;&gt;0),0)),IF(OR(AND(D2388=0,B2388=0,B2389&lt;&gt;0),AND(D2388*D2387&lt;0,B2388&lt;&gt;0)),IF(D2388=0,C2388,C2388*(1-ABS(D2388)/(ABS(D2388)+ABS(D2387)))+C2387*(1-ABS(D2387)/(ABS(D2388)+ABS(D2387)))),"")))</f>
        <v>#NAME?</v>
      </c>
    </row>
    <row r="2389" spans="2:5" x14ac:dyDescent="0.25">
      <c r="B2389" t="e">
        <f t="shared" ca="1" si="75"/>
        <v>#NAME?</v>
      </c>
      <c r="C2389">
        <v>2346</v>
      </c>
      <c r="D2389" t="e">
        <f t="shared" ca="1" si="74"/>
        <v>#NAME?</v>
      </c>
      <c r="E2389" s="115" t="e">
        <f t="array" aca="1" ref="E2389" ca="1">IF(OR(C2388=0,AND(B2390=0,C2390=0)),"",IFERROR(INDEX($F$27:$F$36,MATCH(C2389,($F$27:$F$36)*($D$27:$D$36&lt;&gt;0),0)),IF(OR(AND(D2389=0,B2389=0,B2390&lt;&gt;0),AND(D2389*D2388&lt;0,B2389&lt;&gt;0)),IF(D2389=0,C2389,C2389*(1-ABS(D2389)/(ABS(D2389)+ABS(D2388)))+C2388*(1-ABS(D2388)/(ABS(D2389)+ABS(D2388)))),"")))</f>
        <v>#NAME?</v>
      </c>
    </row>
    <row r="2390" spans="2:5" x14ac:dyDescent="0.25">
      <c r="B2390" t="e">
        <f t="shared" ca="1" si="75"/>
        <v>#NAME?</v>
      </c>
      <c r="C2390">
        <v>2347</v>
      </c>
      <c r="D2390" t="e">
        <f t="shared" ca="1" si="74"/>
        <v>#NAME?</v>
      </c>
      <c r="E2390" s="115" t="e">
        <f t="array" aca="1" ref="E2390" ca="1">IF(OR(C2389=0,AND(B2391=0,C2391=0)),"",IFERROR(INDEX($F$27:$F$36,MATCH(C2390,($F$27:$F$36)*($D$27:$D$36&lt;&gt;0),0)),IF(OR(AND(D2390=0,B2390=0,B2391&lt;&gt;0),AND(D2390*D2389&lt;0,B2390&lt;&gt;0)),IF(D2390=0,C2390,C2390*(1-ABS(D2390)/(ABS(D2390)+ABS(D2389)))+C2389*(1-ABS(D2389)/(ABS(D2390)+ABS(D2389)))),"")))</f>
        <v>#NAME?</v>
      </c>
    </row>
    <row r="2391" spans="2:5" x14ac:dyDescent="0.25">
      <c r="B2391" t="e">
        <f t="shared" ca="1" si="75"/>
        <v>#NAME?</v>
      </c>
      <c r="C2391">
        <v>2348</v>
      </c>
      <c r="D2391" t="e">
        <f t="shared" ca="1" si="74"/>
        <v>#NAME?</v>
      </c>
      <c r="E2391" s="115" t="e">
        <f t="array" aca="1" ref="E2391" ca="1">IF(OR(C2390=0,AND(B2392=0,C2392=0)),"",IFERROR(INDEX($F$27:$F$36,MATCH(C2391,($F$27:$F$36)*($D$27:$D$36&lt;&gt;0),0)),IF(OR(AND(D2391=0,B2391=0,B2392&lt;&gt;0),AND(D2391*D2390&lt;0,B2391&lt;&gt;0)),IF(D2391=0,C2391,C2391*(1-ABS(D2391)/(ABS(D2391)+ABS(D2390)))+C2390*(1-ABS(D2390)/(ABS(D2391)+ABS(D2390)))),"")))</f>
        <v>#NAME?</v>
      </c>
    </row>
    <row r="2392" spans="2:5" x14ac:dyDescent="0.25">
      <c r="B2392" t="e">
        <f t="shared" ca="1" si="75"/>
        <v>#NAME?</v>
      </c>
      <c r="C2392">
        <v>2349</v>
      </c>
      <c r="D2392" t="e">
        <f t="shared" ca="1" si="74"/>
        <v>#NAME?</v>
      </c>
      <c r="E2392" s="115" t="e">
        <f t="array" aca="1" ref="E2392" ca="1">IF(OR(C2391=0,AND(B2393=0,C2393=0)),"",IFERROR(INDEX($F$27:$F$36,MATCH(C2392,($F$27:$F$36)*($D$27:$D$36&lt;&gt;0),0)),IF(OR(AND(D2392=0,B2392=0,B2393&lt;&gt;0),AND(D2392*D2391&lt;0,B2392&lt;&gt;0)),IF(D2392=0,C2392,C2392*(1-ABS(D2392)/(ABS(D2392)+ABS(D2391)))+C2391*(1-ABS(D2391)/(ABS(D2392)+ABS(D2391)))),"")))</f>
        <v>#NAME?</v>
      </c>
    </row>
    <row r="2393" spans="2:5" x14ac:dyDescent="0.25">
      <c r="B2393" t="e">
        <f t="shared" ca="1" si="75"/>
        <v>#NAME?</v>
      </c>
      <c r="C2393">
        <v>2350</v>
      </c>
      <c r="D2393" t="e">
        <f t="shared" ca="1" si="74"/>
        <v>#NAME?</v>
      </c>
      <c r="E2393" s="115" t="e">
        <f t="array" aca="1" ref="E2393" ca="1">IF(OR(C2392=0,AND(B2394=0,C2394=0)),"",IFERROR(INDEX($F$27:$F$36,MATCH(C2393,($F$27:$F$36)*($D$27:$D$36&lt;&gt;0),0)),IF(OR(AND(D2393=0,B2393=0,B2394&lt;&gt;0),AND(D2393*D2392&lt;0,B2393&lt;&gt;0)),IF(D2393=0,C2393,C2393*(1-ABS(D2393)/(ABS(D2393)+ABS(D2392)))+C2392*(1-ABS(D2392)/(ABS(D2393)+ABS(D2392)))),"")))</f>
        <v>#NAME?</v>
      </c>
    </row>
    <row r="2394" spans="2:5" x14ac:dyDescent="0.25">
      <c r="B2394" t="e">
        <f t="shared" ca="1" si="75"/>
        <v>#NAME?</v>
      </c>
      <c r="C2394">
        <v>2351</v>
      </c>
      <c r="D2394" t="e">
        <f t="shared" ca="1" si="74"/>
        <v>#NAME?</v>
      </c>
      <c r="E2394" s="115" t="e">
        <f t="array" aca="1" ref="E2394" ca="1">IF(OR(C2393=0,AND(B2395=0,C2395=0)),"",IFERROR(INDEX($F$27:$F$36,MATCH(C2394,($F$27:$F$36)*($D$27:$D$36&lt;&gt;0),0)),IF(OR(AND(D2394=0,B2394=0,B2395&lt;&gt;0),AND(D2394*D2393&lt;0,B2394&lt;&gt;0)),IF(D2394=0,C2394,C2394*(1-ABS(D2394)/(ABS(D2394)+ABS(D2393)))+C2393*(1-ABS(D2393)/(ABS(D2394)+ABS(D2393)))),"")))</f>
        <v>#NAME?</v>
      </c>
    </row>
    <row r="2395" spans="2:5" x14ac:dyDescent="0.25">
      <c r="B2395" t="e">
        <f t="shared" ca="1" si="75"/>
        <v>#NAME?</v>
      </c>
      <c r="C2395">
        <v>2352</v>
      </c>
      <c r="D2395" t="e">
        <f t="shared" ca="1" si="74"/>
        <v>#NAME?</v>
      </c>
      <c r="E2395" s="115" t="e">
        <f t="array" aca="1" ref="E2395" ca="1">IF(OR(C2394=0,AND(B2396=0,C2396=0)),"",IFERROR(INDEX($F$27:$F$36,MATCH(C2395,($F$27:$F$36)*($D$27:$D$36&lt;&gt;0),0)),IF(OR(AND(D2395=0,B2395=0,B2396&lt;&gt;0),AND(D2395*D2394&lt;0,B2395&lt;&gt;0)),IF(D2395=0,C2395,C2395*(1-ABS(D2395)/(ABS(D2395)+ABS(D2394)))+C2394*(1-ABS(D2394)/(ABS(D2395)+ABS(D2394)))),"")))</f>
        <v>#NAME?</v>
      </c>
    </row>
    <row r="2396" spans="2:5" x14ac:dyDescent="0.25">
      <c r="B2396" t="e">
        <f t="shared" ca="1" si="75"/>
        <v>#NAME?</v>
      </c>
      <c r="C2396">
        <v>2353</v>
      </c>
      <c r="D2396" t="e">
        <f t="shared" ca="1" si="74"/>
        <v>#NAME?</v>
      </c>
      <c r="E2396" s="115" t="e">
        <f t="array" aca="1" ref="E2396" ca="1">IF(OR(C2395=0,AND(B2397=0,C2397=0)),"",IFERROR(INDEX($F$27:$F$36,MATCH(C2396,($F$27:$F$36)*($D$27:$D$36&lt;&gt;0),0)),IF(OR(AND(D2396=0,B2396=0,B2397&lt;&gt;0),AND(D2396*D2395&lt;0,B2396&lt;&gt;0)),IF(D2396=0,C2396,C2396*(1-ABS(D2396)/(ABS(D2396)+ABS(D2395)))+C2395*(1-ABS(D2395)/(ABS(D2396)+ABS(D2395)))),"")))</f>
        <v>#NAME?</v>
      </c>
    </row>
    <row r="2397" spans="2:5" x14ac:dyDescent="0.25">
      <c r="B2397" t="e">
        <f t="shared" ca="1" si="75"/>
        <v>#NAME?</v>
      </c>
      <c r="C2397">
        <v>2354</v>
      </c>
      <c r="D2397" t="e">
        <f t="shared" ca="1" si="74"/>
        <v>#NAME?</v>
      </c>
      <c r="E2397" s="115" t="e">
        <f t="array" aca="1" ref="E2397" ca="1">IF(OR(C2396=0,AND(B2398=0,C2398=0)),"",IFERROR(INDEX($F$27:$F$36,MATCH(C2397,($F$27:$F$36)*($D$27:$D$36&lt;&gt;0),0)),IF(OR(AND(D2397=0,B2397=0,B2398&lt;&gt;0),AND(D2397*D2396&lt;0,B2397&lt;&gt;0)),IF(D2397=0,C2397,C2397*(1-ABS(D2397)/(ABS(D2397)+ABS(D2396)))+C2396*(1-ABS(D2396)/(ABS(D2397)+ABS(D2396)))),"")))</f>
        <v>#NAME?</v>
      </c>
    </row>
    <row r="2398" spans="2:5" x14ac:dyDescent="0.25">
      <c r="B2398" t="e">
        <f t="shared" ca="1" si="75"/>
        <v>#NAME?</v>
      </c>
      <c r="C2398">
        <v>2355</v>
      </c>
      <c r="D2398" t="e">
        <f t="shared" ca="1" si="74"/>
        <v>#NAME?</v>
      </c>
      <c r="E2398" s="115" t="e">
        <f t="array" aca="1" ref="E2398" ca="1">IF(OR(C2397=0,AND(B2399=0,C2399=0)),"",IFERROR(INDEX($F$27:$F$36,MATCH(C2398,($F$27:$F$36)*($D$27:$D$36&lt;&gt;0),0)),IF(OR(AND(D2398=0,B2398=0,B2399&lt;&gt;0),AND(D2398*D2397&lt;0,B2398&lt;&gt;0)),IF(D2398=0,C2398,C2398*(1-ABS(D2398)/(ABS(D2398)+ABS(D2397)))+C2397*(1-ABS(D2397)/(ABS(D2398)+ABS(D2397)))),"")))</f>
        <v>#NAME?</v>
      </c>
    </row>
    <row r="2399" spans="2:5" x14ac:dyDescent="0.25">
      <c r="B2399" t="e">
        <f t="shared" ca="1" si="75"/>
        <v>#NAME?</v>
      </c>
      <c r="C2399">
        <v>2356</v>
      </c>
      <c r="D2399" t="e">
        <f t="shared" ca="1" si="74"/>
        <v>#NAME?</v>
      </c>
      <c r="E2399" s="115" t="e">
        <f t="array" aca="1" ref="E2399" ca="1">IF(OR(C2398=0,AND(B2400=0,C2400=0)),"",IFERROR(INDEX($F$27:$F$36,MATCH(C2399,($F$27:$F$36)*($D$27:$D$36&lt;&gt;0),0)),IF(OR(AND(D2399=0,B2399=0,B2400&lt;&gt;0),AND(D2399*D2398&lt;0,B2399&lt;&gt;0)),IF(D2399=0,C2399,C2399*(1-ABS(D2399)/(ABS(D2399)+ABS(D2398)))+C2398*(1-ABS(D2398)/(ABS(D2399)+ABS(D2398)))),"")))</f>
        <v>#NAME?</v>
      </c>
    </row>
    <row r="2400" spans="2:5" x14ac:dyDescent="0.25">
      <c r="B2400" t="e">
        <f t="shared" ca="1" si="75"/>
        <v>#NAME?</v>
      </c>
      <c r="C2400">
        <v>2357</v>
      </c>
      <c r="D2400" t="e">
        <f t="shared" ca="1" si="74"/>
        <v>#NAME?</v>
      </c>
      <c r="E2400" s="115" t="e">
        <f t="array" aca="1" ref="E2400" ca="1">IF(OR(C2399=0,AND(B2401=0,C2401=0)),"",IFERROR(INDEX($F$27:$F$36,MATCH(C2400,($F$27:$F$36)*($D$27:$D$36&lt;&gt;0),0)),IF(OR(AND(D2400=0,B2400=0,B2401&lt;&gt;0),AND(D2400*D2399&lt;0,B2400&lt;&gt;0)),IF(D2400=0,C2400,C2400*(1-ABS(D2400)/(ABS(D2400)+ABS(D2399)))+C2399*(1-ABS(D2399)/(ABS(D2400)+ABS(D2399)))),"")))</f>
        <v>#NAME?</v>
      </c>
    </row>
    <row r="2401" spans="2:5" x14ac:dyDescent="0.25">
      <c r="B2401" t="e">
        <f t="shared" ca="1" si="75"/>
        <v>#NAME?</v>
      </c>
      <c r="C2401">
        <v>2358</v>
      </c>
      <c r="D2401" t="e">
        <f t="shared" ca="1" si="74"/>
        <v>#NAME?</v>
      </c>
      <c r="E2401" s="115" t="e">
        <f t="array" aca="1" ref="E2401" ca="1">IF(OR(C2400=0,AND(B2402=0,C2402=0)),"",IFERROR(INDEX($F$27:$F$36,MATCH(C2401,($F$27:$F$36)*($D$27:$D$36&lt;&gt;0),0)),IF(OR(AND(D2401=0,B2401=0,B2402&lt;&gt;0),AND(D2401*D2400&lt;0,B2401&lt;&gt;0)),IF(D2401=0,C2401,C2401*(1-ABS(D2401)/(ABS(D2401)+ABS(D2400)))+C2400*(1-ABS(D2400)/(ABS(D2401)+ABS(D2400)))),"")))</f>
        <v>#NAME?</v>
      </c>
    </row>
    <row r="2402" spans="2:5" x14ac:dyDescent="0.25">
      <c r="B2402" t="e">
        <f t="shared" ca="1" si="75"/>
        <v>#NAME?</v>
      </c>
      <c r="C2402">
        <v>2359</v>
      </c>
      <c r="D2402" t="e">
        <f t="shared" ca="1" si="74"/>
        <v>#NAME?</v>
      </c>
      <c r="E2402" s="115" t="e">
        <f t="array" aca="1" ref="E2402" ca="1">IF(OR(C2401=0,AND(B2403=0,C2403=0)),"",IFERROR(INDEX($F$27:$F$36,MATCH(C2402,($F$27:$F$36)*($D$27:$D$36&lt;&gt;0),0)),IF(OR(AND(D2402=0,B2402=0,B2403&lt;&gt;0),AND(D2402*D2401&lt;0,B2402&lt;&gt;0)),IF(D2402=0,C2402,C2402*(1-ABS(D2402)/(ABS(D2402)+ABS(D2401)))+C2401*(1-ABS(D2401)/(ABS(D2402)+ABS(D2401)))),"")))</f>
        <v>#NAME?</v>
      </c>
    </row>
    <row r="2403" spans="2:5" x14ac:dyDescent="0.25">
      <c r="B2403" t="e">
        <f t="shared" ca="1" si="75"/>
        <v>#NAME?</v>
      </c>
      <c r="C2403">
        <v>2360</v>
      </c>
      <c r="D2403" t="e">
        <f t="shared" ca="1" si="74"/>
        <v>#NAME?</v>
      </c>
      <c r="E2403" s="115" t="e">
        <f t="array" aca="1" ref="E2403" ca="1">IF(OR(C2402=0,AND(B2404=0,C2404=0)),"",IFERROR(INDEX($F$27:$F$36,MATCH(C2403,($F$27:$F$36)*($D$27:$D$36&lt;&gt;0),0)),IF(OR(AND(D2403=0,B2403=0,B2404&lt;&gt;0),AND(D2403*D2402&lt;0,B2403&lt;&gt;0)),IF(D2403=0,C2403,C2403*(1-ABS(D2403)/(ABS(D2403)+ABS(D2402)))+C2402*(1-ABS(D2402)/(ABS(D2403)+ABS(D2402)))),"")))</f>
        <v>#NAME?</v>
      </c>
    </row>
    <row r="2404" spans="2:5" x14ac:dyDescent="0.25">
      <c r="B2404" t="e">
        <f t="shared" ca="1" si="75"/>
        <v>#NAME?</v>
      </c>
      <c r="C2404">
        <v>2361</v>
      </c>
      <c r="D2404" t="e">
        <f t="shared" ca="1" si="74"/>
        <v>#NAME?</v>
      </c>
      <c r="E2404" s="115" t="e">
        <f t="array" aca="1" ref="E2404" ca="1">IF(OR(C2403=0,AND(B2405=0,C2405=0)),"",IFERROR(INDEX($F$27:$F$36,MATCH(C2404,($F$27:$F$36)*($D$27:$D$36&lt;&gt;0),0)),IF(OR(AND(D2404=0,B2404=0,B2405&lt;&gt;0),AND(D2404*D2403&lt;0,B2404&lt;&gt;0)),IF(D2404=0,C2404,C2404*(1-ABS(D2404)/(ABS(D2404)+ABS(D2403)))+C2403*(1-ABS(D2403)/(ABS(D2404)+ABS(D2403)))),"")))</f>
        <v>#NAME?</v>
      </c>
    </row>
    <row r="2405" spans="2:5" x14ac:dyDescent="0.25">
      <c r="B2405" t="e">
        <f t="shared" ca="1" si="75"/>
        <v>#NAME?</v>
      </c>
      <c r="C2405">
        <v>2362</v>
      </c>
      <c r="D2405" t="e">
        <f t="shared" ca="1" si="74"/>
        <v>#NAME?</v>
      </c>
      <c r="E2405" s="115" t="e">
        <f t="array" aca="1" ref="E2405" ca="1">IF(OR(C2404=0,AND(B2406=0,C2406=0)),"",IFERROR(INDEX($F$27:$F$36,MATCH(C2405,($F$27:$F$36)*($D$27:$D$36&lt;&gt;0),0)),IF(OR(AND(D2405=0,B2405=0,B2406&lt;&gt;0),AND(D2405*D2404&lt;0,B2405&lt;&gt;0)),IF(D2405=0,C2405,C2405*(1-ABS(D2405)/(ABS(D2405)+ABS(D2404)))+C2404*(1-ABS(D2404)/(ABS(D2405)+ABS(D2404)))),"")))</f>
        <v>#NAME?</v>
      </c>
    </row>
    <row r="2406" spans="2:5" x14ac:dyDescent="0.25">
      <c r="B2406" t="e">
        <f t="shared" ca="1" si="75"/>
        <v>#NAME?</v>
      </c>
      <c r="C2406">
        <v>2363</v>
      </c>
      <c r="D2406" t="e">
        <f t="shared" ca="1" si="74"/>
        <v>#NAME?</v>
      </c>
      <c r="E2406" s="115" t="e">
        <f t="array" aca="1" ref="E2406" ca="1">IF(OR(C2405=0,AND(B2407=0,C2407=0)),"",IFERROR(INDEX($F$27:$F$36,MATCH(C2406,($F$27:$F$36)*($D$27:$D$36&lt;&gt;0),0)),IF(OR(AND(D2406=0,B2406=0,B2407&lt;&gt;0),AND(D2406*D2405&lt;0,B2406&lt;&gt;0)),IF(D2406=0,C2406,C2406*(1-ABS(D2406)/(ABS(D2406)+ABS(D2405)))+C2405*(1-ABS(D2405)/(ABS(D2406)+ABS(D2405)))),"")))</f>
        <v>#NAME?</v>
      </c>
    </row>
    <row r="2407" spans="2:5" x14ac:dyDescent="0.25">
      <c r="B2407" t="e">
        <f t="shared" ca="1" si="75"/>
        <v>#NAME?</v>
      </c>
      <c r="C2407">
        <v>2364</v>
      </c>
      <c r="D2407" t="e">
        <f t="shared" ca="1" si="74"/>
        <v>#NAME?</v>
      </c>
      <c r="E2407" s="115" t="e">
        <f t="array" aca="1" ref="E2407" ca="1">IF(OR(C2406=0,AND(B2408=0,C2408=0)),"",IFERROR(INDEX($F$27:$F$36,MATCH(C2407,($F$27:$F$36)*($D$27:$D$36&lt;&gt;0),0)),IF(OR(AND(D2407=0,B2407=0,B2408&lt;&gt;0),AND(D2407*D2406&lt;0,B2407&lt;&gt;0)),IF(D2407=0,C2407,C2407*(1-ABS(D2407)/(ABS(D2407)+ABS(D2406)))+C2406*(1-ABS(D2406)/(ABS(D2407)+ABS(D2406)))),"")))</f>
        <v>#NAME?</v>
      </c>
    </row>
    <row r="2408" spans="2:5" x14ac:dyDescent="0.25">
      <c r="B2408" t="e">
        <f t="shared" ca="1" si="75"/>
        <v>#NAME?</v>
      </c>
      <c r="C2408">
        <v>2365</v>
      </c>
      <c r="D2408" t="e">
        <f t="shared" ca="1" si="74"/>
        <v>#NAME?</v>
      </c>
      <c r="E2408" s="115" t="e">
        <f t="array" aca="1" ref="E2408" ca="1">IF(OR(C2407=0,AND(B2409=0,C2409=0)),"",IFERROR(INDEX($F$27:$F$36,MATCH(C2408,($F$27:$F$36)*($D$27:$D$36&lt;&gt;0),0)),IF(OR(AND(D2408=0,B2408=0,B2409&lt;&gt;0),AND(D2408*D2407&lt;0,B2408&lt;&gt;0)),IF(D2408=0,C2408,C2408*(1-ABS(D2408)/(ABS(D2408)+ABS(D2407)))+C2407*(1-ABS(D2407)/(ABS(D2408)+ABS(D2407)))),"")))</f>
        <v>#NAME?</v>
      </c>
    </row>
    <row r="2409" spans="2:5" x14ac:dyDescent="0.25">
      <c r="B2409" t="e">
        <f t="shared" ca="1" si="75"/>
        <v>#NAME?</v>
      </c>
      <c r="C2409">
        <v>2366</v>
      </c>
      <c r="D2409" t="e">
        <f t="shared" ca="1" si="74"/>
        <v>#NAME?</v>
      </c>
      <c r="E2409" s="115" t="e">
        <f t="array" aca="1" ref="E2409" ca="1">IF(OR(C2408=0,AND(B2410=0,C2410=0)),"",IFERROR(INDEX($F$27:$F$36,MATCH(C2409,($F$27:$F$36)*($D$27:$D$36&lt;&gt;0),0)),IF(OR(AND(D2409=0,B2409=0,B2410&lt;&gt;0),AND(D2409*D2408&lt;0,B2409&lt;&gt;0)),IF(D2409=0,C2409,C2409*(1-ABS(D2409)/(ABS(D2409)+ABS(D2408)))+C2408*(1-ABS(D2408)/(ABS(D2409)+ABS(D2408)))),"")))</f>
        <v>#NAME?</v>
      </c>
    </row>
    <row r="2410" spans="2:5" x14ac:dyDescent="0.25">
      <c r="B2410" t="e">
        <f t="shared" ca="1" si="75"/>
        <v>#NAME?</v>
      </c>
      <c r="C2410">
        <v>2367</v>
      </c>
      <c r="D2410" t="e">
        <f t="shared" ca="1" si="74"/>
        <v>#NAME?</v>
      </c>
      <c r="E2410" s="115" t="e">
        <f t="array" aca="1" ref="E2410" ca="1">IF(OR(C2409=0,AND(B2411=0,C2411=0)),"",IFERROR(INDEX($F$27:$F$36,MATCH(C2410,($F$27:$F$36)*($D$27:$D$36&lt;&gt;0),0)),IF(OR(AND(D2410=0,B2410=0,B2411&lt;&gt;0),AND(D2410*D2409&lt;0,B2410&lt;&gt;0)),IF(D2410=0,C2410,C2410*(1-ABS(D2410)/(ABS(D2410)+ABS(D2409)))+C2409*(1-ABS(D2409)/(ABS(D2410)+ABS(D2409)))),"")))</f>
        <v>#NAME?</v>
      </c>
    </row>
    <row r="2411" spans="2:5" x14ac:dyDescent="0.25">
      <c r="B2411" t="e">
        <f t="shared" ca="1" si="75"/>
        <v>#NAME?</v>
      </c>
      <c r="C2411">
        <v>2368</v>
      </c>
      <c r="D2411" t="e">
        <f t="shared" ref="D2411:D2474" ca="1" si="76">SUMPRODUCT(--($J$27:$J$37&gt;0),--($C2411-$F$27:$F$37&gt;0),($D$27:$D$37),($C2411-$F$27:$F$37))+SUMPRODUCT(--($J$27:$J$37&lt;0),--($F$27:$F$37-$C2411&gt;0),($D$27:$D$37),($F$27:$F$37-$C2411))-SUMPRODUCT($D$27:$D$37,$E$27:$E$37)</f>
        <v>#NAME?</v>
      </c>
      <c r="E2411" s="115" t="e">
        <f t="array" aca="1" ref="E2411" ca="1">IF(OR(C2410=0,AND(B2412=0,C2412=0)),"",IFERROR(INDEX($F$27:$F$36,MATCH(C2411,($F$27:$F$36)*($D$27:$D$36&lt;&gt;0),0)),IF(OR(AND(D2411=0,B2411=0,B2412&lt;&gt;0),AND(D2411*D2410&lt;0,B2411&lt;&gt;0)),IF(D2411=0,C2411,C2411*(1-ABS(D2411)/(ABS(D2411)+ABS(D2410)))+C2410*(1-ABS(D2410)/(ABS(D2411)+ABS(D2410)))),"")))</f>
        <v>#NAME?</v>
      </c>
    </row>
    <row r="2412" spans="2:5" x14ac:dyDescent="0.25">
      <c r="B2412" t="e">
        <f t="shared" ref="B2412:B2475" ca="1" si="77">ROUND((D2412-D2411)/(C2412-C2411),12)</f>
        <v>#NAME?</v>
      </c>
      <c r="C2412">
        <v>2369</v>
      </c>
      <c r="D2412" t="e">
        <f t="shared" ca="1" si="76"/>
        <v>#NAME?</v>
      </c>
      <c r="E2412" s="115" t="e">
        <f t="array" aca="1" ref="E2412" ca="1">IF(OR(C2411=0,AND(B2413=0,C2413=0)),"",IFERROR(INDEX($F$27:$F$36,MATCH(C2412,($F$27:$F$36)*($D$27:$D$36&lt;&gt;0),0)),IF(OR(AND(D2412=0,B2412=0,B2413&lt;&gt;0),AND(D2412*D2411&lt;0,B2412&lt;&gt;0)),IF(D2412=0,C2412,C2412*(1-ABS(D2412)/(ABS(D2412)+ABS(D2411)))+C2411*(1-ABS(D2411)/(ABS(D2412)+ABS(D2411)))),"")))</f>
        <v>#NAME?</v>
      </c>
    </row>
    <row r="2413" spans="2:5" x14ac:dyDescent="0.25">
      <c r="B2413" t="e">
        <f t="shared" ca="1" si="77"/>
        <v>#NAME?</v>
      </c>
      <c r="C2413">
        <v>2370</v>
      </c>
      <c r="D2413" t="e">
        <f t="shared" ca="1" si="76"/>
        <v>#NAME?</v>
      </c>
      <c r="E2413" s="115" t="e">
        <f t="array" aca="1" ref="E2413" ca="1">IF(OR(C2412=0,AND(B2414=0,C2414=0)),"",IFERROR(INDEX($F$27:$F$36,MATCH(C2413,($F$27:$F$36)*($D$27:$D$36&lt;&gt;0),0)),IF(OR(AND(D2413=0,B2413=0,B2414&lt;&gt;0),AND(D2413*D2412&lt;0,B2413&lt;&gt;0)),IF(D2413=0,C2413,C2413*(1-ABS(D2413)/(ABS(D2413)+ABS(D2412)))+C2412*(1-ABS(D2412)/(ABS(D2413)+ABS(D2412)))),"")))</f>
        <v>#NAME?</v>
      </c>
    </row>
    <row r="2414" spans="2:5" x14ac:dyDescent="0.25">
      <c r="B2414" t="e">
        <f t="shared" ca="1" si="77"/>
        <v>#NAME?</v>
      </c>
      <c r="C2414">
        <v>2371</v>
      </c>
      <c r="D2414" t="e">
        <f t="shared" ca="1" si="76"/>
        <v>#NAME?</v>
      </c>
      <c r="E2414" s="115" t="e">
        <f t="array" aca="1" ref="E2414" ca="1">IF(OR(C2413=0,AND(B2415=0,C2415=0)),"",IFERROR(INDEX($F$27:$F$36,MATCH(C2414,($F$27:$F$36)*($D$27:$D$36&lt;&gt;0),0)),IF(OR(AND(D2414=0,B2414=0,B2415&lt;&gt;0),AND(D2414*D2413&lt;0,B2414&lt;&gt;0)),IF(D2414=0,C2414,C2414*(1-ABS(D2414)/(ABS(D2414)+ABS(D2413)))+C2413*(1-ABS(D2413)/(ABS(D2414)+ABS(D2413)))),"")))</f>
        <v>#NAME?</v>
      </c>
    </row>
    <row r="2415" spans="2:5" x14ac:dyDescent="0.25">
      <c r="B2415" t="e">
        <f t="shared" ca="1" si="77"/>
        <v>#NAME?</v>
      </c>
      <c r="C2415">
        <v>2372</v>
      </c>
      <c r="D2415" t="e">
        <f t="shared" ca="1" si="76"/>
        <v>#NAME?</v>
      </c>
      <c r="E2415" s="115" t="e">
        <f t="array" aca="1" ref="E2415" ca="1">IF(OR(C2414=0,AND(B2416=0,C2416=0)),"",IFERROR(INDEX($F$27:$F$36,MATCH(C2415,($F$27:$F$36)*($D$27:$D$36&lt;&gt;0),0)),IF(OR(AND(D2415=0,B2415=0,B2416&lt;&gt;0),AND(D2415*D2414&lt;0,B2415&lt;&gt;0)),IF(D2415=0,C2415,C2415*(1-ABS(D2415)/(ABS(D2415)+ABS(D2414)))+C2414*(1-ABS(D2414)/(ABS(D2415)+ABS(D2414)))),"")))</f>
        <v>#NAME?</v>
      </c>
    </row>
    <row r="2416" spans="2:5" x14ac:dyDescent="0.25">
      <c r="B2416" t="e">
        <f t="shared" ca="1" si="77"/>
        <v>#NAME?</v>
      </c>
      <c r="C2416">
        <v>2373</v>
      </c>
      <c r="D2416" t="e">
        <f t="shared" ca="1" si="76"/>
        <v>#NAME?</v>
      </c>
      <c r="E2416" s="115" t="e">
        <f t="array" aca="1" ref="E2416" ca="1">IF(OR(C2415=0,AND(B2417=0,C2417=0)),"",IFERROR(INDEX($F$27:$F$36,MATCH(C2416,($F$27:$F$36)*($D$27:$D$36&lt;&gt;0),0)),IF(OR(AND(D2416=0,B2416=0,B2417&lt;&gt;0),AND(D2416*D2415&lt;0,B2416&lt;&gt;0)),IF(D2416=0,C2416,C2416*(1-ABS(D2416)/(ABS(D2416)+ABS(D2415)))+C2415*(1-ABS(D2415)/(ABS(D2416)+ABS(D2415)))),"")))</f>
        <v>#NAME?</v>
      </c>
    </row>
    <row r="2417" spans="2:5" x14ac:dyDescent="0.25">
      <c r="B2417" t="e">
        <f t="shared" ca="1" si="77"/>
        <v>#NAME?</v>
      </c>
      <c r="C2417">
        <v>2374</v>
      </c>
      <c r="D2417" t="e">
        <f t="shared" ca="1" si="76"/>
        <v>#NAME?</v>
      </c>
      <c r="E2417" s="115" t="e">
        <f t="array" aca="1" ref="E2417" ca="1">IF(OR(C2416=0,AND(B2418=0,C2418=0)),"",IFERROR(INDEX($F$27:$F$36,MATCH(C2417,($F$27:$F$36)*($D$27:$D$36&lt;&gt;0),0)),IF(OR(AND(D2417=0,B2417=0,B2418&lt;&gt;0),AND(D2417*D2416&lt;0,B2417&lt;&gt;0)),IF(D2417=0,C2417,C2417*(1-ABS(D2417)/(ABS(D2417)+ABS(D2416)))+C2416*(1-ABS(D2416)/(ABS(D2417)+ABS(D2416)))),"")))</f>
        <v>#NAME?</v>
      </c>
    </row>
    <row r="2418" spans="2:5" x14ac:dyDescent="0.25">
      <c r="B2418" t="e">
        <f t="shared" ca="1" si="77"/>
        <v>#NAME?</v>
      </c>
      <c r="C2418">
        <v>2375</v>
      </c>
      <c r="D2418" t="e">
        <f t="shared" ca="1" si="76"/>
        <v>#NAME?</v>
      </c>
      <c r="E2418" s="115" t="e">
        <f t="array" aca="1" ref="E2418" ca="1">IF(OR(C2417=0,AND(B2419=0,C2419=0)),"",IFERROR(INDEX($F$27:$F$36,MATCH(C2418,($F$27:$F$36)*($D$27:$D$36&lt;&gt;0),0)),IF(OR(AND(D2418=0,B2418=0,B2419&lt;&gt;0),AND(D2418*D2417&lt;0,B2418&lt;&gt;0)),IF(D2418=0,C2418,C2418*(1-ABS(D2418)/(ABS(D2418)+ABS(D2417)))+C2417*(1-ABS(D2417)/(ABS(D2418)+ABS(D2417)))),"")))</f>
        <v>#NAME?</v>
      </c>
    </row>
    <row r="2419" spans="2:5" x14ac:dyDescent="0.25">
      <c r="B2419" t="e">
        <f t="shared" ca="1" si="77"/>
        <v>#NAME?</v>
      </c>
      <c r="C2419">
        <v>2376</v>
      </c>
      <c r="D2419" t="e">
        <f t="shared" ca="1" si="76"/>
        <v>#NAME?</v>
      </c>
      <c r="E2419" s="115" t="e">
        <f t="array" aca="1" ref="E2419" ca="1">IF(OR(C2418=0,AND(B2420=0,C2420=0)),"",IFERROR(INDEX($F$27:$F$36,MATCH(C2419,($F$27:$F$36)*($D$27:$D$36&lt;&gt;0),0)),IF(OR(AND(D2419=0,B2419=0,B2420&lt;&gt;0),AND(D2419*D2418&lt;0,B2419&lt;&gt;0)),IF(D2419=0,C2419,C2419*(1-ABS(D2419)/(ABS(D2419)+ABS(D2418)))+C2418*(1-ABS(D2418)/(ABS(D2419)+ABS(D2418)))),"")))</f>
        <v>#NAME?</v>
      </c>
    </row>
    <row r="2420" spans="2:5" x14ac:dyDescent="0.25">
      <c r="B2420" t="e">
        <f t="shared" ca="1" si="77"/>
        <v>#NAME?</v>
      </c>
      <c r="C2420">
        <v>2377</v>
      </c>
      <c r="D2420" t="e">
        <f t="shared" ca="1" si="76"/>
        <v>#NAME?</v>
      </c>
      <c r="E2420" s="115" t="e">
        <f t="array" aca="1" ref="E2420" ca="1">IF(OR(C2419=0,AND(B2421=0,C2421=0)),"",IFERROR(INDEX($F$27:$F$36,MATCH(C2420,($F$27:$F$36)*($D$27:$D$36&lt;&gt;0),0)),IF(OR(AND(D2420=0,B2420=0,B2421&lt;&gt;0),AND(D2420*D2419&lt;0,B2420&lt;&gt;0)),IF(D2420=0,C2420,C2420*(1-ABS(D2420)/(ABS(D2420)+ABS(D2419)))+C2419*(1-ABS(D2419)/(ABS(D2420)+ABS(D2419)))),"")))</f>
        <v>#NAME?</v>
      </c>
    </row>
    <row r="2421" spans="2:5" x14ac:dyDescent="0.25">
      <c r="B2421" t="e">
        <f t="shared" ca="1" si="77"/>
        <v>#NAME?</v>
      </c>
      <c r="C2421">
        <v>2378</v>
      </c>
      <c r="D2421" t="e">
        <f t="shared" ca="1" si="76"/>
        <v>#NAME?</v>
      </c>
      <c r="E2421" s="115" t="e">
        <f t="array" aca="1" ref="E2421" ca="1">IF(OR(C2420=0,AND(B2422=0,C2422=0)),"",IFERROR(INDEX($F$27:$F$36,MATCH(C2421,($F$27:$F$36)*($D$27:$D$36&lt;&gt;0),0)),IF(OR(AND(D2421=0,B2421=0,B2422&lt;&gt;0),AND(D2421*D2420&lt;0,B2421&lt;&gt;0)),IF(D2421=0,C2421,C2421*(1-ABS(D2421)/(ABS(D2421)+ABS(D2420)))+C2420*(1-ABS(D2420)/(ABS(D2421)+ABS(D2420)))),"")))</f>
        <v>#NAME?</v>
      </c>
    </row>
    <row r="2422" spans="2:5" x14ac:dyDescent="0.25">
      <c r="B2422" t="e">
        <f t="shared" ca="1" si="77"/>
        <v>#NAME?</v>
      </c>
      <c r="C2422">
        <v>2379</v>
      </c>
      <c r="D2422" t="e">
        <f t="shared" ca="1" si="76"/>
        <v>#NAME?</v>
      </c>
      <c r="E2422" s="115" t="e">
        <f t="array" aca="1" ref="E2422" ca="1">IF(OR(C2421=0,AND(B2423=0,C2423=0)),"",IFERROR(INDEX($F$27:$F$36,MATCH(C2422,($F$27:$F$36)*($D$27:$D$36&lt;&gt;0),0)),IF(OR(AND(D2422=0,B2422=0,B2423&lt;&gt;0),AND(D2422*D2421&lt;0,B2422&lt;&gt;0)),IF(D2422=0,C2422,C2422*(1-ABS(D2422)/(ABS(D2422)+ABS(D2421)))+C2421*(1-ABS(D2421)/(ABS(D2422)+ABS(D2421)))),"")))</f>
        <v>#NAME?</v>
      </c>
    </row>
    <row r="2423" spans="2:5" x14ac:dyDescent="0.25">
      <c r="B2423" t="e">
        <f t="shared" ca="1" si="77"/>
        <v>#NAME?</v>
      </c>
      <c r="C2423">
        <v>2380</v>
      </c>
      <c r="D2423" t="e">
        <f t="shared" ca="1" si="76"/>
        <v>#NAME?</v>
      </c>
      <c r="E2423" s="115" t="e">
        <f t="array" aca="1" ref="E2423" ca="1">IF(OR(C2422=0,AND(B2424=0,C2424=0)),"",IFERROR(INDEX($F$27:$F$36,MATCH(C2423,($F$27:$F$36)*($D$27:$D$36&lt;&gt;0),0)),IF(OR(AND(D2423=0,B2423=0,B2424&lt;&gt;0),AND(D2423*D2422&lt;0,B2423&lt;&gt;0)),IF(D2423=0,C2423,C2423*(1-ABS(D2423)/(ABS(D2423)+ABS(D2422)))+C2422*(1-ABS(D2422)/(ABS(D2423)+ABS(D2422)))),"")))</f>
        <v>#NAME?</v>
      </c>
    </row>
    <row r="2424" spans="2:5" x14ac:dyDescent="0.25">
      <c r="B2424" t="e">
        <f t="shared" ca="1" si="77"/>
        <v>#NAME?</v>
      </c>
      <c r="C2424">
        <v>2381</v>
      </c>
      <c r="D2424" t="e">
        <f t="shared" ca="1" si="76"/>
        <v>#NAME?</v>
      </c>
      <c r="E2424" s="115" t="e">
        <f t="array" aca="1" ref="E2424" ca="1">IF(OR(C2423=0,AND(B2425=0,C2425=0)),"",IFERROR(INDEX($F$27:$F$36,MATCH(C2424,($F$27:$F$36)*($D$27:$D$36&lt;&gt;0),0)),IF(OR(AND(D2424=0,B2424=0,B2425&lt;&gt;0),AND(D2424*D2423&lt;0,B2424&lt;&gt;0)),IF(D2424=0,C2424,C2424*(1-ABS(D2424)/(ABS(D2424)+ABS(D2423)))+C2423*(1-ABS(D2423)/(ABS(D2424)+ABS(D2423)))),"")))</f>
        <v>#NAME?</v>
      </c>
    </row>
    <row r="2425" spans="2:5" x14ac:dyDescent="0.25">
      <c r="B2425" t="e">
        <f t="shared" ca="1" si="77"/>
        <v>#NAME?</v>
      </c>
      <c r="C2425">
        <v>2382</v>
      </c>
      <c r="D2425" t="e">
        <f t="shared" ca="1" si="76"/>
        <v>#NAME?</v>
      </c>
      <c r="E2425" s="115" t="e">
        <f t="array" aca="1" ref="E2425" ca="1">IF(OR(C2424=0,AND(B2426=0,C2426=0)),"",IFERROR(INDEX($F$27:$F$36,MATCH(C2425,($F$27:$F$36)*($D$27:$D$36&lt;&gt;0),0)),IF(OR(AND(D2425=0,B2425=0,B2426&lt;&gt;0),AND(D2425*D2424&lt;0,B2425&lt;&gt;0)),IF(D2425=0,C2425,C2425*(1-ABS(D2425)/(ABS(D2425)+ABS(D2424)))+C2424*(1-ABS(D2424)/(ABS(D2425)+ABS(D2424)))),"")))</f>
        <v>#NAME?</v>
      </c>
    </row>
    <row r="2426" spans="2:5" x14ac:dyDescent="0.25">
      <c r="B2426" t="e">
        <f t="shared" ca="1" si="77"/>
        <v>#NAME?</v>
      </c>
      <c r="C2426">
        <v>2383</v>
      </c>
      <c r="D2426" t="e">
        <f t="shared" ca="1" si="76"/>
        <v>#NAME?</v>
      </c>
      <c r="E2426" s="115" t="e">
        <f t="array" aca="1" ref="E2426" ca="1">IF(OR(C2425=0,AND(B2427=0,C2427=0)),"",IFERROR(INDEX($F$27:$F$36,MATCH(C2426,($F$27:$F$36)*($D$27:$D$36&lt;&gt;0),0)),IF(OR(AND(D2426=0,B2426=0,B2427&lt;&gt;0),AND(D2426*D2425&lt;0,B2426&lt;&gt;0)),IF(D2426=0,C2426,C2426*(1-ABS(D2426)/(ABS(D2426)+ABS(D2425)))+C2425*(1-ABS(D2425)/(ABS(D2426)+ABS(D2425)))),"")))</f>
        <v>#NAME?</v>
      </c>
    </row>
    <row r="2427" spans="2:5" x14ac:dyDescent="0.25">
      <c r="B2427" t="e">
        <f t="shared" ca="1" si="77"/>
        <v>#NAME?</v>
      </c>
      <c r="C2427">
        <v>2384</v>
      </c>
      <c r="D2427" t="e">
        <f t="shared" ca="1" si="76"/>
        <v>#NAME?</v>
      </c>
      <c r="E2427" s="115" t="e">
        <f t="array" aca="1" ref="E2427" ca="1">IF(OR(C2426=0,AND(B2428=0,C2428=0)),"",IFERROR(INDEX($F$27:$F$36,MATCH(C2427,($F$27:$F$36)*($D$27:$D$36&lt;&gt;0),0)),IF(OR(AND(D2427=0,B2427=0,B2428&lt;&gt;0),AND(D2427*D2426&lt;0,B2427&lt;&gt;0)),IF(D2427=0,C2427,C2427*(1-ABS(D2427)/(ABS(D2427)+ABS(D2426)))+C2426*(1-ABS(D2426)/(ABS(D2427)+ABS(D2426)))),"")))</f>
        <v>#NAME?</v>
      </c>
    </row>
    <row r="2428" spans="2:5" x14ac:dyDescent="0.25">
      <c r="B2428" t="e">
        <f t="shared" ca="1" si="77"/>
        <v>#NAME?</v>
      </c>
      <c r="C2428">
        <v>2385</v>
      </c>
      <c r="D2428" t="e">
        <f t="shared" ca="1" si="76"/>
        <v>#NAME?</v>
      </c>
      <c r="E2428" s="115" t="e">
        <f t="array" aca="1" ref="E2428" ca="1">IF(OR(C2427=0,AND(B2429=0,C2429=0)),"",IFERROR(INDEX($F$27:$F$36,MATCH(C2428,($F$27:$F$36)*($D$27:$D$36&lt;&gt;0),0)),IF(OR(AND(D2428=0,B2428=0,B2429&lt;&gt;0),AND(D2428*D2427&lt;0,B2428&lt;&gt;0)),IF(D2428=0,C2428,C2428*(1-ABS(D2428)/(ABS(D2428)+ABS(D2427)))+C2427*(1-ABS(D2427)/(ABS(D2428)+ABS(D2427)))),"")))</f>
        <v>#NAME?</v>
      </c>
    </row>
    <row r="2429" spans="2:5" x14ac:dyDescent="0.25">
      <c r="B2429" t="e">
        <f t="shared" ca="1" si="77"/>
        <v>#NAME?</v>
      </c>
      <c r="C2429">
        <v>2386</v>
      </c>
      <c r="D2429" t="e">
        <f t="shared" ca="1" si="76"/>
        <v>#NAME?</v>
      </c>
      <c r="E2429" s="115" t="e">
        <f t="array" aca="1" ref="E2429" ca="1">IF(OR(C2428=0,AND(B2430=0,C2430=0)),"",IFERROR(INDEX($F$27:$F$36,MATCH(C2429,($F$27:$F$36)*($D$27:$D$36&lt;&gt;0),0)),IF(OR(AND(D2429=0,B2429=0,B2430&lt;&gt;0),AND(D2429*D2428&lt;0,B2429&lt;&gt;0)),IF(D2429=0,C2429,C2429*(1-ABS(D2429)/(ABS(D2429)+ABS(D2428)))+C2428*(1-ABS(D2428)/(ABS(D2429)+ABS(D2428)))),"")))</f>
        <v>#NAME?</v>
      </c>
    </row>
    <row r="2430" spans="2:5" x14ac:dyDescent="0.25">
      <c r="B2430" t="e">
        <f t="shared" ca="1" si="77"/>
        <v>#NAME?</v>
      </c>
      <c r="C2430">
        <v>2387</v>
      </c>
      <c r="D2430" t="e">
        <f t="shared" ca="1" si="76"/>
        <v>#NAME?</v>
      </c>
      <c r="E2430" s="115" t="e">
        <f t="array" aca="1" ref="E2430" ca="1">IF(OR(C2429=0,AND(B2431=0,C2431=0)),"",IFERROR(INDEX($F$27:$F$36,MATCH(C2430,($F$27:$F$36)*($D$27:$D$36&lt;&gt;0),0)),IF(OR(AND(D2430=0,B2430=0,B2431&lt;&gt;0),AND(D2430*D2429&lt;0,B2430&lt;&gt;0)),IF(D2430=0,C2430,C2430*(1-ABS(D2430)/(ABS(D2430)+ABS(D2429)))+C2429*(1-ABS(D2429)/(ABS(D2430)+ABS(D2429)))),"")))</f>
        <v>#NAME?</v>
      </c>
    </row>
    <row r="2431" spans="2:5" x14ac:dyDescent="0.25">
      <c r="B2431" t="e">
        <f t="shared" ca="1" si="77"/>
        <v>#NAME?</v>
      </c>
      <c r="C2431">
        <v>2388</v>
      </c>
      <c r="D2431" t="e">
        <f t="shared" ca="1" si="76"/>
        <v>#NAME?</v>
      </c>
      <c r="E2431" s="115" t="e">
        <f t="array" aca="1" ref="E2431" ca="1">IF(OR(C2430=0,AND(B2432=0,C2432=0)),"",IFERROR(INDEX($F$27:$F$36,MATCH(C2431,($F$27:$F$36)*($D$27:$D$36&lt;&gt;0),0)),IF(OR(AND(D2431=0,B2431=0,B2432&lt;&gt;0),AND(D2431*D2430&lt;0,B2431&lt;&gt;0)),IF(D2431=0,C2431,C2431*(1-ABS(D2431)/(ABS(D2431)+ABS(D2430)))+C2430*(1-ABS(D2430)/(ABS(D2431)+ABS(D2430)))),"")))</f>
        <v>#NAME?</v>
      </c>
    </row>
    <row r="2432" spans="2:5" x14ac:dyDescent="0.25">
      <c r="B2432" t="e">
        <f t="shared" ca="1" si="77"/>
        <v>#NAME?</v>
      </c>
      <c r="C2432">
        <v>2389</v>
      </c>
      <c r="D2432" t="e">
        <f t="shared" ca="1" si="76"/>
        <v>#NAME?</v>
      </c>
      <c r="E2432" s="115" t="e">
        <f t="array" aca="1" ref="E2432" ca="1">IF(OR(C2431=0,AND(B2433=0,C2433=0)),"",IFERROR(INDEX($F$27:$F$36,MATCH(C2432,($F$27:$F$36)*($D$27:$D$36&lt;&gt;0),0)),IF(OR(AND(D2432=0,B2432=0,B2433&lt;&gt;0),AND(D2432*D2431&lt;0,B2432&lt;&gt;0)),IF(D2432=0,C2432,C2432*(1-ABS(D2432)/(ABS(D2432)+ABS(D2431)))+C2431*(1-ABS(D2431)/(ABS(D2432)+ABS(D2431)))),"")))</f>
        <v>#NAME?</v>
      </c>
    </row>
    <row r="2433" spans="2:5" x14ac:dyDescent="0.25">
      <c r="B2433" t="e">
        <f t="shared" ca="1" si="77"/>
        <v>#NAME?</v>
      </c>
      <c r="C2433">
        <v>2390</v>
      </c>
      <c r="D2433" t="e">
        <f t="shared" ca="1" si="76"/>
        <v>#NAME?</v>
      </c>
      <c r="E2433" s="115" t="e">
        <f t="array" aca="1" ref="E2433" ca="1">IF(OR(C2432=0,AND(B2434=0,C2434=0)),"",IFERROR(INDEX($F$27:$F$36,MATCH(C2433,($F$27:$F$36)*($D$27:$D$36&lt;&gt;0),0)),IF(OR(AND(D2433=0,B2433=0,B2434&lt;&gt;0),AND(D2433*D2432&lt;0,B2433&lt;&gt;0)),IF(D2433=0,C2433,C2433*(1-ABS(D2433)/(ABS(D2433)+ABS(D2432)))+C2432*(1-ABS(D2432)/(ABS(D2433)+ABS(D2432)))),"")))</f>
        <v>#NAME?</v>
      </c>
    </row>
    <row r="2434" spans="2:5" x14ac:dyDescent="0.25">
      <c r="B2434" t="e">
        <f t="shared" ca="1" si="77"/>
        <v>#NAME?</v>
      </c>
      <c r="C2434">
        <v>2391</v>
      </c>
      <c r="D2434" t="e">
        <f t="shared" ca="1" si="76"/>
        <v>#NAME?</v>
      </c>
      <c r="E2434" s="115" t="e">
        <f t="array" aca="1" ref="E2434" ca="1">IF(OR(C2433=0,AND(B2435=0,C2435=0)),"",IFERROR(INDEX($F$27:$F$36,MATCH(C2434,($F$27:$F$36)*($D$27:$D$36&lt;&gt;0),0)),IF(OR(AND(D2434=0,B2434=0,B2435&lt;&gt;0),AND(D2434*D2433&lt;0,B2434&lt;&gt;0)),IF(D2434=0,C2434,C2434*(1-ABS(D2434)/(ABS(D2434)+ABS(D2433)))+C2433*(1-ABS(D2433)/(ABS(D2434)+ABS(D2433)))),"")))</f>
        <v>#NAME?</v>
      </c>
    </row>
    <row r="2435" spans="2:5" x14ac:dyDescent="0.25">
      <c r="B2435" t="e">
        <f t="shared" ca="1" si="77"/>
        <v>#NAME?</v>
      </c>
      <c r="C2435">
        <v>2392</v>
      </c>
      <c r="D2435" t="e">
        <f t="shared" ca="1" si="76"/>
        <v>#NAME?</v>
      </c>
      <c r="E2435" s="115" t="e">
        <f t="array" aca="1" ref="E2435" ca="1">IF(OR(C2434=0,AND(B2436=0,C2436=0)),"",IFERROR(INDEX($F$27:$F$36,MATCH(C2435,($F$27:$F$36)*($D$27:$D$36&lt;&gt;0),0)),IF(OR(AND(D2435=0,B2435=0,B2436&lt;&gt;0),AND(D2435*D2434&lt;0,B2435&lt;&gt;0)),IF(D2435=0,C2435,C2435*(1-ABS(D2435)/(ABS(D2435)+ABS(D2434)))+C2434*(1-ABS(D2434)/(ABS(D2435)+ABS(D2434)))),"")))</f>
        <v>#NAME?</v>
      </c>
    </row>
    <row r="2436" spans="2:5" x14ac:dyDescent="0.25">
      <c r="B2436" t="e">
        <f t="shared" ca="1" si="77"/>
        <v>#NAME?</v>
      </c>
      <c r="C2436">
        <v>2393</v>
      </c>
      <c r="D2436" t="e">
        <f t="shared" ca="1" si="76"/>
        <v>#NAME?</v>
      </c>
      <c r="E2436" s="115" t="e">
        <f t="array" aca="1" ref="E2436" ca="1">IF(OR(C2435=0,AND(B2437=0,C2437=0)),"",IFERROR(INDEX($F$27:$F$36,MATCH(C2436,($F$27:$F$36)*($D$27:$D$36&lt;&gt;0),0)),IF(OR(AND(D2436=0,B2436=0,B2437&lt;&gt;0),AND(D2436*D2435&lt;0,B2436&lt;&gt;0)),IF(D2436=0,C2436,C2436*(1-ABS(D2436)/(ABS(D2436)+ABS(D2435)))+C2435*(1-ABS(D2435)/(ABS(D2436)+ABS(D2435)))),"")))</f>
        <v>#NAME?</v>
      </c>
    </row>
    <row r="2437" spans="2:5" x14ac:dyDescent="0.25">
      <c r="B2437" t="e">
        <f t="shared" ca="1" si="77"/>
        <v>#NAME?</v>
      </c>
      <c r="C2437">
        <v>2394</v>
      </c>
      <c r="D2437" t="e">
        <f t="shared" ca="1" si="76"/>
        <v>#NAME?</v>
      </c>
      <c r="E2437" s="115" t="e">
        <f t="array" aca="1" ref="E2437" ca="1">IF(OR(C2436=0,AND(B2438=0,C2438=0)),"",IFERROR(INDEX($F$27:$F$36,MATCH(C2437,($F$27:$F$36)*($D$27:$D$36&lt;&gt;0),0)),IF(OR(AND(D2437=0,B2437=0,B2438&lt;&gt;0),AND(D2437*D2436&lt;0,B2437&lt;&gt;0)),IF(D2437=0,C2437,C2437*(1-ABS(D2437)/(ABS(D2437)+ABS(D2436)))+C2436*(1-ABS(D2436)/(ABS(D2437)+ABS(D2436)))),"")))</f>
        <v>#NAME?</v>
      </c>
    </row>
    <row r="2438" spans="2:5" x14ac:dyDescent="0.25">
      <c r="B2438" t="e">
        <f t="shared" ca="1" si="77"/>
        <v>#NAME?</v>
      </c>
      <c r="C2438">
        <v>2395</v>
      </c>
      <c r="D2438" t="e">
        <f t="shared" ca="1" si="76"/>
        <v>#NAME?</v>
      </c>
      <c r="E2438" s="115" t="e">
        <f t="array" aca="1" ref="E2438" ca="1">IF(OR(C2437=0,AND(B2439=0,C2439=0)),"",IFERROR(INDEX($F$27:$F$36,MATCH(C2438,($F$27:$F$36)*($D$27:$D$36&lt;&gt;0),0)),IF(OR(AND(D2438=0,B2438=0,B2439&lt;&gt;0),AND(D2438*D2437&lt;0,B2438&lt;&gt;0)),IF(D2438=0,C2438,C2438*(1-ABS(D2438)/(ABS(D2438)+ABS(D2437)))+C2437*(1-ABS(D2437)/(ABS(D2438)+ABS(D2437)))),"")))</f>
        <v>#NAME?</v>
      </c>
    </row>
    <row r="2439" spans="2:5" x14ac:dyDescent="0.25">
      <c r="B2439" t="e">
        <f t="shared" ca="1" si="77"/>
        <v>#NAME?</v>
      </c>
      <c r="C2439">
        <v>2396</v>
      </c>
      <c r="D2439" t="e">
        <f t="shared" ca="1" si="76"/>
        <v>#NAME?</v>
      </c>
      <c r="E2439" s="115" t="e">
        <f t="array" aca="1" ref="E2439" ca="1">IF(OR(C2438=0,AND(B2440=0,C2440=0)),"",IFERROR(INDEX($F$27:$F$36,MATCH(C2439,($F$27:$F$36)*($D$27:$D$36&lt;&gt;0),0)),IF(OR(AND(D2439=0,B2439=0,B2440&lt;&gt;0),AND(D2439*D2438&lt;0,B2439&lt;&gt;0)),IF(D2439=0,C2439,C2439*(1-ABS(D2439)/(ABS(D2439)+ABS(D2438)))+C2438*(1-ABS(D2438)/(ABS(D2439)+ABS(D2438)))),"")))</f>
        <v>#NAME?</v>
      </c>
    </row>
    <row r="2440" spans="2:5" x14ac:dyDescent="0.25">
      <c r="B2440" t="e">
        <f t="shared" ca="1" si="77"/>
        <v>#NAME?</v>
      </c>
      <c r="C2440">
        <v>2397</v>
      </c>
      <c r="D2440" t="e">
        <f t="shared" ca="1" si="76"/>
        <v>#NAME?</v>
      </c>
      <c r="E2440" s="115" t="e">
        <f t="array" aca="1" ref="E2440" ca="1">IF(OR(C2439=0,AND(B2441=0,C2441=0)),"",IFERROR(INDEX($F$27:$F$36,MATCH(C2440,($F$27:$F$36)*($D$27:$D$36&lt;&gt;0),0)),IF(OR(AND(D2440=0,B2440=0,B2441&lt;&gt;0),AND(D2440*D2439&lt;0,B2440&lt;&gt;0)),IF(D2440=0,C2440,C2440*(1-ABS(D2440)/(ABS(D2440)+ABS(D2439)))+C2439*(1-ABS(D2439)/(ABS(D2440)+ABS(D2439)))),"")))</f>
        <v>#NAME?</v>
      </c>
    </row>
    <row r="2441" spans="2:5" x14ac:dyDescent="0.25">
      <c r="B2441" t="e">
        <f t="shared" ca="1" si="77"/>
        <v>#NAME?</v>
      </c>
      <c r="C2441">
        <v>2398</v>
      </c>
      <c r="D2441" t="e">
        <f t="shared" ca="1" si="76"/>
        <v>#NAME?</v>
      </c>
      <c r="E2441" s="115" t="e">
        <f t="array" aca="1" ref="E2441" ca="1">IF(OR(C2440=0,AND(B2442=0,C2442=0)),"",IFERROR(INDEX($F$27:$F$36,MATCH(C2441,($F$27:$F$36)*($D$27:$D$36&lt;&gt;0),0)),IF(OR(AND(D2441=0,B2441=0,B2442&lt;&gt;0),AND(D2441*D2440&lt;0,B2441&lt;&gt;0)),IF(D2441=0,C2441,C2441*(1-ABS(D2441)/(ABS(D2441)+ABS(D2440)))+C2440*(1-ABS(D2440)/(ABS(D2441)+ABS(D2440)))),"")))</f>
        <v>#NAME?</v>
      </c>
    </row>
    <row r="2442" spans="2:5" x14ac:dyDescent="0.25">
      <c r="B2442" t="e">
        <f t="shared" ca="1" si="77"/>
        <v>#NAME?</v>
      </c>
      <c r="C2442">
        <v>2399</v>
      </c>
      <c r="D2442" t="e">
        <f t="shared" ca="1" si="76"/>
        <v>#NAME?</v>
      </c>
      <c r="E2442" s="115" t="e">
        <f t="array" aca="1" ref="E2442" ca="1">IF(OR(C2441=0,AND(B2443=0,C2443=0)),"",IFERROR(INDEX($F$27:$F$36,MATCH(C2442,($F$27:$F$36)*($D$27:$D$36&lt;&gt;0),0)),IF(OR(AND(D2442=0,B2442=0,B2443&lt;&gt;0),AND(D2442*D2441&lt;0,B2442&lt;&gt;0)),IF(D2442=0,C2442,C2442*(1-ABS(D2442)/(ABS(D2442)+ABS(D2441)))+C2441*(1-ABS(D2441)/(ABS(D2442)+ABS(D2441)))),"")))</f>
        <v>#NAME?</v>
      </c>
    </row>
    <row r="2443" spans="2:5" x14ac:dyDescent="0.25">
      <c r="B2443" t="e">
        <f t="shared" ca="1" si="77"/>
        <v>#NAME?</v>
      </c>
      <c r="C2443">
        <v>2400</v>
      </c>
      <c r="D2443" t="e">
        <f t="shared" ca="1" si="76"/>
        <v>#NAME?</v>
      </c>
      <c r="E2443" s="115" t="e">
        <f t="array" aca="1" ref="E2443" ca="1">IF(OR(C2442=0,AND(B2444=0,C2444=0)),"",IFERROR(INDEX($F$27:$F$36,MATCH(C2443,($F$27:$F$36)*($D$27:$D$36&lt;&gt;0),0)),IF(OR(AND(D2443=0,B2443=0,B2444&lt;&gt;0),AND(D2443*D2442&lt;0,B2443&lt;&gt;0)),IF(D2443=0,C2443,C2443*(1-ABS(D2443)/(ABS(D2443)+ABS(D2442)))+C2442*(1-ABS(D2442)/(ABS(D2443)+ABS(D2442)))),"")))</f>
        <v>#NAME?</v>
      </c>
    </row>
    <row r="2444" spans="2:5" x14ac:dyDescent="0.25">
      <c r="B2444" t="e">
        <f t="shared" ca="1" si="77"/>
        <v>#NAME?</v>
      </c>
      <c r="C2444">
        <v>2401</v>
      </c>
      <c r="D2444" t="e">
        <f t="shared" ca="1" si="76"/>
        <v>#NAME?</v>
      </c>
      <c r="E2444" s="115" t="e">
        <f t="array" aca="1" ref="E2444" ca="1">IF(OR(C2443=0,AND(B2445=0,C2445=0)),"",IFERROR(INDEX($F$27:$F$36,MATCH(C2444,($F$27:$F$36)*($D$27:$D$36&lt;&gt;0),0)),IF(OR(AND(D2444=0,B2444=0,B2445&lt;&gt;0),AND(D2444*D2443&lt;0,B2444&lt;&gt;0)),IF(D2444=0,C2444,C2444*(1-ABS(D2444)/(ABS(D2444)+ABS(D2443)))+C2443*(1-ABS(D2443)/(ABS(D2444)+ABS(D2443)))),"")))</f>
        <v>#NAME?</v>
      </c>
    </row>
    <row r="2445" spans="2:5" x14ac:dyDescent="0.25">
      <c r="B2445" t="e">
        <f t="shared" ca="1" si="77"/>
        <v>#NAME?</v>
      </c>
      <c r="C2445">
        <v>2402</v>
      </c>
      <c r="D2445" t="e">
        <f t="shared" ca="1" si="76"/>
        <v>#NAME?</v>
      </c>
      <c r="E2445" s="115" t="e">
        <f t="array" aca="1" ref="E2445" ca="1">IF(OR(C2444=0,AND(B2446=0,C2446=0)),"",IFERROR(INDEX($F$27:$F$36,MATCH(C2445,($F$27:$F$36)*($D$27:$D$36&lt;&gt;0),0)),IF(OR(AND(D2445=0,B2445=0,B2446&lt;&gt;0),AND(D2445*D2444&lt;0,B2445&lt;&gt;0)),IF(D2445=0,C2445,C2445*(1-ABS(D2445)/(ABS(D2445)+ABS(D2444)))+C2444*(1-ABS(D2444)/(ABS(D2445)+ABS(D2444)))),"")))</f>
        <v>#NAME?</v>
      </c>
    </row>
    <row r="2446" spans="2:5" x14ac:dyDescent="0.25">
      <c r="B2446" t="e">
        <f t="shared" ca="1" si="77"/>
        <v>#NAME?</v>
      </c>
      <c r="C2446">
        <v>2403</v>
      </c>
      <c r="D2446" t="e">
        <f t="shared" ca="1" si="76"/>
        <v>#NAME?</v>
      </c>
      <c r="E2446" s="115" t="e">
        <f t="array" aca="1" ref="E2446" ca="1">IF(OR(C2445=0,AND(B2447=0,C2447=0)),"",IFERROR(INDEX($F$27:$F$36,MATCH(C2446,($F$27:$F$36)*($D$27:$D$36&lt;&gt;0),0)),IF(OR(AND(D2446=0,B2446=0,B2447&lt;&gt;0),AND(D2446*D2445&lt;0,B2446&lt;&gt;0)),IF(D2446=0,C2446,C2446*(1-ABS(D2446)/(ABS(D2446)+ABS(D2445)))+C2445*(1-ABS(D2445)/(ABS(D2446)+ABS(D2445)))),"")))</f>
        <v>#NAME?</v>
      </c>
    </row>
    <row r="2447" spans="2:5" x14ac:dyDescent="0.25">
      <c r="B2447" t="e">
        <f t="shared" ca="1" si="77"/>
        <v>#NAME?</v>
      </c>
      <c r="C2447">
        <v>2404</v>
      </c>
      <c r="D2447" t="e">
        <f t="shared" ca="1" si="76"/>
        <v>#NAME?</v>
      </c>
      <c r="E2447" s="115" t="e">
        <f t="array" aca="1" ref="E2447" ca="1">IF(OR(C2446=0,AND(B2448=0,C2448=0)),"",IFERROR(INDEX($F$27:$F$36,MATCH(C2447,($F$27:$F$36)*($D$27:$D$36&lt;&gt;0),0)),IF(OR(AND(D2447=0,B2447=0,B2448&lt;&gt;0),AND(D2447*D2446&lt;0,B2447&lt;&gt;0)),IF(D2447=0,C2447,C2447*(1-ABS(D2447)/(ABS(D2447)+ABS(D2446)))+C2446*(1-ABS(D2446)/(ABS(D2447)+ABS(D2446)))),"")))</f>
        <v>#NAME?</v>
      </c>
    </row>
    <row r="2448" spans="2:5" x14ac:dyDescent="0.25">
      <c r="B2448" t="e">
        <f t="shared" ca="1" si="77"/>
        <v>#NAME?</v>
      </c>
      <c r="C2448">
        <v>2405</v>
      </c>
      <c r="D2448" t="e">
        <f t="shared" ca="1" si="76"/>
        <v>#NAME?</v>
      </c>
      <c r="E2448" s="115" t="e">
        <f t="array" aca="1" ref="E2448" ca="1">IF(OR(C2447=0,AND(B2449=0,C2449=0)),"",IFERROR(INDEX($F$27:$F$36,MATCH(C2448,($F$27:$F$36)*($D$27:$D$36&lt;&gt;0),0)),IF(OR(AND(D2448=0,B2448=0,B2449&lt;&gt;0),AND(D2448*D2447&lt;0,B2448&lt;&gt;0)),IF(D2448=0,C2448,C2448*(1-ABS(D2448)/(ABS(D2448)+ABS(D2447)))+C2447*(1-ABS(D2447)/(ABS(D2448)+ABS(D2447)))),"")))</f>
        <v>#NAME?</v>
      </c>
    </row>
    <row r="2449" spans="2:5" x14ac:dyDescent="0.25">
      <c r="B2449" t="e">
        <f t="shared" ca="1" si="77"/>
        <v>#NAME?</v>
      </c>
      <c r="C2449">
        <v>2406</v>
      </c>
      <c r="D2449" t="e">
        <f t="shared" ca="1" si="76"/>
        <v>#NAME?</v>
      </c>
      <c r="E2449" s="115" t="e">
        <f t="array" aca="1" ref="E2449" ca="1">IF(OR(C2448=0,AND(B2450=0,C2450=0)),"",IFERROR(INDEX($F$27:$F$36,MATCH(C2449,($F$27:$F$36)*($D$27:$D$36&lt;&gt;0),0)),IF(OR(AND(D2449=0,B2449=0,B2450&lt;&gt;0),AND(D2449*D2448&lt;0,B2449&lt;&gt;0)),IF(D2449=0,C2449,C2449*(1-ABS(D2449)/(ABS(D2449)+ABS(D2448)))+C2448*(1-ABS(D2448)/(ABS(D2449)+ABS(D2448)))),"")))</f>
        <v>#NAME?</v>
      </c>
    </row>
    <row r="2450" spans="2:5" x14ac:dyDescent="0.25">
      <c r="B2450" t="e">
        <f t="shared" ca="1" si="77"/>
        <v>#NAME?</v>
      </c>
      <c r="C2450">
        <v>2407</v>
      </c>
      <c r="D2450" t="e">
        <f t="shared" ca="1" si="76"/>
        <v>#NAME?</v>
      </c>
      <c r="E2450" s="115" t="e">
        <f t="array" aca="1" ref="E2450" ca="1">IF(OR(C2449=0,AND(B2451=0,C2451=0)),"",IFERROR(INDEX($F$27:$F$36,MATCH(C2450,($F$27:$F$36)*($D$27:$D$36&lt;&gt;0),0)),IF(OR(AND(D2450=0,B2450=0,B2451&lt;&gt;0),AND(D2450*D2449&lt;0,B2450&lt;&gt;0)),IF(D2450=0,C2450,C2450*(1-ABS(D2450)/(ABS(D2450)+ABS(D2449)))+C2449*(1-ABS(D2449)/(ABS(D2450)+ABS(D2449)))),"")))</f>
        <v>#NAME?</v>
      </c>
    </row>
    <row r="2451" spans="2:5" x14ac:dyDescent="0.25">
      <c r="B2451" t="e">
        <f t="shared" ca="1" si="77"/>
        <v>#NAME?</v>
      </c>
      <c r="C2451">
        <v>2408</v>
      </c>
      <c r="D2451" t="e">
        <f t="shared" ca="1" si="76"/>
        <v>#NAME?</v>
      </c>
      <c r="E2451" s="115" t="e">
        <f t="array" aca="1" ref="E2451" ca="1">IF(OR(C2450=0,AND(B2452=0,C2452=0)),"",IFERROR(INDEX($F$27:$F$36,MATCH(C2451,($F$27:$F$36)*($D$27:$D$36&lt;&gt;0),0)),IF(OR(AND(D2451=0,B2451=0,B2452&lt;&gt;0),AND(D2451*D2450&lt;0,B2451&lt;&gt;0)),IF(D2451=0,C2451,C2451*(1-ABS(D2451)/(ABS(D2451)+ABS(D2450)))+C2450*(1-ABS(D2450)/(ABS(D2451)+ABS(D2450)))),"")))</f>
        <v>#NAME?</v>
      </c>
    </row>
    <row r="2452" spans="2:5" x14ac:dyDescent="0.25">
      <c r="B2452" t="e">
        <f t="shared" ca="1" si="77"/>
        <v>#NAME?</v>
      </c>
      <c r="C2452">
        <v>2409</v>
      </c>
      <c r="D2452" t="e">
        <f t="shared" ca="1" si="76"/>
        <v>#NAME?</v>
      </c>
      <c r="E2452" s="115" t="e">
        <f t="array" aca="1" ref="E2452" ca="1">IF(OR(C2451=0,AND(B2453=0,C2453=0)),"",IFERROR(INDEX($F$27:$F$36,MATCH(C2452,($F$27:$F$36)*($D$27:$D$36&lt;&gt;0),0)),IF(OR(AND(D2452=0,B2452=0,B2453&lt;&gt;0),AND(D2452*D2451&lt;0,B2452&lt;&gt;0)),IF(D2452=0,C2452,C2452*(1-ABS(D2452)/(ABS(D2452)+ABS(D2451)))+C2451*(1-ABS(D2451)/(ABS(D2452)+ABS(D2451)))),"")))</f>
        <v>#NAME?</v>
      </c>
    </row>
    <row r="2453" spans="2:5" x14ac:dyDescent="0.25">
      <c r="B2453" t="e">
        <f t="shared" ca="1" si="77"/>
        <v>#NAME?</v>
      </c>
      <c r="C2453">
        <v>2410</v>
      </c>
      <c r="D2453" t="e">
        <f t="shared" ca="1" si="76"/>
        <v>#NAME?</v>
      </c>
      <c r="E2453" s="115" t="e">
        <f t="array" aca="1" ref="E2453" ca="1">IF(OR(C2452=0,AND(B2454=0,C2454=0)),"",IFERROR(INDEX($F$27:$F$36,MATCH(C2453,($F$27:$F$36)*($D$27:$D$36&lt;&gt;0),0)),IF(OR(AND(D2453=0,B2453=0,B2454&lt;&gt;0),AND(D2453*D2452&lt;0,B2453&lt;&gt;0)),IF(D2453=0,C2453,C2453*(1-ABS(D2453)/(ABS(D2453)+ABS(D2452)))+C2452*(1-ABS(D2452)/(ABS(D2453)+ABS(D2452)))),"")))</f>
        <v>#NAME?</v>
      </c>
    </row>
    <row r="2454" spans="2:5" x14ac:dyDescent="0.25">
      <c r="B2454" t="e">
        <f t="shared" ca="1" si="77"/>
        <v>#NAME?</v>
      </c>
      <c r="C2454">
        <v>2411</v>
      </c>
      <c r="D2454" t="e">
        <f t="shared" ca="1" si="76"/>
        <v>#NAME?</v>
      </c>
      <c r="E2454" s="115" t="e">
        <f t="array" aca="1" ref="E2454" ca="1">IF(OR(C2453=0,AND(B2455=0,C2455=0)),"",IFERROR(INDEX($F$27:$F$36,MATCH(C2454,($F$27:$F$36)*($D$27:$D$36&lt;&gt;0),0)),IF(OR(AND(D2454=0,B2454=0,B2455&lt;&gt;0),AND(D2454*D2453&lt;0,B2454&lt;&gt;0)),IF(D2454=0,C2454,C2454*(1-ABS(D2454)/(ABS(D2454)+ABS(D2453)))+C2453*(1-ABS(D2453)/(ABS(D2454)+ABS(D2453)))),"")))</f>
        <v>#NAME?</v>
      </c>
    </row>
    <row r="2455" spans="2:5" x14ac:dyDescent="0.25">
      <c r="B2455" t="e">
        <f t="shared" ca="1" si="77"/>
        <v>#NAME?</v>
      </c>
      <c r="C2455">
        <v>2412</v>
      </c>
      <c r="D2455" t="e">
        <f t="shared" ca="1" si="76"/>
        <v>#NAME?</v>
      </c>
      <c r="E2455" s="115" t="e">
        <f t="array" aca="1" ref="E2455" ca="1">IF(OR(C2454=0,AND(B2456=0,C2456=0)),"",IFERROR(INDEX($F$27:$F$36,MATCH(C2455,($F$27:$F$36)*($D$27:$D$36&lt;&gt;0),0)),IF(OR(AND(D2455=0,B2455=0,B2456&lt;&gt;0),AND(D2455*D2454&lt;0,B2455&lt;&gt;0)),IF(D2455=0,C2455,C2455*(1-ABS(D2455)/(ABS(D2455)+ABS(D2454)))+C2454*(1-ABS(D2454)/(ABS(D2455)+ABS(D2454)))),"")))</f>
        <v>#NAME?</v>
      </c>
    </row>
    <row r="2456" spans="2:5" x14ac:dyDescent="0.25">
      <c r="B2456" t="e">
        <f t="shared" ca="1" si="77"/>
        <v>#NAME?</v>
      </c>
      <c r="C2456">
        <v>2413</v>
      </c>
      <c r="D2456" t="e">
        <f t="shared" ca="1" si="76"/>
        <v>#NAME?</v>
      </c>
      <c r="E2456" s="115" t="e">
        <f t="array" aca="1" ref="E2456" ca="1">IF(OR(C2455=0,AND(B2457=0,C2457=0)),"",IFERROR(INDEX($F$27:$F$36,MATCH(C2456,($F$27:$F$36)*($D$27:$D$36&lt;&gt;0),0)),IF(OR(AND(D2456=0,B2456=0,B2457&lt;&gt;0),AND(D2456*D2455&lt;0,B2456&lt;&gt;0)),IF(D2456=0,C2456,C2456*(1-ABS(D2456)/(ABS(D2456)+ABS(D2455)))+C2455*(1-ABS(D2455)/(ABS(D2456)+ABS(D2455)))),"")))</f>
        <v>#NAME?</v>
      </c>
    </row>
    <row r="2457" spans="2:5" x14ac:dyDescent="0.25">
      <c r="B2457" t="e">
        <f t="shared" ca="1" si="77"/>
        <v>#NAME?</v>
      </c>
      <c r="C2457">
        <v>2414</v>
      </c>
      <c r="D2457" t="e">
        <f t="shared" ca="1" si="76"/>
        <v>#NAME?</v>
      </c>
      <c r="E2457" s="115" t="e">
        <f t="array" aca="1" ref="E2457" ca="1">IF(OR(C2456=0,AND(B2458=0,C2458=0)),"",IFERROR(INDEX($F$27:$F$36,MATCH(C2457,($F$27:$F$36)*($D$27:$D$36&lt;&gt;0),0)),IF(OR(AND(D2457=0,B2457=0,B2458&lt;&gt;0),AND(D2457*D2456&lt;0,B2457&lt;&gt;0)),IF(D2457=0,C2457,C2457*(1-ABS(D2457)/(ABS(D2457)+ABS(D2456)))+C2456*(1-ABS(D2456)/(ABS(D2457)+ABS(D2456)))),"")))</f>
        <v>#NAME?</v>
      </c>
    </row>
    <row r="2458" spans="2:5" x14ac:dyDescent="0.25">
      <c r="B2458" t="e">
        <f t="shared" ca="1" si="77"/>
        <v>#NAME?</v>
      </c>
      <c r="C2458">
        <v>2415</v>
      </c>
      <c r="D2458" t="e">
        <f t="shared" ca="1" si="76"/>
        <v>#NAME?</v>
      </c>
      <c r="E2458" s="115" t="e">
        <f t="array" aca="1" ref="E2458" ca="1">IF(OR(C2457=0,AND(B2459=0,C2459=0)),"",IFERROR(INDEX($F$27:$F$36,MATCH(C2458,($F$27:$F$36)*($D$27:$D$36&lt;&gt;0),0)),IF(OR(AND(D2458=0,B2458=0,B2459&lt;&gt;0),AND(D2458*D2457&lt;0,B2458&lt;&gt;0)),IF(D2458=0,C2458,C2458*(1-ABS(D2458)/(ABS(D2458)+ABS(D2457)))+C2457*(1-ABS(D2457)/(ABS(D2458)+ABS(D2457)))),"")))</f>
        <v>#NAME?</v>
      </c>
    </row>
    <row r="2459" spans="2:5" x14ac:dyDescent="0.25">
      <c r="B2459" t="e">
        <f t="shared" ca="1" si="77"/>
        <v>#NAME?</v>
      </c>
      <c r="C2459">
        <v>2416</v>
      </c>
      <c r="D2459" t="e">
        <f t="shared" ca="1" si="76"/>
        <v>#NAME?</v>
      </c>
      <c r="E2459" s="115" t="e">
        <f t="array" aca="1" ref="E2459" ca="1">IF(OR(C2458=0,AND(B2460=0,C2460=0)),"",IFERROR(INDEX($F$27:$F$36,MATCH(C2459,($F$27:$F$36)*($D$27:$D$36&lt;&gt;0),0)),IF(OR(AND(D2459=0,B2459=0,B2460&lt;&gt;0),AND(D2459*D2458&lt;0,B2459&lt;&gt;0)),IF(D2459=0,C2459,C2459*(1-ABS(D2459)/(ABS(D2459)+ABS(D2458)))+C2458*(1-ABS(D2458)/(ABS(D2459)+ABS(D2458)))),"")))</f>
        <v>#NAME?</v>
      </c>
    </row>
    <row r="2460" spans="2:5" x14ac:dyDescent="0.25">
      <c r="B2460" t="e">
        <f t="shared" ca="1" si="77"/>
        <v>#NAME?</v>
      </c>
      <c r="C2460">
        <v>2417</v>
      </c>
      <c r="D2460" t="e">
        <f t="shared" ca="1" si="76"/>
        <v>#NAME?</v>
      </c>
      <c r="E2460" s="115" t="e">
        <f t="array" aca="1" ref="E2460" ca="1">IF(OR(C2459=0,AND(B2461=0,C2461=0)),"",IFERROR(INDEX($F$27:$F$36,MATCH(C2460,($F$27:$F$36)*($D$27:$D$36&lt;&gt;0),0)),IF(OR(AND(D2460=0,B2460=0,B2461&lt;&gt;0),AND(D2460*D2459&lt;0,B2460&lt;&gt;0)),IF(D2460=0,C2460,C2460*(1-ABS(D2460)/(ABS(D2460)+ABS(D2459)))+C2459*(1-ABS(D2459)/(ABS(D2460)+ABS(D2459)))),"")))</f>
        <v>#NAME?</v>
      </c>
    </row>
    <row r="2461" spans="2:5" x14ac:dyDescent="0.25">
      <c r="B2461" t="e">
        <f t="shared" ca="1" si="77"/>
        <v>#NAME?</v>
      </c>
      <c r="C2461">
        <v>2418</v>
      </c>
      <c r="D2461" t="e">
        <f t="shared" ca="1" si="76"/>
        <v>#NAME?</v>
      </c>
      <c r="E2461" s="115" t="e">
        <f t="array" aca="1" ref="E2461" ca="1">IF(OR(C2460=0,AND(B2462=0,C2462=0)),"",IFERROR(INDEX($F$27:$F$36,MATCH(C2461,($F$27:$F$36)*($D$27:$D$36&lt;&gt;0),0)),IF(OR(AND(D2461=0,B2461=0,B2462&lt;&gt;0),AND(D2461*D2460&lt;0,B2461&lt;&gt;0)),IF(D2461=0,C2461,C2461*(1-ABS(D2461)/(ABS(D2461)+ABS(D2460)))+C2460*(1-ABS(D2460)/(ABS(D2461)+ABS(D2460)))),"")))</f>
        <v>#NAME?</v>
      </c>
    </row>
    <row r="2462" spans="2:5" x14ac:dyDescent="0.25">
      <c r="B2462" t="e">
        <f t="shared" ca="1" si="77"/>
        <v>#NAME?</v>
      </c>
      <c r="C2462">
        <v>2419</v>
      </c>
      <c r="D2462" t="e">
        <f t="shared" ca="1" si="76"/>
        <v>#NAME?</v>
      </c>
      <c r="E2462" s="115" t="e">
        <f t="array" aca="1" ref="E2462" ca="1">IF(OR(C2461=0,AND(B2463=0,C2463=0)),"",IFERROR(INDEX($F$27:$F$36,MATCH(C2462,($F$27:$F$36)*($D$27:$D$36&lt;&gt;0),0)),IF(OR(AND(D2462=0,B2462=0,B2463&lt;&gt;0),AND(D2462*D2461&lt;0,B2462&lt;&gt;0)),IF(D2462=0,C2462,C2462*(1-ABS(D2462)/(ABS(D2462)+ABS(D2461)))+C2461*(1-ABS(D2461)/(ABS(D2462)+ABS(D2461)))),"")))</f>
        <v>#NAME?</v>
      </c>
    </row>
    <row r="2463" spans="2:5" x14ac:dyDescent="0.25">
      <c r="B2463" t="e">
        <f t="shared" ca="1" si="77"/>
        <v>#NAME?</v>
      </c>
      <c r="C2463">
        <v>2420</v>
      </c>
      <c r="D2463" t="e">
        <f t="shared" ca="1" si="76"/>
        <v>#NAME?</v>
      </c>
      <c r="E2463" s="115" t="e">
        <f t="array" aca="1" ref="E2463" ca="1">IF(OR(C2462=0,AND(B2464=0,C2464=0)),"",IFERROR(INDEX($F$27:$F$36,MATCH(C2463,($F$27:$F$36)*($D$27:$D$36&lt;&gt;0),0)),IF(OR(AND(D2463=0,B2463=0,B2464&lt;&gt;0),AND(D2463*D2462&lt;0,B2463&lt;&gt;0)),IF(D2463=0,C2463,C2463*(1-ABS(D2463)/(ABS(D2463)+ABS(D2462)))+C2462*(1-ABS(D2462)/(ABS(D2463)+ABS(D2462)))),"")))</f>
        <v>#NAME?</v>
      </c>
    </row>
    <row r="2464" spans="2:5" x14ac:dyDescent="0.25">
      <c r="B2464" t="e">
        <f t="shared" ca="1" si="77"/>
        <v>#NAME?</v>
      </c>
      <c r="C2464">
        <v>2421</v>
      </c>
      <c r="D2464" t="e">
        <f t="shared" ca="1" si="76"/>
        <v>#NAME?</v>
      </c>
      <c r="E2464" s="115" t="e">
        <f t="array" aca="1" ref="E2464" ca="1">IF(OR(C2463=0,AND(B2465=0,C2465=0)),"",IFERROR(INDEX($F$27:$F$36,MATCH(C2464,($F$27:$F$36)*($D$27:$D$36&lt;&gt;0),0)),IF(OR(AND(D2464=0,B2464=0,B2465&lt;&gt;0),AND(D2464*D2463&lt;0,B2464&lt;&gt;0)),IF(D2464=0,C2464,C2464*(1-ABS(D2464)/(ABS(D2464)+ABS(D2463)))+C2463*(1-ABS(D2463)/(ABS(D2464)+ABS(D2463)))),"")))</f>
        <v>#NAME?</v>
      </c>
    </row>
    <row r="2465" spans="2:5" x14ac:dyDescent="0.25">
      <c r="B2465" t="e">
        <f t="shared" ca="1" si="77"/>
        <v>#NAME?</v>
      </c>
      <c r="C2465">
        <v>2422</v>
      </c>
      <c r="D2465" t="e">
        <f t="shared" ca="1" si="76"/>
        <v>#NAME?</v>
      </c>
      <c r="E2465" s="115" t="e">
        <f t="array" aca="1" ref="E2465" ca="1">IF(OR(C2464=0,AND(B2466=0,C2466=0)),"",IFERROR(INDEX($F$27:$F$36,MATCH(C2465,($F$27:$F$36)*($D$27:$D$36&lt;&gt;0),0)),IF(OR(AND(D2465=0,B2465=0,B2466&lt;&gt;0),AND(D2465*D2464&lt;0,B2465&lt;&gt;0)),IF(D2465=0,C2465,C2465*(1-ABS(D2465)/(ABS(D2465)+ABS(D2464)))+C2464*(1-ABS(D2464)/(ABS(D2465)+ABS(D2464)))),"")))</f>
        <v>#NAME?</v>
      </c>
    </row>
    <row r="2466" spans="2:5" x14ac:dyDescent="0.25">
      <c r="B2466" t="e">
        <f t="shared" ca="1" si="77"/>
        <v>#NAME?</v>
      </c>
      <c r="C2466">
        <v>2423</v>
      </c>
      <c r="D2466" t="e">
        <f t="shared" ca="1" si="76"/>
        <v>#NAME?</v>
      </c>
      <c r="E2466" s="115" t="e">
        <f t="array" aca="1" ref="E2466" ca="1">IF(OR(C2465=0,AND(B2467=0,C2467=0)),"",IFERROR(INDEX($F$27:$F$36,MATCH(C2466,($F$27:$F$36)*($D$27:$D$36&lt;&gt;0),0)),IF(OR(AND(D2466=0,B2466=0,B2467&lt;&gt;0),AND(D2466*D2465&lt;0,B2466&lt;&gt;0)),IF(D2466=0,C2466,C2466*(1-ABS(D2466)/(ABS(D2466)+ABS(D2465)))+C2465*(1-ABS(D2465)/(ABS(D2466)+ABS(D2465)))),"")))</f>
        <v>#NAME?</v>
      </c>
    </row>
    <row r="2467" spans="2:5" x14ac:dyDescent="0.25">
      <c r="B2467" t="e">
        <f t="shared" ca="1" si="77"/>
        <v>#NAME?</v>
      </c>
      <c r="C2467">
        <v>2424</v>
      </c>
      <c r="D2467" t="e">
        <f t="shared" ca="1" si="76"/>
        <v>#NAME?</v>
      </c>
      <c r="E2467" s="115" t="e">
        <f t="array" aca="1" ref="E2467" ca="1">IF(OR(C2466=0,AND(B2468=0,C2468=0)),"",IFERROR(INDEX($F$27:$F$36,MATCH(C2467,($F$27:$F$36)*($D$27:$D$36&lt;&gt;0),0)),IF(OR(AND(D2467=0,B2467=0,B2468&lt;&gt;0),AND(D2467*D2466&lt;0,B2467&lt;&gt;0)),IF(D2467=0,C2467,C2467*(1-ABS(D2467)/(ABS(D2467)+ABS(D2466)))+C2466*(1-ABS(D2466)/(ABS(D2467)+ABS(D2466)))),"")))</f>
        <v>#NAME?</v>
      </c>
    </row>
    <row r="2468" spans="2:5" x14ac:dyDescent="0.25">
      <c r="B2468" t="e">
        <f t="shared" ca="1" si="77"/>
        <v>#NAME?</v>
      </c>
      <c r="C2468">
        <v>2425</v>
      </c>
      <c r="D2468" t="e">
        <f t="shared" ca="1" si="76"/>
        <v>#NAME?</v>
      </c>
      <c r="E2468" s="115" t="e">
        <f t="array" aca="1" ref="E2468" ca="1">IF(OR(C2467=0,AND(B2469=0,C2469=0)),"",IFERROR(INDEX($F$27:$F$36,MATCH(C2468,($F$27:$F$36)*($D$27:$D$36&lt;&gt;0),0)),IF(OR(AND(D2468=0,B2468=0,B2469&lt;&gt;0),AND(D2468*D2467&lt;0,B2468&lt;&gt;0)),IF(D2468=0,C2468,C2468*(1-ABS(D2468)/(ABS(D2468)+ABS(D2467)))+C2467*(1-ABS(D2467)/(ABS(D2468)+ABS(D2467)))),"")))</f>
        <v>#NAME?</v>
      </c>
    </row>
    <row r="2469" spans="2:5" x14ac:dyDescent="0.25">
      <c r="B2469" t="e">
        <f t="shared" ca="1" si="77"/>
        <v>#NAME?</v>
      </c>
      <c r="C2469">
        <v>2426</v>
      </c>
      <c r="D2469" t="e">
        <f t="shared" ca="1" si="76"/>
        <v>#NAME?</v>
      </c>
      <c r="E2469" s="115" t="e">
        <f t="array" aca="1" ref="E2469" ca="1">IF(OR(C2468=0,AND(B2470=0,C2470=0)),"",IFERROR(INDEX($F$27:$F$36,MATCH(C2469,($F$27:$F$36)*($D$27:$D$36&lt;&gt;0),0)),IF(OR(AND(D2469=0,B2469=0,B2470&lt;&gt;0),AND(D2469*D2468&lt;0,B2469&lt;&gt;0)),IF(D2469=0,C2469,C2469*(1-ABS(D2469)/(ABS(D2469)+ABS(D2468)))+C2468*(1-ABS(D2468)/(ABS(D2469)+ABS(D2468)))),"")))</f>
        <v>#NAME?</v>
      </c>
    </row>
    <row r="2470" spans="2:5" x14ac:dyDescent="0.25">
      <c r="B2470" t="e">
        <f t="shared" ca="1" si="77"/>
        <v>#NAME?</v>
      </c>
      <c r="C2470">
        <v>2427</v>
      </c>
      <c r="D2470" t="e">
        <f t="shared" ca="1" si="76"/>
        <v>#NAME?</v>
      </c>
      <c r="E2470" s="115" t="e">
        <f t="array" aca="1" ref="E2470" ca="1">IF(OR(C2469=0,AND(B2471=0,C2471=0)),"",IFERROR(INDEX($F$27:$F$36,MATCH(C2470,($F$27:$F$36)*($D$27:$D$36&lt;&gt;0),0)),IF(OR(AND(D2470=0,B2470=0,B2471&lt;&gt;0),AND(D2470*D2469&lt;0,B2470&lt;&gt;0)),IF(D2470=0,C2470,C2470*(1-ABS(D2470)/(ABS(D2470)+ABS(D2469)))+C2469*(1-ABS(D2469)/(ABS(D2470)+ABS(D2469)))),"")))</f>
        <v>#NAME?</v>
      </c>
    </row>
    <row r="2471" spans="2:5" x14ac:dyDescent="0.25">
      <c r="B2471" t="e">
        <f t="shared" ca="1" si="77"/>
        <v>#NAME?</v>
      </c>
      <c r="C2471">
        <v>2428</v>
      </c>
      <c r="D2471" t="e">
        <f t="shared" ca="1" si="76"/>
        <v>#NAME?</v>
      </c>
      <c r="E2471" s="115" t="e">
        <f t="array" aca="1" ref="E2471" ca="1">IF(OR(C2470=0,AND(B2472=0,C2472=0)),"",IFERROR(INDEX($F$27:$F$36,MATCH(C2471,($F$27:$F$36)*($D$27:$D$36&lt;&gt;0),0)),IF(OR(AND(D2471=0,B2471=0,B2472&lt;&gt;0),AND(D2471*D2470&lt;0,B2471&lt;&gt;0)),IF(D2471=0,C2471,C2471*(1-ABS(D2471)/(ABS(D2471)+ABS(D2470)))+C2470*(1-ABS(D2470)/(ABS(D2471)+ABS(D2470)))),"")))</f>
        <v>#NAME?</v>
      </c>
    </row>
    <row r="2472" spans="2:5" x14ac:dyDescent="0.25">
      <c r="B2472" t="e">
        <f t="shared" ca="1" si="77"/>
        <v>#NAME?</v>
      </c>
      <c r="C2472">
        <v>2429</v>
      </c>
      <c r="D2472" t="e">
        <f t="shared" ca="1" si="76"/>
        <v>#NAME?</v>
      </c>
      <c r="E2472" s="115" t="e">
        <f t="array" aca="1" ref="E2472" ca="1">IF(OR(C2471=0,AND(B2473=0,C2473=0)),"",IFERROR(INDEX($F$27:$F$36,MATCH(C2472,($F$27:$F$36)*($D$27:$D$36&lt;&gt;0),0)),IF(OR(AND(D2472=0,B2472=0,B2473&lt;&gt;0),AND(D2472*D2471&lt;0,B2472&lt;&gt;0)),IF(D2472=0,C2472,C2472*(1-ABS(D2472)/(ABS(D2472)+ABS(D2471)))+C2471*(1-ABS(D2471)/(ABS(D2472)+ABS(D2471)))),"")))</f>
        <v>#NAME?</v>
      </c>
    </row>
    <row r="2473" spans="2:5" x14ac:dyDescent="0.25">
      <c r="B2473" t="e">
        <f t="shared" ca="1" si="77"/>
        <v>#NAME?</v>
      </c>
      <c r="C2473">
        <v>2430</v>
      </c>
      <c r="D2473" t="e">
        <f t="shared" ca="1" si="76"/>
        <v>#NAME?</v>
      </c>
      <c r="E2473" s="115" t="e">
        <f t="array" aca="1" ref="E2473" ca="1">IF(OR(C2472=0,AND(B2474=0,C2474=0)),"",IFERROR(INDEX($F$27:$F$36,MATCH(C2473,($F$27:$F$36)*($D$27:$D$36&lt;&gt;0),0)),IF(OR(AND(D2473=0,B2473=0,B2474&lt;&gt;0),AND(D2473*D2472&lt;0,B2473&lt;&gt;0)),IF(D2473=0,C2473,C2473*(1-ABS(D2473)/(ABS(D2473)+ABS(D2472)))+C2472*(1-ABS(D2472)/(ABS(D2473)+ABS(D2472)))),"")))</f>
        <v>#NAME?</v>
      </c>
    </row>
    <row r="2474" spans="2:5" x14ac:dyDescent="0.25">
      <c r="B2474" t="e">
        <f t="shared" ca="1" si="77"/>
        <v>#NAME?</v>
      </c>
      <c r="C2474">
        <v>2431</v>
      </c>
      <c r="D2474" t="e">
        <f t="shared" ca="1" si="76"/>
        <v>#NAME?</v>
      </c>
      <c r="E2474" s="115" t="e">
        <f t="array" aca="1" ref="E2474" ca="1">IF(OR(C2473=0,AND(B2475=0,C2475=0)),"",IFERROR(INDEX($F$27:$F$36,MATCH(C2474,($F$27:$F$36)*($D$27:$D$36&lt;&gt;0),0)),IF(OR(AND(D2474=0,B2474=0,B2475&lt;&gt;0),AND(D2474*D2473&lt;0,B2474&lt;&gt;0)),IF(D2474=0,C2474,C2474*(1-ABS(D2474)/(ABS(D2474)+ABS(D2473)))+C2473*(1-ABS(D2473)/(ABS(D2474)+ABS(D2473)))),"")))</f>
        <v>#NAME?</v>
      </c>
    </row>
    <row r="2475" spans="2:5" x14ac:dyDescent="0.25">
      <c r="B2475" t="e">
        <f t="shared" ca="1" si="77"/>
        <v>#NAME?</v>
      </c>
      <c r="C2475">
        <v>2432</v>
      </c>
      <c r="D2475" t="e">
        <f t="shared" ref="D2475:D2538" ca="1" si="78">SUMPRODUCT(--($J$27:$J$37&gt;0),--($C2475-$F$27:$F$37&gt;0),($D$27:$D$37),($C2475-$F$27:$F$37))+SUMPRODUCT(--($J$27:$J$37&lt;0),--($F$27:$F$37-$C2475&gt;0),($D$27:$D$37),($F$27:$F$37-$C2475))-SUMPRODUCT($D$27:$D$37,$E$27:$E$37)</f>
        <v>#NAME?</v>
      </c>
      <c r="E2475" s="115" t="e">
        <f t="array" aca="1" ref="E2475" ca="1">IF(OR(C2474=0,AND(B2476=0,C2476=0)),"",IFERROR(INDEX($F$27:$F$36,MATCH(C2475,($F$27:$F$36)*($D$27:$D$36&lt;&gt;0),0)),IF(OR(AND(D2475=0,B2475=0,B2476&lt;&gt;0),AND(D2475*D2474&lt;0,B2475&lt;&gt;0)),IF(D2475=0,C2475,C2475*(1-ABS(D2475)/(ABS(D2475)+ABS(D2474)))+C2474*(1-ABS(D2474)/(ABS(D2475)+ABS(D2474)))),"")))</f>
        <v>#NAME?</v>
      </c>
    </row>
    <row r="2476" spans="2:5" x14ac:dyDescent="0.25">
      <c r="B2476" t="e">
        <f t="shared" ref="B2476:B2539" ca="1" si="79">ROUND((D2476-D2475)/(C2476-C2475),12)</f>
        <v>#NAME?</v>
      </c>
      <c r="C2476">
        <v>2433</v>
      </c>
      <c r="D2476" t="e">
        <f t="shared" ca="1" si="78"/>
        <v>#NAME?</v>
      </c>
      <c r="E2476" s="115" t="e">
        <f t="array" aca="1" ref="E2476" ca="1">IF(OR(C2475=0,AND(B2477=0,C2477=0)),"",IFERROR(INDEX($F$27:$F$36,MATCH(C2476,($F$27:$F$36)*($D$27:$D$36&lt;&gt;0),0)),IF(OR(AND(D2476=0,B2476=0,B2477&lt;&gt;0),AND(D2476*D2475&lt;0,B2476&lt;&gt;0)),IF(D2476=0,C2476,C2476*(1-ABS(D2476)/(ABS(D2476)+ABS(D2475)))+C2475*(1-ABS(D2475)/(ABS(D2476)+ABS(D2475)))),"")))</f>
        <v>#NAME?</v>
      </c>
    </row>
    <row r="2477" spans="2:5" x14ac:dyDescent="0.25">
      <c r="B2477" t="e">
        <f t="shared" ca="1" si="79"/>
        <v>#NAME?</v>
      </c>
      <c r="C2477">
        <v>2434</v>
      </c>
      <c r="D2477" t="e">
        <f t="shared" ca="1" si="78"/>
        <v>#NAME?</v>
      </c>
      <c r="E2477" s="115" t="e">
        <f t="array" aca="1" ref="E2477" ca="1">IF(OR(C2476=0,AND(B2478=0,C2478=0)),"",IFERROR(INDEX($F$27:$F$36,MATCH(C2477,($F$27:$F$36)*($D$27:$D$36&lt;&gt;0),0)),IF(OR(AND(D2477=0,B2477=0,B2478&lt;&gt;0),AND(D2477*D2476&lt;0,B2477&lt;&gt;0)),IF(D2477=0,C2477,C2477*(1-ABS(D2477)/(ABS(D2477)+ABS(D2476)))+C2476*(1-ABS(D2476)/(ABS(D2477)+ABS(D2476)))),"")))</f>
        <v>#NAME?</v>
      </c>
    </row>
    <row r="2478" spans="2:5" x14ac:dyDescent="0.25">
      <c r="B2478" t="e">
        <f t="shared" ca="1" si="79"/>
        <v>#NAME?</v>
      </c>
      <c r="C2478">
        <v>2435</v>
      </c>
      <c r="D2478" t="e">
        <f t="shared" ca="1" si="78"/>
        <v>#NAME?</v>
      </c>
      <c r="E2478" s="115" t="e">
        <f t="array" aca="1" ref="E2478" ca="1">IF(OR(C2477=0,AND(B2479=0,C2479=0)),"",IFERROR(INDEX($F$27:$F$36,MATCH(C2478,($F$27:$F$36)*($D$27:$D$36&lt;&gt;0),0)),IF(OR(AND(D2478=0,B2478=0,B2479&lt;&gt;0),AND(D2478*D2477&lt;0,B2478&lt;&gt;0)),IF(D2478=0,C2478,C2478*(1-ABS(D2478)/(ABS(D2478)+ABS(D2477)))+C2477*(1-ABS(D2477)/(ABS(D2478)+ABS(D2477)))),"")))</f>
        <v>#NAME?</v>
      </c>
    </row>
    <row r="2479" spans="2:5" x14ac:dyDescent="0.25">
      <c r="B2479" t="e">
        <f t="shared" ca="1" si="79"/>
        <v>#NAME?</v>
      </c>
      <c r="C2479">
        <v>2436</v>
      </c>
      <c r="D2479" t="e">
        <f t="shared" ca="1" si="78"/>
        <v>#NAME?</v>
      </c>
      <c r="E2479" s="115" t="e">
        <f t="array" aca="1" ref="E2479" ca="1">IF(OR(C2478=0,AND(B2480=0,C2480=0)),"",IFERROR(INDEX($F$27:$F$36,MATCH(C2479,($F$27:$F$36)*($D$27:$D$36&lt;&gt;0),0)),IF(OR(AND(D2479=0,B2479=0,B2480&lt;&gt;0),AND(D2479*D2478&lt;0,B2479&lt;&gt;0)),IF(D2479=0,C2479,C2479*(1-ABS(D2479)/(ABS(D2479)+ABS(D2478)))+C2478*(1-ABS(D2478)/(ABS(D2479)+ABS(D2478)))),"")))</f>
        <v>#NAME?</v>
      </c>
    </row>
    <row r="2480" spans="2:5" x14ac:dyDescent="0.25">
      <c r="B2480" t="e">
        <f t="shared" ca="1" si="79"/>
        <v>#NAME?</v>
      </c>
      <c r="C2480">
        <v>2437</v>
      </c>
      <c r="D2480" t="e">
        <f t="shared" ca="1" si="78"/>
        <v>#NAME?</v>
      </c>
      <c r="E2480" s="115" t="e">
        <f t="array" aca="1" ref="E2480" ca="1">IF(OR(C2479=0,AND(B2481=0,C2481=0)),"",IFERROR(INDEX($F$27:$F$36,MATCH(C2480,($F$27:$F$36)*($D$27:$D$36&lt;&gt;0),0)),IF(OR(AND(D2480=0,B2480=0,B2481&lt;&gt;0),AND(D2480*D2479&lt;0,B2480&lt;&gt;0)),IF(D2480=0,C2480,C2480*(1-ABS(D2480)/(ABS(D2480)+ABS(D2479)))+C2479*(1-ABS(D2479)/(ABS(D2480)+ABS(D2479)))),"")))</f>
        <v>#NAME?</v>
      </c>
    </row>
    <row r="2481" spans="2:5" x14ac:dyDescent="0.25">
      <c r="B2481" t="e">
        <f t="shared" ca="1" si="79"/>
        <v>#NAME?</v>
      </c>
      <c r="C2481">
        <v>2438</v>
      </c>
      <c r="D2481" t="e">
        <f t="shared" ca="1" si="78"/>
        <v>#NAME?</v>
      </c>
      <c r="E2481" s="115" t="e">
        <f t="array" aca="1" ref="E2481" ca="1">IF(OR(C2480=0,AND(B2482=0,C2482=0)),"",IFERROR(INDEX($F$27:$F$36,MATCH(C2481,($F$27:$F$36)*($D$27:$D$36&lt;&gt;0),0)),IF(OR(AND(D2481=0,B2481=0,B2482&lt;&gt;0),AND(D2481*D2480&lt;0,B2481&lt;&gt;0)),IF(D2481=0,C2481,C2481*(1-ABS(D2481)/(ABS(D2481)+ABS(D2480)))+C2480*(1-ABS(D2480)/(ABS(D2481)+ABS(D2480)))),"")))</f>
        <v>#NAME?</v>
      </c>
    </row>
    <row r="2482" spans="2:5" x14ac:dyDescent="0.25">
      <c r="B2482" t="e">
        <f t="shared" ca="1" si="79"/>
        <v>#NAME?</v>
      </c>
      <c r="C2482">
        <v>2439</v>
      </c>
      <c r="D2482" t="e">
        <f t="shared" ca="1" si="78"/>
        <v>#NAME?</v>
      </c>
      <c r="E2482" s="115" t="e">
        <f t="array" aca="1" ref="E2482" ca="1">IF(OR(C2481=0,AND(B2483=0,C2483=0)),"",IFERROR(INDEX($F$27:$F$36,MATCH(C2482,($F$27:$F$36)*($D$27:$D$36&lt;&gt;0),0)),IF(OR(AND(D2482=0,B2482=0,B2483&lt;&gt;0),AND(D2482*D2481&lt;0,B2482&lt;&gt;0)),IF(D2482=0,C2482,C2482*(1-ABS(D2482)/(ABS(D2482)+ABS(D2481)))+C2481*(1-ABS(D2481)/(ABS(D2482)+ABS(D2481)))),"")))</f>
        <v>#NAME?</v>
      </c>
    </row>
    <row r="2483" spans="2:5" x14ac:dyDescent="0.25">
      <c r="B2483" t="e">
        <f t="shared" ca="1" si="79"/>
        <v>#NAME?</v>
      </c>
      <c r="C2483">
        <v>2440</v>
      </c>
      <c r="D2483" t="e">
        <f t="shared" ca="1" si="78"/>
        <v>#NAME?</v>
      </c>
      <c r="E2483" s="115" t="e">
        <f t="array" aca="1" ref="E2483" ca="1">IF(OR(C2482=0,AND(B2484=0,C2484=0)),"",IFERROR(INDEX($F$27:$F$36,MATCH(C2483,($F$27:$F$36)*($D$27:$D$36&lt;&gt;0),0)),IF(OR(AND(D2483=0,B2483=0,B2484&lt;&gt;0),AND(D2483*D2482&lt;0,B2483&lt;&gt;0)),IF(D2483=0,C2483,C2483*(1-ABS(D2483)/(ABS(D2483)+ABS(D2482)))+C2482*(1-ABS(D2482)/(ABS(D2483)+ABS(D2482)))),"")))</f>
        <v>#NAME?</v>
      </c>
    </row>
    <row r="2484" spans="2:5" x14ac:dyDescent="0.25">
      <c r="B2484" t="e">
        <f t="shared" ca="1" si="79"/>
        <v>#NAME?</v>
      </c>
      <c r="C2484">
        <v>2441</v>
      </c>
      <c r="D2484" t="e">
        <f t="shared" ca="1" si="78"/>
        <v>#NAME?</v>
      </c>
      <c r="E2484" s="115" t="e">
        <f t="array" aca="1" ref="E2484" ca="1">IF(OR(C2483=0,AND(B2485=0,C2485=0)),"",IFERROR(INDEX($F$27:$F$36,MATCH(C2484,($F$27:$F$36)*($D$27:$D$36&lt;&gt;0),0)),IF(OR(AND(D2484=0,B2484=0,B2485&lt;&gt;0),AND(D2484*D2483&lt;0,B2484&lt;&gt;0)),IF(D2484=0,C2484,C2484*(1-ABS(D2484)/(ABS(D2484)+ABS(D2483)))+C2483*(1-ABS(D2483)/(ABS(D2484)+ABS(D2483)))),"")))</f>
        <v>#NAME?</v>
      </c>
    </row>
    <row r="2485" spans="2:5" x14ac:dyDescent="0.25">
      <c r="B2485" t="e">
        <f t="shared" ca="1" si="79"/>
        <v>#NAME?</v>
      </c>
      <c r="C2485">
        <v>2442</v>
      </c>
      <c r="D2485" t="e">
        <f t="shared" ca="1" si="78"/>
        <v>#NAME?</v>
      </c>
      <c r="E2485" s="115" t="e">
        <f t="array" aca="1" ref="E2485" ca="1">IF(OR(C2484=0,AND(B2486=0,C2486=0)),"",IFERROR(INDEX($F$27:$F$36,MATCH(C2485,($F$27:$F$36)*($D$27:$D$36&lt;&gt;0),0)),IF(OR(AND(D2485=0,B2485=0,B2486&lt;&gt;0),AND(D2485*D2484&lt;0,B2485&lt;&gt;0)),IF(D2485=0,C2485,C2485*(1-ABS(D2485)/(ABS(D2485)+ABS(D2484)))+C2484*(1-ABS(D2484)/(ABS(D2485)+ABS(D2484)))),"")))</f>
        <v>#NAME?</v>
      </c>
    </row>
    <row r="2486" spans="2:5" x14ac:dyDescent="0.25">
      <c r="B2486" t="e">
        <f t="shared" ca="1" si="79"/>
        <v>#NAME?</v>
      </c>
      <c r="C2486">
        <v>2443</v>
      </c>
      <c r="D2486" t="e">
        <f t="shared" ca="1" si="78"/>
        <v>#NAME?</v>
      </c>
      <c r="E2486" s="115" t="e">
        <f t="array" aca="1" ref="E2486" ca="1">IF(OR(C2485=0,AND(B2487=0,C2487=0)),"",IFERROR(INDEX($F$27:$F$36,MATCH(C2486,($F$27:$F$36)*($D$27:$D$36&lt;&gt;0),0)),IF(OR(AND(D2486=0,B2486=0,B2487&lt;&gt;0),AND(D2486*D2485&lt;0,B2486&lt;&gt;0)),IF(D2486=0,C2486,C2486*(1-ABS(D2486)/(ABS(D2486)+ABS(D2485)))+C2485*(1-ABS(D2485)/(ABS(D2486)+ABS(D2485)))),"")))</f>
        <v>#NAME?</v>
      </c>
    </row>
    <row r="2487" spans="2:5" x14ac:dyDescent="0.25">
      <c r="B2487" t="e">
        <f t="shared" ca="1" si="79"/>
        <v>#NAME?</v>
      </c>
      <c r="C2487">
        <v>2444</v>
      </c>
      <c r="D2487" t="e">
        <f t="shared" ca="1" si="78"/>
        <v>#NAME?</v>
      </c>
      <c r="E2487" s="115" t="e">
        <f t="array" aca="1" ref="E2487" ca="1">IF(OR(C2486=0,AND(B2488=0,C2488=0)),"",IFERROR(INDEX($F$27:$F$36,MATCH(C2487,($F$27:$F$36)*($D$27:$D$36&lt;&gt;0),0)),IF(OR(AND(D2487=0,B2487=0,B2488&lt;&gt;0),AND(D2487*D2486&lt;0,B2487&lt;&gt;0)),IF(D2487=0,C2487,C2487*(1-ABS(D2487)/(ABS(D2487)+ABS(D2486)))+C2486*(1-ABS(D2486)/(ABS(D2487)+ABS(D2486)))),"")))</f>
        <v>#NAME?</v>
      </c>
    </row>
    <row r="2488" spans="2:5" x14ac:dyDescent="0.25">
      <c r="B2488" t="e">
        <f t="shared" ca="1" si="79"/>
        <v>#NAME?</v>
      </c>
      <c r="C2488">
        <v>2445</v>
      </c>
      <c r="D2488" t="e">
        <f t="shared" ca="1" si="78"/>
        <v>#NAME?</v>
      </c>
      <c r="E2488" s="115" t="e">
        <f t="array" aca="1" ref="E2488" ca="1">IF(OR(C2487=0,AND(B2489=0,C2489=0)),"",IFERROR(INDEX($F$27:$F$36,MATCH(C2488,($F$27:$F$36)*($D$27:$D$36&lt;&gt;0),0)),IF(OR(AND(D2488=0,B2488=0,B2489&lt;&gt;0),AND(D2488*D2487&lt;0,B2488&lt;&gt;0)),IF(D2488=0,C2488,C2488*(1-ABS(D2488)/(ABS(D2488)+ABS(D2487)))+C2487*(1-ABS(D2487)/(ABS(D2488)+ABS(D2487)))),"")))</f>
        <v>#NAME?</v>
      </c>
    </row>
    <row r="2489" spans="2:5" x14ac:dyDescent="0.25">
      <c r="B2489" t="e">
        <f t="shared" ca="1" si="79"/>
        <v>#NAME?</v>
      </c>
      <c r="C2489">
        <v>2446</v>
      </c>
      <c r="D2489" t="e">
        <f t="shared" ca="1" si="78"/>
        <v>#NAME?</v>
      </c>
      <c r="E2489" s="115" t="e">
        <f t="array" aca="1" ref="E2489" ca="1">IF(OR(C2488=0,AND(B2490=0,C2490=0)),"",IFERROR(INDEX($F$27:$F$36,MATCH(C2489,($F$27:$F$36)*($D$27:$D$36&lt;&gt;0),0)),IF(OR(AND(D2489=0,B2489=0,B2490&lt;&gt;0),AND(D2489*D2488&lt;0,B2489&lt;&gt;0)),IF(D2489=0,C2489,C2489*(1-ABS(D2489)/(ABS(D2489)+ABS(D2488)))+C2488*(1-ABS(D2488)/(ABS(D2489)+ABS(D2488)))),"")))</f>
        <v>#NAME?</v>
      </c>
    </row>
    <row r="2490" spans="2:5" x14ac:dyDescent="0.25">
      <c r="B2490" t="e">
        <f t="shared" ca="1" si="79"/>
        <v>#NAME?</v>
      </c>
      <c r="C2490">
        <v>2447</v>
      </c>
      <c r="D2490" t="e">
        <f t="shared" ca="1" si="78"/>
        <v>#NAME?</v>
      </c>
      <c r="E2490" s="115" t="e">
        <f t="array" aca="1" ref="E2490" ca="1">IF(OR(C2489=0,AND(B2491=0,C2491=0)),"",IFERROR(INDEX($F$27:$F$36,MATCH(C2490,($F$27:$F$36)*($D$27:$D$36&lt;&gt;0),0)),IF(OR(AND(D2490=0,B2490=0,B2491&lt;&gt;0),AND(D2490*D2489&lt;0,B2490&lt;&gt;0)),IF(D2490=0,C2490,C2490*(1-ABS(D2490)/(ABS(D2490)+ABS(D2489)))+C2489*(1-ABS(D2489)/(ABS(D2490)+ABS(D2489)))),"")))</f>
        <v>#NAME?</v>
      </c>
    </row>
    <row r="2491" spans="2:5" x14ac:dyDescent="0.25">
      <c r="B2491" t="e">
        <f t="shared" ca="1" si="79"/>
        <v>#NAME?</v>
      </c>
      <c r="C2491">
        <v>2448</v>
      </c>
      <c r="D2491" t="e">
        <f t="shared" ca="1" si="78"/>
        <v>#NAME?</v>
      </c>
      <c r="E2491" s="115" t="e">
        <f t="array" aca="1" ref="E2491" ca="1">IF(OR(C2490=0,AND(B2492=0,C2492=0)),"",IFERROR(INDEX($F$27:$F$36,MATCH(C2491,($F$27:$F$36)*($D$27:$D$36&lt;&gt;0),0)),IF(OR(AND(D2491=0,B2491=0,B2492&lt;&gt;0),AND(D2491*D2490&lt;0,B2491&lt;&gt;0)),IF(D2491=0,C2491,C2491*(1-ABS(D2491)/(ABS(D2491)+ABS(D2490)))+C2490*(1-ABS(D2490)/(ABS(D2491)+ABS(D2490)))),"")))</f>
        <v>#NAME?</v>
      </c>
    </row>
    <row r="2492" spans="2:5" x14ac:dyDescent="0.25">
      <c r="B2492" t="e">
        <f t="shared" ca="1" si="79"/>
        <v>#NAME?</v>
      </c>
      <c r="C2492">
        <v>2449</v>
      </c>
      <c r="D2492" t="e">
        <f t="shared" ca="1" si="78"/>
        <v>#NAME?</v>
      </c>
      <c r="E2492" s="115" t="e">
        <f t="array" aca="1" ref="E2492" ca="1">IF(OR(C2491=0,AND(B2493=0,C2493=0)),"",IFERROR(INDEX($F$27:$F$36,MATCH(C2492,($F$27:$F$36)*($D$27:$D$36&lt;&gt;0),0)),IF(OR(AND(D2492=0,B2492=0,B2493&lt;&gt;0),AND(D2492*D2491&lt;0,B2492&lt;&gt;0)),IF(D2492=0,C2492,C2492*(1-ABS(D2492)/(ABS(D2492)+ABS(D2491)))+C2491*(1-ABS(D2491)/(ABS(D2492)+ABS(D2491)))),"")))</f>
        <v>#NAME?</v>
      </c>
    </row>
    <row r="2493" spans="2:5" x14ac:dyDescent="0.25">
      <c r="B2493" t="e">
        <f t="shared" ca="1" si="79"/>
        <v>#NAME?</v>
      </c>
      <c r="C2493">
        <v>2450</v>
      </c>
      <c r="D2493" t="e">
        <f t="shared" ca="1" si="78"/>
        <v>#NAME?</v>
      </c>
      <c r="E2493" s="115" t="e">
        <f t="array" aca="1" ref="E2493" ca="1">IF(OR(C2492=0,AND(B2494=0,C2494=0)),"",IFERROR(INDEX($F$27:$F$36,MATCH(C2493,($F$27:$F$36)*($D$27:$D$36&lt;&gt;0),0)),IF(OR(AND(D2493=0,B2493=0,B2494&lt;&gt;0),AND(D2493*D2492&lt;0,B2493&lt;&gt;0)),IF(D2493=0,C2493,C2493*(1-ABS(D2493)/(ABS(D2493)+ABS(D2492)))+C2492*(1-ABS(D2492)/(ABS(D2493)+ABS(D2492)))),"")))</f>
        <v>#NAME?</v>
      </c>
    </row>
    <row r="2494" spans="2:5" x14ac:dyDescent="0.25">
      <c r="B2494" t="e">
        <f t="shared" ca="1" si="79"/>
        <v>#NAME?</v>
      </c>
      <c r="C2494">
        <v>2451</v>
      </c>
      <c r="D2494" t="e">
        <f t="shared" ca="1" si="78"/>
        <v>#NAME?</v>
      </c>
      <c r="E2494" s="115" t="e">
        <f t="array" aca="1" ref="E2494" ca="1">IF(OR(C2493=0,AND(B2495=0,C2495=0)),"",IFERROR(INDEX($F$27:$F$36,MATCH(C2494,($F$27:$F$36)*($D$27:$D$36&lt;&gt;0),0)),IF(OR(AND(D2494=0,B2494=0,B2495&lt;&gt;0),AND(D2494*D2493&lt;0,B2494&lt;&gt;0)),IF(D2494=0,C2494,C2494*(1-ABS(D2494)/(ABS(D2494)+ABS(D2493)))+C2493*(1-ABS(D2493)/(ABS(D2494)+ABS(D2493)))),"")))</f>
        <v>#NAME?</v>
      </c>
    </row>
    <row r="2495" spans="2:5" x14ac:dyDescent="0.25">
      <c r="B2495" t="e">
        <f t="shared" ca="1" si="79"/>
        <v>#NAME?</v>
      </c>
      <c r="C2495">
        <v>2452</v>
      </c>
      <c r="D2495" t="e">
        <f t="shared" ca="1" si="78"/>
        <v>#NAME?</v>
      </c>
      <c r="E2495" s="115" t="e">
        <f t="array" aca="1" ref="E2495" ca="1">IF(OR(C2494=0,AND(B2496=0,C2496=0)),"",IFERROR(INDEX($F$27:$F$36,MATCH(C2495,($F$27:$F$36)*($D$27:$D$36&lt;&gt;0),0)),IF(OR(AND(D2495=0,B2495=0,B2496&lt;&gt;0),AND(D2495*D2494&lt;0,B2495&lt;&gt;0)),IF(D2495=0,C2495,C2495*(1-ABS(D2495)/(ABS(D2495)+ABS(D2494)))+C2494*(1-ABS(D2494)/(ABS(D2495)+ABS(D2494)))),"")))</f>
        <v>#NAME?</v>
      </c>
    </row>
    <row r="2496" spans="2:5" x14ac:dyDescent="0.25">
      <c r="B2496" t="e">
        <f t="shared" ca="1" si="79"/>
        <v>#NAME?</v>
      </c>
      <c r="C2496">
        <v>2453</v>
      </c>
      <c r="D2496" t="e">
        <f t="shared" ca="1" si="78"/>
        <v>#NAME?</v>
      </c>
      <c r="E2496" s="115" t="e">
        <f t="array" aca="1" ref="E2496" ca="1">IF(OR(C2495=0,AND(B2497=0,C2497=0)),"",IFERROR(INDEX($F$27:$F$36,MATCH(C2496,($F$27:$F$36)*($D$27:$D$36&lt;&gt;0),0)),IF(OR(AND(D2496=0,B2496=0,B2497&lt;&gt;0),AND(D2496*D2495&lt;0,B2496&lt;&gt;0)),IF(D2496=0,C2496,C2496*(1-ABS(D2496)/(ABS(D2496)+ABS(D2495)))+C2495*(1-ABS(D2495)/(ABS(D2496)+ABS(D2495)))),"")))</f>
        <v>#NAME?</v>
      </c>
    </row>
    <row r="2497" spans="2:5" x14ac:dyDescent="0.25">
      <c r="B2497" t="e">
        <f t="shared" ca="1" si="79"/>
        <v>#NAME?</v>
      </c>
      <c r="C2497">
        <v>2454</v>
      </c>
      <c r="D2497" t="e">
        <f t="shared" ca="1" si="78"/>
        <v>#NAME?</v>
      </c>
      <c r="E2497" s="115" t="e">
        <f t="array" aca="1" ref="E2497" ca="1">IF(OR(C2496=0,AND(B2498=0,C2498=0)),"",IFERROR(INDEX($F$27:$F$36,MATCH(C2497,($F$27:$F$36)*($D$27:$D$36&lt;&gt;0),0)),IF(OR(AND(D2497=0,B2497=0,B2498&lt;&gt;0),AND(D2497*D2496&lt;0,B2497&lt;&gt;0)),IF(D2497=0,C2497,C2497*(1-ABS(D2497)/(ABS(D2497)+ABS(D2496)))+C2496*(1-ABS(D2496)/(ABS(D2497)+ABS(D2496)))),"")))</f>
        <v>#NAME?</v>
      </c>
    </row>
    <row r="2498" spans="2:5" x14ac:dyDescent="0.25">
      <c r="B2498" t="e">
        <f t="shared" ca="1" si="79"/>
        <v>#NAME?</v>
      </c>
      <c r="C2498">
        <v>2455</v>
      </c>
      <c r="D2498" t="e">
        <f t="shared" ca="1" si="78"/>
        <v>#NAME?</v>
      </c>
      <c r="E2498" s="115" t="e">
        <f t="array" aca="1" ref="E2498" ca="1">IF(OR(C2497=0,AND(B2499=0,C2499=0)),"",IFERROR(INDEX($F$27:$F$36,MATCH(C2498,($F$27:$F$36)*($D$27:$D$36&lt;&gt;0),0)),IF(OR(AND(D2498=0,B2498=0,B2499&lt;&gt;0),AND(D2498*D2497&lt;0,B2498&lt;&gt;0)),IF(D2498=0,C2498,C2498*(1-ABS(D2498)/(ABS(D2498)+ABS(D2497)))+C2497*(1-ABS(D2497)/(ABS(D2498)+ABS(D2497)))),"")))</f>
        <v>#NAME?</v>
      </c>
    </row>
    <row r="2499" spans="2:5" x14ac:dyDescent="0.25">
      <c r="B2499" t="e">
        <f t="shared" ca="1" si="79"/>
        <v>#NAME?</v>
      </c>
      <c r="C2499">
        <v>2456</v>
      </c>
      <c r="D2499" t="e">
        <f t="shared" ca="1" si="78"/>
        <v>#NAME?</v>
      </c>
      <c r="E2499" s="115" t="e">
        <f t="array" aca="1" ref="E2499" ca="1">IF(OR(C2498=0,AND(B2500=0,C2500=0)),"",IFERROR(INDEX($F$27:$F$36,MATCH(C2499,($F$27:$F$36)*($D$27:$D$36&lt;&gt;0),0)),IF(OR(AND(D2499=0,B2499=0,B2500&lt;&gt;0),AND(D2499*D2498&lt;0,B2499&lt;&gt;0)),IF(D2499=0,C2499,C2499*(1-ABS(D2499)/(ABS(D2499)+ABS(D2498)))+C2498*(1-ABS(D2498)/(ABS(D2499)+ABS(D2498)))),"")))</f>
        <v>#NAME?</v>
      </c>
    </row>
    <row r="2500" spans="2:5" x14ac:dyDescent="0.25">
      <c r="B2500" t="e">
        <f t="shared" ca="1" si="79"/>
        <v>#NAME?</v>
      </c>
      <c r="C2500">
        <v>2457</v>
      </c>
      <c r="D2500" t="e">
        <f t="shared" ca="1" si="78"/>
        <v>#NAME?</v>
      </c>
      <c r="E2500" s="115" t="e">
        <f t="array" aca="1" ref="E2500" ca="1">IF(OR(C2499=0,AND(B2501=0,C2501=0)),"",IFERROR(INDEX($F$27:$F$36,MATCH(C2500,($F$27:$F$36)*($D$27:$D$36&lt;&gt;0),0)),IF(OR(AND(D2500=0,B2500=0,B2501&lt;&gt;0),AND(D2500*D2499&lt;0,B2500&lt;&gt;0)),IF(D2500=0,C2500,C2500*(1-ABS(D2500)/(ABS(D2500)+ABS(D2499)))+C2499*(1-ABS(D2499)/(ABS(D2500)+ABS(D2499)))),"")))</f>
        <v>#NAME?</v>
      </c>
    </row>
    <row r="2501" spans="2:5" x14ac:dyDescent="0.25">
      <c r="B2501" t="e">
        <f t="shared" ca="1" si="79"/>
        <v>#NAME?</v>
      </c>
      <c r="C2501">
        <v>2458</v>
      </c>
      <c r="D2501" t="e">
        <f t="shared" ca="1" si="78"/>
        <v>#NAME?</v>
      </c>
      <c r="E2501" s="115" t="e">
        <f t="array" aca="1" ref="E2501" ca="1">IF(OR(C2500=0,AND(B2502=0,C2502=0)),"",IFERROR(INDEX($F$27:$F$36,MATCH(C2501,($F$27:$F$36)*($D$27:$D$36&lt;&gt;0),0)),IF(OR(AND(D2501=0,B2501=0,B2502&lt;&gt;0),AND(D2501*D2500&lt;0,B2501&lt;&gt;0)),IF(D2501=0,C2501,C2501*(1-ABS(D2501)/(ABS(D2501)+ABS(D2500)))+C2500*(1-ABS(D2500)/(ABS(D2501)+ABS(D2500)))),"")))</f>
        <v>#NAME?</v>
      </c>
    </row>
    <row r="2502" spans="2:5" x14ac:dyDescent="0.25">
      <c r="B2502" t="e">
        <f t="shared" ca="1" si="79"/>
        <v>#NAME?</v>
      </c>
      <c r="C2502">
        <v>2459</v>
      </c>
      <c r="D2502" t="e">
        <f t="shared" ca="1" si="78"/>
        <v>#NAME?</v>
      </c>
      <c r="E2502" s="115" t="e">
        <f t="array" aca="1" ref="E2502" ca="1">IF(OR(C2501=0,AND(B2503=0,C2503=0)),"",IFERROR(INDEX($F$27:$F$36,MATCH(C2502,($F$27:$F$36)*($D$27:$D$36&lt;&gt;0),0)),IF(OR(AND(D2502=0,B2502=0,B2503&lt;&gt;0),AND(D2502*D2501&lt;0,B2502&lt;&gt;0)),IF(D2502=0,C2502,C2502*(1-ABS(D2502)/(ABS(D2502)+ABS(D2501)))+C2501*(1-ABS(D2501)/(ABS(D2502)+ABS(D2501)))),"")))</f>
        <v>#NAME?</v>
      </c>
    </row>
    <row r="2503" spans="2:5" x14ac:dyDescent="0.25">
      <c r="B2503" t="e">
        <f t="shared" ca="1" si="79"/>
        <v>#NAME?</v>
      </c>
      <c r="C2503">
        <v>2460</v>
      </c>
      <c r="D2503" t="e">
        <f t="shared" ca="1" si="78"/>
        <v>#NAME?</v>
      </c>
      <c r="E2503" s="115" t="e">
        <f t="array" aca="1" ref="E2503" ca="1">IF(OR(C2502=0,AND(B2504=0,C2504=0)),"",IFERROR(INDEX($F$27:$F$36,MATCH(C2503,($F$27:$F$36)*($D$27:$D$36&lt;&gt;0),0)),IF(OR(AND(D2503=0,B2503=0,B2504&lt;&gt;0),AND(D2503*D2502&lt;0,B2503&lt;&gt;0)),IF(D2503=0,C2503,C2503*(1-ABS(D2503)/(ABS(D2503)+ABS(D2502)))+C2502*(1-ABS(D2502)/(ABS(D2503)+ABS(D2502)))),"")))</f>
        <v>#NAME?</v>
      </c>
    </row>
    <row r="2504" spans="2:5" x14ac:dyDescent="0.25">
      <c r="B2504" t="e">
        <f t="shared" ca="1" si="79"/>
        <v>#NAME?</v>
      </c>
      <c r="C2504">
        <v>2461</v>
      </c>
      <c r="D2504" t="e">
        <f t="shared" ca="1" si="78"/>
        <v>#NAME?</v>
      </c>
      <c r="E2504" s="115" t="e">
        <f t="array" aca="1" ref="E2504" ca="1">IF(OR(C2503=0,AND(B2505=0,C2505=0)),"",IFERROR(INDEX($F$27:$F$36,MATCH(C2504,($F$27:$F$36)*($D$27:$D$36&lt;&gt;0),0)),IF(OR(AND(D2504=0,B2504=0,B2505&lt;&gt;0),AND(D2504*D2503&lt;0,B2504&lt;&gt;0)),IF(D2504=0,C2504,C2504*(1-ABS(D2504)/(ABS(D2504)+ABS(D2503)))+C2503*(1-ABS(D2503)/(ABS(D2504)+ABS(D2503)))),"")))</f>
        <v>#NAME?</v>
      </c>
    </row>
    <row r="2505" spans="2:5" x14ac:dyDescent="0.25">
      <c r="B2505" t="e">
        <f t="shared" ca="1" si="79"/>
        <v>#NAME?</v>
      </c>
      <c r="C2505">
        <v>2462</v>
      </c>
      <c r="D2505" t="e">
        <f t="shared" ca="1" si="78"/>
        <v>#NAME?</v>
      </c>
      <c r="E2505" s="115" t="e">
        <f t="array" aca="1" ref="E2505" ca="1">IF(OR(C2504=0,AND(B2506=0,C2506=0)),"",IFERROR(INDEX($F$27:$F$36,MATCH(C2505,($F$27:$F$36)*($D$27:$D$36&lt;&gt;0),0)),IF(OR(AND(D2505=0,B2505=0,B2506&lt;&gt;0),AND(D2505*D2504&lt;0,B2505&lt;&gt;0)),IF(D2505=0,C2505,C2505*(1-ABS(D2505)/(ABS(D2505)+ABS(D2504)))+C2504*(1-ABS(D2504)/(ABS(D2505)+ABS(D2504)))),"")))</f>
        <v>#NAME?</v>
      </c>
    </row>
    <row r="2506" spans="2:5" x14ac:dyDescent="0.25">
      <c r="B2506" t="e">
        <f t="shared" ca="1" si="79"/>
        <v>#NAME?</v>
      </c>
      <c r="C2506">
        <v>2463</v>
      </c>
      <c r="D2506" t="e">
        <f t="shared" ca="1" si="78"/>
        <v>#NAME?</v>
      </c>
      <c r="E2506" s="115" t="e">
        <f t="array" aca="1" ref="E2506" ca="1">IF(OR(C2505=0,AND(B2507=0,C2507=0)),"",IFERROR(INDEX($F$27:$F$36,MATCH(C2506,($F$27:$F$36)*($D$27:$D$36&lt;&gt;0),0)),IF(OR(AND(D2506=0,B2506=0,B2507&lt;&gt;0),AND(D2506*D2505&lt;0,B2506&lt;&gt;0)),IF(D2506=0,C2506,C2506*(1-ABS(D2506)/(ABS(D2506)+ABS(D2505)))+C2505*(1-ABS(D2505)/(ABS(D2506)+ABS(D2505)))),"")))</f>
        <v>#NAME?</v>
      </c>
    </row>
    <row r="2507" spans="2:5" x14ac:dyDescent="0.25">
      <c r="B2507" t="e">
        <f t="shared" ca="1" si="79"/>
        <v>#NAME?</v>
      </c>
      <c r="C2507">
        <v>2464</v>
      </c>
      <c r="D2507" t="e">
        <f t="shared" ca="1" si="78"/>
        <v>#NAME?</v>
      </c>
      <c r="E2507" s="115" t="e">
        <f t="array" aca="1" ref="E2507" ca="1">IF(OR(C2506=0,AND(B2508=0,C2508=0)),"",IFERROR(INDEX($F$27:$F$36,MATCH(C2507,($F$27:$F$36)*($D$27:$D$36&lt;&gt;0),0)),IF(OR(AND(D2507=0,B2507=0,B2508&lt;&gt;0),AND(D2507*D2506&lt;0,B2507&lt;&gt;0)),IF(D2507=0,C2507,C2507*(1-ABS(D2507)/(ABS(D2507)+ABS(D2506)))+C2506*(1-ABS(D2506)/(ABS(D2507)+ABS(D2506)))),"")))</f>
        <v>#NAME?</v>
      </c>
    </row>
    <row r="2508" spans="2:5" x14ac:dyDescent="0.25">
      <c r="B2508" t="e">
        <f t="shared" ca="1" si="79"/>
        <v>#NAME?</v>
      </c>
      <c r="C2508">
        <v>2465</v>
      </c>
      <c r="D2508" t="e">
        <f t="shared" ca="1" si="78"/>
        <v>#NAME?</v>
      </c>
      <c r="E2508" s="115" t="e">
        <f t="array" aca="1" ref="E2508" ca="1">IF(OR(C2507=0,AND(B2509=0,C2509=0)),"",IFERROR(INDEX($F$27:$F$36,MATCH(C2508,($F$27:$F$36)*($D$27:$D$36&lt;&gt;0),0)),IF(OR(AND(D2508=0,B2508=0,B2509&lt;&gt;0),AND(D2508*D2507&lt;0,B2508&lt;&gt;0)),IF(D2508=0,C2508,C2508*(1-ABS(D2508)/(ABS(D2508)+ABS(D2507)))+C2507*(1-ABS(D2507)/(ABS(D2508)+ABS(D2507)))),"")))</f>
        <v>#NAME?</v>
      </c>
    </row>
    <row r="2509" spans="2:5" x14ac:dyDescent="0.25">
      <c r="B2509" t="e">
        <f t="shared" ca="1" si="79"/>
        <v>#NAME?</v>
      </c>
      <c r="C2509">
        <v>2466</v>
      </c>
      <c r="D2509" t="e">
        <f t="shared" ca="1" si="78"/>
        <v>#NAME?</v>
      </c>
      <c r="E2509" s="115" t="e">
        <f t="array" aca="1" ref="E2509" ca="1">IF(OR(C2508=0,AND(B2510=0,C2510=0)),"",IFERROR(INDEX($F$27:$F$36,MATCH(C2509,($F$27:$F$36)*($D$27:$D$36&lt;&gt;0),0)),IF(OR(AND(D2509=0,B2509=0,B2510&lt;&gt;0),AND(D2509*D2508&lt;0,B2509&lt;&gt;0)),IF(D2509=0,C2509,C2509*(1-ABS(D2509)/(ABS(D2509)+ABS(D2508)))+C2508*(1-ABS(D2508)/(ABS(D2509)+ABS(D2508)))),"")))</f>
        <v>#NAME?</v>
      </c>
    </row>
    <row r="2510" spans="2:5" x14ac:dyDescent="0.25">
      <c r="B2510" t="e">
        <f t="shared" ca="1" si="79"/>
        <v>#NAME?</v>
      </c>
      <c r="C2510">
        <v>2467</v>
      </c>
      <c r="D2510" t="e">
        <f t="shared" ca="1" si="78"/>
        <v>#NAME?</v>
      </c>
      <c r="E2510" s="115" t="e">
        <f t="array" aca="1" ref="E2510" ca="1">IF(OR(C2509=0,AND(B2511=0,C2511=0)),"",IFERROR(INDEX($F$27:$F$36,MATCH(C2510,($F$27:$F$36)*($D$27:$D$36&lt;&gt;0),0)),IF(OR(AND(D2510=0,B2510=0,B2511&lt;&gt;0),AND(D2510*D2509&lt;0,B2510&lt;&gt;0)),IF(D2510=0,C2510,C2510*(1-ABS(D2510)/(ABS(D2510)+ABS(D2509)))+C2509*(1-ABS(D2509)/(ABS(D2510)+ABS(D2509)))),"")))</f>
        <v>#NAME?</v>
      </c>
    </row>
    <row r="2511" spans="2:5" x14ac:dyDescent="0.25">
      <c r="B2511" t="e">
        <f t="shared" ca="1" si="79"/>
        <v>#NAME?</v>
      </c>
      <c r="C2511">
        <v>2468</v>
      </c>
      <c r="D2511" t="e">
        <f t="shared" ca="1" si="78"/>
        <v>#NAME?</v>
      </c>
      <c r="E2511" s="115" t="e">
        <f t="array" aca="1" ref="E2511" ca="1">IF(OR(C2510=0,AND(B2512=0,C2512=0)),"",IFERROR(INDEX($F$27:$F$36,MATCH(C2511,($F$27:$F$36)*($D$27:$D$36&lt;&gt;0),0)),IF(OR(AND(D2511=0,B2511=0,B2512&lt;&gt;0),AND(D2511*D2510&lt;0,B2511&lt;&gt;0)),IF(D2511=0,C2511,C2511*(1-ABS(D2511)/(ABS(D2511)+ABS(D2510)))+C2510*(1-ABS(D2510)/(ABS(D2511)+ABS(D2510)))),"")))</f>
        <v>#NAME?</v>
      </c>
    </row>
    <row r="2512" spans="2:5" x14ac:dyDescent="0.25">
      <c r="B2512" t="e">
        <f t="shared" ca="1" si="79"/>
        <v>#NAME?</v>
      </c>
      <c r="C2512">
        <v>2469</v>
      </c>
      <c r="D2512" t="e">
        <f t="shared" ca="1" si="78"/>
        <v>#NAME?</v>
      </c>
      <c r="E2512" s="115" t="e">
        <f t="array" aca="1" ref="E2512" ca="1">IF(OR(C2511=0,AND(B2513=0,C2513=0)),"",IFERROR(INDEX($F$27:$F$36,MATCH(C2512,($F$27:$F$36)*($D$27:$D$36&lt;&gt;0),0)),IF(OR(AND(D2512=0,B2512=0,B2513&lt;&gt;0),AND(D2512*D2511&lt;0,B2512&lt;&gt;0)),IF(D2512=0,C2512,C2512*(1-ABS(D2512)/(ABS(D2512)+ABS(D2511)))+C2511*(1-ABS(D2511)/(ABS(D2512)+ABS(D2511)))),"")))</f>
        <v>#NAME?</v>
      </c>
    </row>
    <row r="2513" spans="2:5" x14ac:dyDescent="0.25">
      <c r="B2513" t="e">
        <f t="shared" ca="1" si="79"/>
        <v>#NAME?</v>
      </c>
      <c r="C2513">
        <v>2470</v>
      </c>
      <c r="D2513" t="e">
        <f t="shared" ca="1" si="78"/>
        <v>#NAME?</v>
      </c>
      <c r="E2513" s="115" t="e">
        <f t="array" aca="1" ref="E2513" ca="1">IF(OR(C2512=0,AND(B2514=0,C2514=0)),"",IFERROR(INDEX($F$27:$F$36,MATCH(C2513,($F$27:$F$36)*($D$27:$D$36&lt;&gt;0),0)),IF(OR(AND(D2513=0,B2513=0,B2514&lt;&gt;0),AND(D2513*D2512&lt;0,B2513&lt;&gt;0)),IF(D2513=0,C2513,C2513*(1-ABS(D2513)/(ABS(D2513)+ABS(D2512)))+C2512*(1-ABS(D2512)/(ABS(D2513)+ABS(D2512)))),"")))</f>
        <v>#NAME?</v>
      </c>
    </row>
    <row r="2514" spans="2:5" x14ac:dyDescent="0.25">
      <c r="B2514" t="e">
        <f t="shared" ca="1" si="79"/>
        <v>#NAME?</v>
      </c>
      <c r="C2514">
        <v>2471</v>
      </c>
      <c r="D2514" t="e">
        <f t="shared" ca="1" si="78"/>
        <v>#NAME?</v>
      </c>
      <c r="E2514" s="115" t="e">
        <f t="array" aca="1" ref="E2514" ca="1">IF(OR(C2513=0,AND(B2515=0,C2515=0)),"",IFERROR(INDEX($F$27:$F$36,MATCH(C2514,($F$27:$F$36)*($D$27:$D$36&lt;&gt;0),0)),IF(OR(AND(D2514=0,B2514=0,B2515&lt;&gt;0),AND(D2514*D2513&lt;0,B2514&lt;&gt;0)),IF(D2514=0,C2514,C2514*(1-ABS(D2514)/(ABS(D2514)+ABS(D2513)))+C2513*(1-ABS(D2513)/(ABS(D2514)+ABS(D2513)))),"")))</f>
        <v>#NAME?</v>
      </c>
    </row>
    <row r="2515" spans="2:5" x14ac:dyDescent="0.25">
      <c r="B2515" t="e">
        <f t="shared" ca="1" si="79"/>
        <v>#NAME?</v>
      </c>
      <c r="C2515">
        <v>2472</v>
      </c>
      <c r="D2515" t="e">
        <f t="shared" ca="1" si="78"/>
        <v>#NAME?</v>
      </c>
      <c r="E2515" s="115" t="e">
        <f t="array" aca="1" ref="E2515" ca="1">IF(OR(C2514=0,AND(B2516=0,C2516=0)),"",IFERROR(INDEX($F$27:$F$36,MATCH(C2515,($F$27:$F$36)*($D$27:$D$36&lt;&gt;0),0)),IF(OR(AND(D2515=0,B2515=0,B2516&lt;&gt;0),AND(D2515*D2514&lt;0,B2515&lt;&gt;0)),IF(D2515=0,C2515,C2515*(1-ABS(D2515)/(ABS(D2515)+ABS(D2514)))+C2514*(1-ABS(D2514)/(ABS(D2515)+ABS(D2514)))),"")))</f>
        <v>#NAME?</v>
      </c>
    </row>
    <row r="2516" spans="2:5" x14ac:dyDescent="0.25">
      <c r="B2516" t="e">
        <f t="shared" ca="1" si="79"/>
        <v>#NAME?</v>
      </c>
      <c r="C2516">
        <v>2473</v>
      </c>
      <c r="D2516" t="e">
        <f t="shared" ca="1" si="78"/>
        <v>#NAME?</v>
      </c>
      <c r="E2516" s="115" t="e">
        <f t="array" aca="1" ref="E2516" ca="1">IF(OR(C2515=0,AND(B2517=0,C2517=0)),"",IFERROR(INDEX($F$27:$F$36,MATCH(C2516,($F$27:$F$36)*($D$27:$D$36&lt;&gt;0),0)),IF(OR(AND(D2516=0,B2516=0,B2517&lt;&gt;0),AND(D2516*D2515&lt;0,B2516&lt;&gt;0)),IF(D2516=0,C2516,C2516*(1-ABS(D2516)/(ABS(D2516)+ABS(D2515)))+C2515*(1-ABS(D2515)/(ABS(D2516)+ABS(D2515)))),"")))</f>
        <v>#NAME?</v>
      </c>
    </row>
    <row r="2517" spans="2:5" x14ac:dyDescent="0.25">
      <c r="B2517" t="e">
        <f t="shared" ca="1" si="79"/>
        <v>#NAME?</v>
      </c>
      <c r="C2517">
        <v>2474</v>
      </c>
      <c r="D2517" t="e">
        <f t="shared" ca="1" si="78"/>
        <v>#NAME?</v>
      </c>
      <c r="E2517" s="115" t="e">
        <f t="array" aca="1" ref="E2517" ca="1">IF(OR(C2516=0,AND(B2518=0,C2518=0)),"",IFERROR(INDEX($F$27:$F$36,MATCH(C2517,($F$27:$F$36)*($D$27:$D$36&lt;&gt;0),0)),IF(OR(AND(D2517=0,B2517=0,B2518&lt;&gt;0),AND(D2517*D2516&lt;0,B2517&lt;&gt;0)),IF(D2517=0,C2517,C2517*(1-ABS(D2517)/(ABS(D2517)+ABS(D2516)))+C2516*(1-ABS(D2516)/(ABS(D2517)+ABS(D2516)))),"")))</f>
        <v>#NAME?</v>
      </c>
    </row>
    <row r="2518" spans="2:5" x14ac:dyDescent="0.25">
      <c r="B2518" t="e">
        <f t="shared" ca="1" si="79"/>
        <v>#NAME?</v>
      </c>
      <c r="C2518">
        <v>2475</v>
      </c>
      <c r="D2518" t="e">
        <f t="shared" ca="1" si="78"/>
        <v>#NAME?</v>
      </c>
      <c r="E2518" s="115" t="e">
        <f t="array" aca="1" ref="E2518" ca="1">IF(OR(C2517=0,AND(B2519=0,C2519=0)),"",IFERROR(INDEX($F$27:$F$36,MATCH(C2518,($F$27:$F$36)*($D$27:$D$36&lt;&gt;0),0)),IF(OR(AND(D2518=0,B2518=0,B2519&lt;&gt;0),AND(D2518*D2517&lt;0,B2518&lt;&gt;0)),IF(D2518=0,C2518,C2518*(1-ABS(D2518)/(ABS(D2518)+ABS(D2517)))+C2517*(1-ABS(D2517)/(ABS(D2518)+ABS(D2517)))),"")))</f>
        <v>#NAME?</v>
      </c>
    </row>
    <row r="2519" spans="2:5" x14ac:dyDescent="0.25">
      <c r="B2519" t="e">
        <f t="shared" ca="1" si="79"/>
        <v>#NAME?</v>
      </c>
      <c r="C2519">
        <v>2476</v>
      </c>
      <c r="D2519" t="e">
        <f t="shared" ca="1" si="78"/>
        <v>#NAME?</v>
      </c>
      <c r="E2519" s="115" t="e">
        <f t="array" aca="1" ref="E2519" ca="1">IF(OR(C2518=0,AND(B2520=0,C2520=0)),"",IFERROR(INDEX($F$27:$F$36,MATCH(C2519,($F$27:$F$36)*($D$27:$D$36&lt;&gt;0),0)),IF(OR(AND(D2519=0,B2519=0,B2520&lt;&gt;0),AND(D2519*D2518&lt;0,B2519&lt;&gt;0)),IF(D2519=0,C2519,C2519*(1-ABS(D2519)/(ABS(D2519)+ABS(D2518)))+C2518*(1-ABS(D2518)/(ABS(D2519)+ABS(D2518)))),"")))</f>
        <v>#NAME?</v>
      </c>
    </row>
    <row r="2520" spans="2:5" x14ac:dyDescent="0.25">
      <c r="B2520" t="e">
        <f t="shared" ca="1" si="79"/>
        <v>#NAME?</v>
      </c>
      <c r="C2520">
        <v>2477</v>
      </c>
      <c r="D2520" t="e">
        <f t="shared" ca="1" si="78"/>
        <v>#NAME?</v>
      </c>
      <c r="E2520" s="115" t="e">
        <f t="array" aca="1" ref="E2520" ca="1">IF(OR(C2519=0,AND(B2521=0,C2521=0)),"",IFERROR(INDEX($F$27:$F$36,MATCH(C2520,($F$27:$F$36)*($D$27:$D$36&lt;&gt;0),0)),IF(OR(AND(D2520=0,B2520=0,B2521&lt;&gt;0),AND(D2520*D2519&lt;0,B2520&lt;&gt;0)),IF(D2520=0,C2520,C2520*(1-ABS(D2520)/(ABS(D2520)+ABS(D2519)))+C2519*(1-ABS(D2519)/(ABS(D2520)+ABS(D2519)))),"")))</f>
        <v>#NAME?</v>
      </c>
    </row>
    <row r="2521" spans="2:5" x14ac:dyDescent="0.25">
      <c r="B2521" t="e">
        <f t="shared" ca="1" si="79"/>
        <v>#NAME?</v>
      </c>
      <c r="C2521">
        <v>2478</v>
      </c>
      <c r="D2521" t="e">
        <f t="shared" ca="1" si="78"/>
        <v>#NAME?</v>
      </c>
      <c r="E2521" s="115" t="e">
        <f t="array" aca="1" ref="E2521" ca="1">IF(OR(C2520=0,AND(B2522=0,C2522=0)),"",IFERROR(INDEX($F$27:$F$36,MATCH(C2521,($F$27:$F$36)*($D$27:$D$36&lt;&gt;0),0)),IF(OR(AND(D2521=0,B2521=0,B2522&lt;&gt;0),AND(D2521*D2520&lt;0,B2521&lt;&gt;0)),IF(D2521=0,C2521,C2521*(1-ABS(D2521)/(ABS(D2521)+ABS(D2520)))+C2520*(1-ABS(D2520)/(ABS(D2521)+ABS(D2520)))),"")))</f>
        <v>#NAME?</v>
      </c>
    </row>
    <row r="2522" spans="2:5" x14ac:dyDescent="0.25">
      <c r="B2522" t="e">
        <f t="shared" ca="1" si="79"/>
        <v>#NAME?</v>
      </c>
      <c r="C2522">
        <v>2479</v>
      </c>
      <c r="D2522" t="e">
        <f t="shared" ca="1" si="78"/>
        <v>#NAME?</v>
      </c>
      <c r="E2522" s="115" t="e">
        <f t="array" aca="1" ref="E2522" ca="1">IF(OR(C2521=0,AND(B2523=0,C2523=0)),"",IFERROR(INDEX($F$27:$F$36,MATCH(C2522,($F$27:$F$36)*($D$27:$D$36&lt;&gt;0),0)),IF(OR(AND(D2522=0,B2522=0,B2523&lt;&gt;0),AND(D2522*D2521&lt;0,B2522&lt;&gt;0)),IF(D2522=0,C2522,C2522*(1-ABS(D2522)/(ABS(D2522)+ABS(D2521)))+C2521*(1-ABS(D2521)/(ABS(D2522)+ABS(D2521)))),"")))</f>
        <v>#NAME?</v>
      </c>
    </row>
    <row r="2523" spans="2:5" x14ac:dyDescent="0.25">
      <c r="B2523" t="e">
        <f t="shared" ca="1" si="79"/>
        <v>#NAME?</v>
      </c>
      <c r="C2523">
        <v>2480</v>
      </c>
      <c r="D2523" t="e">
        <f t="shared" ca="1" si="78"/>
        <v>#NAME?</v>
      </c>
      <c r="E2523" s="115" t="e">
        <f t="array" aca="1" ref="E2523" ca="1">IF(OR(C2522=0,AND(B2524=0,C2524=0)),"",IFERROR(INDEX($F$27:$F$36,MATCH(C2523,($F$27:$F$36)*($D$27:$D$36&lt;&gt;0),0)),IF(OR(AND(D2523=0,B2523=0,B2524&lt;&gt;0),AND(D2523*D2522&lt;0,B2523&lt;&gt;0)),IF(D2523=0,C2523,C2523*(1-ABS(D2523)/(ABS(D2523)+ABS(D2522)))+C2522*(1-ABS(D2522)/(ABS(D2523)+ABS(D2522)))),"")))</f>
        <v>#NAME?</v>
      </c>
    </row>
    <row r="2524" spans="2:5" x14ac:dyDescent="0.25">
      <c r="B2524" t="e">
        <f t="shared" ca="1" si="79"/>
        <v>#NAME?</v>
      </c>
      <c r="C2524">
        <v>2481</v>
      </c>
      <c r="D2524" t="e">
        <f t="shared" ca="1" si="78"/>
        <v>#NAME?</v>
      </c>
      <c r="E2524" s="115" t="e">
        <f t="array" aca="1" ref="E2524" ca="1">IF(OR(C2523=0,AND(B2525=0,C2525=0)),"",IFERROR(INDEX($F$27:$F$36,MATCH(C2524,($F$27:$F$36)*($D$27:$D$36&lt;&gt;0),0)),IF(OR(AND(D2524=0,B2524=0,B2525&lt;&gt;0),AND(D2524*D2523&lt;0,B2524&lt;&gt;0)),IF(D2524=0,C2524,C2524*(1-ABS(D2524)/(ABS(D2524)+ABS(D2523)))+C2523*(1-ABS(D2523)/(ABS(D2524)+ABS(D2523)))),"")))</f>
        <v>#NAME?</v>
      </c>
    </row>
    <row r="2525" spans="2:5" x14ac:dyDescent="0.25">
      <c r="B2525" t="e">
        <f t="shared" ca="1" si="79"/>
        <v>#NAME?</v>
      </c>
      <c r="C2525">
        <v>2482</v>
      </c>
      <c r="D2525" t="e">
        <f t="shared" ca="1" si="78"/>
        <v>#NAME?</v>
      </c>
      <c r="E2525" s="115" t="e">
        <f t="array" aca="1" ref="E2525" ca="1">IF(OR(C2524=0,AND(B2526=0,C2526=0)),"",IFERROR(INDEX($F$27:$F$36,MATCH(C2525,($F$27:$F$36)*($D$27:$D$36&lt;&gt;0),0)),IF(OR(AND(D2525=0,B2525=0,B2526&lt;&gt;0),AND(D2525*D2524&lt;0,B2525&lt;&gt;0)),IF(D2525=0,C2525,C2525*(1-ABS(D2525)/(ABS(D2525)+ABS(D2524)))+C2524*(1-ABS(D2524)/(ABS(D2525)+ABS(D2524)))),"")))</f>
        <v>#NAME?</v>
      </c>
    </row>
    <row r="2526" spans="2:5" x14ac:dyDescent="0.25">
      <c r="B2526" t="e">
        <f t="shared" ca="1" si="79"/>
        <v>#NAME?</v>
      </c>
      <c r="C2526">
        <v>2483</v>
      </c>
      <c r="D2526" t="e">
        <f t="shared" ca="1" si="78"/>
        <v>#NAME?</v>
      </c>
      <c r="E2526" s="115" t="e">
        <f t="array" aca="1" ref="E2526" ca="1">IF(OR(C2525=0,AND(B2527=0,C2527=0)),"",IFERROR(INDEX($F$27:$F$36,MATCH(C2526,($F$27:$F$36)*($D$27:$D$36&lt;&gt;0),0)),IF(OR(AND(D2526=0,B2526=0,B2527&lt;&gt;0),AND(D2526*D2525&lt;0,B2526&lt;&gt;0)),IF(D2526=0,C2526,C2526*(1-ABS(D2526)/(ABS(D2526)+ABS(D2525)))+C2525*(1-ABS(D2525)/(ABS(D2526)+ABS(D2525)))),"")))</f>
        <v>#NAME?</v>
      </c>
    </row>
    <row r="2527" spans="2:5" x14ac:dyDescent="0.25">
      <c r="B2527" t="e">
        <f t="shared" ca="1" si="79"/>
        <v>#NAME?</v>
      </c>
      <c r="C2527">
        <v>2484</v>
      </c>
      <c r="D2527" t="e">
        <f t="shared" ca="1" si="78"/>
        <v>#NAME?</v>
      </c>
      <c r="E2527" s="115" t="e">
        <f t="array" aca="1" ref="E2527" ca="1">IF(OR(C2526=0,AND(B2528=0,C2528=0)),"",IFERROR(INDEX($F$27:$F$36,MATCH(C2527,($F$27:$F$36)*($D$27:$D$36&lt;&gt;0),0)),IF(OR(AND(D2527=0,B2527=0,B2528&lt;&gt;0),AND(D2527*D2526&lt;0,B2527&lt;&gt;0)),IF(D2527=0,C2527,C2527*(1-ABS(D2527)/(ABS(D2527)+ABS(D2526)))+C2526*(1-ABS(D2526)/(ABS(D2527)+ABS(D2526)))),"")))</f>
        <v>#NAME?</v>
      </c>
    </row>
    <row r="2528" spans="2:5" x14ac:dyDescent="0.25">
      <c r="B2528" t="e">
        <f t="shared" ca="1" si="79"/>
        <v>#NAME?</v>
      </c>
      <c r="C2528">
        <v>2485</v>
      </c>
      <c r="D2528" t="e">
        <f t="shared" ca="1" si="78"/>
        <v>#NAME?</v>
      </c>
      <c r="E2528" s="115" t="e">
        <f t="array" aca="1" ref="E2528" ca="1">IF(OR(C2527=0,AND(B2529=0,C2529=0)),"",IFERROR(INDEX($F$27:$F$36,MATCH(C2528,($F$27:$F$36)*($D$27:$D$36&lt;&gt;0),0)),IF(OR(AND(D2528=0,B2528=0,B2529&lt;&gt;0),AND(D2528*D2527&lt;0,B2528&lt;&gt;0)),IF(D2528=0,C2528,C2528*(1-ABS(D2528)/(ABS(D2528)+ABS(D2527)))+C2527*(1-ABS(D2527)/(ABS(D2528)+ABS(D2527)))),"")))</f>
        <v>#NAME?</v>
      </c>
    </row>
    <row r="2529" spans="2:5" x14ac:dyDescent="0.25">
      <c r="B2529" t="e">
        <f t="shared" ca="1" si="79"/>
        <v>#NAME?</v>
      </c>
      <c r="C2529">
        <v>2486</v>
      </c>
      <c r="D2529" t="e">
        <f t="shared" ca="1" si="78"/>
        <v>#NAME?</v>
      </c>
      <c r="E2529" s="115" t="e">
        <f t="array" aca="1" ref="E2529" ca="1">IF(OR(C2528=0,AND(B2530=0,C2530=0)),"",IFERROR(INDEX($F$27:$F$36,MATCH(C2529,($F$27:$F$36)*($D$27:$D$36&lt;&gt;0),0)),IF(OR(AND(D2529=0,B2529=0,B2530&lt;&gt;0),AND(D2529*D2528&lt;0,B2529&lt;&gt;0)),IF(D2529=0,C2529,C2529*(1-ABS(D2529)/(ABS(D2529)+ABS(D2528)))+C2528*(1-ABS(D2528)/(ABS(D2529)+ABS(D2528)))),"")))</f>
        <v>#NAME?</v>
      </c>
    </row>
    <row r="2530" spans="2:5" x14ac:dyDescent="0.25">
      <c r="B2530" t="e">
        <f t="shared" ca="1" si="79"/>
        <v>#NAME?</v>
      </c>
      <c r="C2530">
        <v>2487</v>
      </c>
      <c r="D2530" t="e">
        <f t="shared" ca="1" si="78"/>
        <v>#NAME?</v>
      </c>
      <c r="E2530" s="115" t="e">
        <f t="array" aca="1" ref="E2530" ca="1">IF(OR(C2529=0,AND(B2531=0,C2531=0)),"",IFERROR(INDEX($F$27:$F$36,MATCH(C2530,($F$27:$F$36)*($D$27:$D$36&lt;&gt;0),0)),IF(OR(AND(D2530=0,B2530=0,B2531&lt;&gt;0),AND(D2530*D2529&lt;0,B2530&lt;&gt;0)),IF(D2530=0,C2530,C2530*(1-ABS(D2530)/(ABS(D2530)+ABS(D2529)))+C2529*(1-ABS(D2529)/(ABS(D2530)+ABS(D2529)))),"")))</f>
        <v>#NAME?</v>
      </c>
    </row>
    <row r="2531" spans="2:5" x14ac:dyDescent="0.25">
      <c r="B2531" t="e">
        <f t="shared" ca="1" si="79"/>
        <v>#NAME?</v>
      </c>
      <c r="C2531">
        <v>2488</v>
      </c>
      <c r="D2531" t="e">
        <f t="shared" ca="1" si="78"/>
        <v>#NAME?</v>
      </c>
      <c r="E2531" s="115" t="e">
        <f t="array" aca="1" ref="E2531" ca="1">IF(OR(C2530=0,AND(B2532=0,C2532=0)),"",IFERROR(INDEX($F$27:$F$36,MATCH(C2531,($F$27:$F$36)*($D$27:$D$36&lt;&gt;0),0)),IF(OR(AND(D2531=0,B2531=0,B2532&lt;&gt;0),AND(D2531*D2530&lt;0,B2531&lt;&gt;0)),IF(D2531=0,C2531,C2531*(1-ABS(D2531)/(ABS(D2531)+ABS(D2530)))+C2530*(1-ABS(D2530)/(ABS(D2531)+ABS(D2530)))),"")))</f>
        <v>#NAME?</v>
      </c>
    </row>
    <row r="2532" spans="2:5" x14ac:dyDescent="0.25">
      <c r="B2532" t="e">
        <f t="shared" ca="1" si="79"/>
        <v>#NAME?</v>
      </c>
      <c r="C2532">
        <v>2489</v>
      </c>
      <c r="D2532" t="e">
        <f t="shared" ca="1" si="78"/>
        <v>#NAME?</v>
      </c>
      <c r="E2532" s="115" t="e">
        <f t="array" aca="1" ref="E2532" ca="1">IF(OR(C2531=0,AND(B2533=0,C2533=0)),"",IFERROR(INDEX($F$27:$F$36,MATCH(C2532,($F$27:$F$36)*($D$27:$D$36&lt;&gt;0),0)),IF(OR(AND(D2532=0,B2532=0,B2533&lt;&gt;0),AND(D2532*D2531&lt;0,B2532&lt;&gt;0)),IF(D2532=0,C2532,C2532*(1-ABS(D2532)/(ABS(D2532)+ABS(D2531)))+C2531*(1-ABS(D2531)/(ABS(D2532)+ABS(D2531)))),"")))</f>
        <v>#NAME?</v>
      </c>
    </row>
    <row r="2533" spans="2:5" x14ac:dyDescent="0.25">
      <c r="B2533" t="e">
        <f t="shared" ca="1" si="79"/>
        <v>#NAME?</v>
      </c>
      <c r="C2533">
        <v>2490</v>
      </c>
      <c r="D2533" t="e">
        <f t="shared" ca="1" si="78"/>
        <v>#NAME?</v>
      </c>
      <c r="E2533" s="115" t="e">
        <f t="array" aca="1" ref="E2533" ca="1">IF(OR(C2532=0,AND(B2534=0,C2534=0)),"",IFERROR(INDEX($F$27:$F$36,MATCH(C2533,($F$27:$F$36)*($D$27:$D$36&lt;&gt;0),0)),IF(OR(AND(D2533=0,B2533=0,B2534&lt;&gt;0),AND(D2533*D2532&lt;0,B2533&lt;&gt;0)),IF(D2533=0,C2533,C2533*(1-ABS(D2533)/(ABS(D2533)+ABS(D2532)))+C2532*(1-ABS(D2532)/(ABS(D2533)+ABS(D2532)))),"")))</f>
        <v>#NAME?</v>
      </c>
    </row>
    <row r="2534" spans="2:5" x14ac:dyDescent="0.25">
      <c r="B2534" t="e">
        <f t="shared" ca="1" si="79"/>
        <v>#NAME?</v>
      </c>
      <c r="C2534">
        <v>2491</v>
      </c>
      <c r="D2534" t="e">
        <f t="shared" ca="1" si="78"/>
        <v>#NAME?</v>
      </c>
      <c r="E2534" s="115" t="e">
        <f t="array" aca="1" ref="E2534" ca="1">IF(OR(C2533=0,AND(B2535=0,C2535=0)),"",IFERROR(INDEX($F$27:$F$36,MATCH(C2534,($F$27:$F$36)*($D$27:$D$36&lt;&gt;0),0)),IF(OR(AND(D2534=0,B2534=0,B2535&lt;&gt;0),AND(D2534*D2533&lt;0,B2534&lt;&gt;0)),IF(D2534=0,C2534,C2534*(1-ABS(D2534)/(ABS(D2534)+ABS(D2533)))+C2533*(1-ABS(D2533)/(ABS(D2534)+ABS(D2533)))),"")))</f>
        <v>#NAME?</v>
      </c>
    </row>
    <row r="2535" spans="2:5" x14ac:dyDescent="0.25">
      <c r="B2535" t="e">
        <f t="shared" ca="1" si="79"/>
        <v>#NAME?</v>
      </c>
      <c r="C2535">
        <v>2492</v>
      </c>
      <c r="D2535" t="e">
        <f t="shared" ca="1" si="78"/>
        <v>#NAME?</v>
      </c>
      <c r="E2535" s="115" t="e">
        <f t="array" aca="1" ref="E2535" ca="1">IF(OR(C2534=0,AND(B2536=0,C2536=0)),"",IFERROR(INDEX($F$27:$F$36,MATCH(C2535,($F$27:$F$36)*($D$27:$D$36&lt;&gt;0),0)),IF(OR(AND(D2535=0,B2535=0,B2536&lt;&gt;0),AND(D2535*D2534&lt;0,B2535&lt;&gt;0)),IF(D2535=0,C2535,C2535*(1-ABS(D2535)/(ABS(D2535)+ABS(D2534)))+C2534*(1-ABS(D2534)/(ABS(D2535)+ABS(D2534)))),"")))</f>
        <v>#NAME?</v>
      </c>
    </row>
    <row r="2536" spans="2:5" x14ac:dyDescent="0.25">
      <c r="B2536" t="e">
        <f t="shared" ca="1" si="79"/>
        <v>#NAME?</v>
      </c>
      <c r="C2536">
        <v>2493</v>
      </c>
      <c r="D2536" t="e">
        <f t="shared" ca="1" si="78"/>
        <v>#NAME?</v>
      </c>
      <c r="E2536" s="115" t="e">
        <f t="array" aca="1" ref="E2536" ca="1">IF(OR(C2535=0,AND(B2537=0,C2537=0)),"",IFERROR(INDEX($F$27:$F$36,MATCH(C2536,($F$27:$F$36)*($D$27:$D$36&lt;&gt;0),0)),IF(OR(AND(D2536=0,B2536=0,B2537&lt;&gt;0),AND(D2536*D2535&lt;0,B2536&lt;&gt;0)),IF(D2536=0,C2536,C2536*(1-ABS(D2536)/(ABS(D2536)+ABS(D2535)))+C2535*(1-ABS(D2535)/(ABS(D2536)+ABS(D2535)))),"")))</f>
        <v>#NAME?</v>
      </c>
    </row>
    <row r="2537" spans="2:5" x14ac:dyDescent="0.25">
      <c r="B2537" t="e">
        <f t="shared" ca="1" si="79"/>
        <v>#NAME?</v>
      </c>
      <c r="C2537">
        <v>2494</v>
      </c>
      <c r="D2537" t="e">
        <f t="shared" ca="1" si="78"/>
        <v>#NAME?</v>
      </c>
      <c r="E2537" s="115" t="e">
        <f t="array" aca="1" ref="E2537" ca="1">IF(OR(C2536=0,AND(B2538=0,C2538=0)),"",IFERROR(INDEX($F$27:$F$36,MATCH(C2537,($F$27:$F$36)*($D$27:$D$36&lt;&gt;0),0)),IF(OR(AND(D2537=0,B2537=0,B2538&lt;&gt;0),AND(D2537*D2536&lt;0,B2537&lt;&gt;0)),IF(D2537=0,C2537,C2537*(1-ABS(D2537)/(ABS(D2537)+ABS(D2536)))+C2536*(1-ABS(D2536)/(ABS(D2537)+ABS(D2536)))),"")))</f>
        <v>#NAME?</v>
      </c>
    </row>
    <row r="2538" spans="2:5" x14ac:dyDescent="0.25">
      <c r="B2538" t="e">
        <f t="shared" ca="1" si="79"/>
        <v>#NAME?</v>
      </c>
      <c r="C2538">
        <v>2495</v>
      </c>
      <c r="D2538" t="e">
        <f t="shared" ca="1" si="78"/>
        <v>#NAME?</v>
      </c>
      <c r="E2538" s="115" t="e">
        <f t="array" aca="1" ref="E2538" ca="1">IF(OR(C2537=0,AND(B2539=0,C2539=0)),"",IFERROR(INDEX($F$27:$F$36,MATCH(C2538,($F$27:$F$36)*($D$27:$D$36&lt;&gt;0),0)),IF(OR(AND(D2538=0,B2538=0,B2539&lt;&gt;0),AND(D2538*D2537&lt;0,B2538&lt;&gt;0)),IF(D2538=0,C2538,C2538*(1-ABS(D2538)/(ABS(D2538)+ABS(D2537)))+C2537*(1-ABS(D2537)/(ABS(D2538)+ABS(D2537)))),"")))</f>
        <v>#NAME?</v>
      </c>
    </row>
    <row r="2539" spans="2:5" x14ac:dyDescent="0.25">
      <c r="B2539" t="e">
        <f t="shared" ca="1" si="79"/>
        <v>#NAME?</v>
      </c>
      <c r="C2539">
        <v>2496</v>
      </c>
      <c r="D2539" t="e">
        <f t="shared" ref="D2539:D2602" ca="1" si="80">SUMPRODUCT(--($J$27:$J$37&gt;0),--($C2539-$F$27:$F$37&gt;0),($D$27:$D$37),($C2539-$F$27:$F$37))+SUMPRODUCT(--($J$27:$J$37&lt;0),--($F$27:$F$37-$C2539&gt;0),($D$27:$D$37),($F$27:$F$37-$C2539))-SUMPRODUCT($D$27:$D$37,$E$27:$E$37)</f>
        <v>#NAME?</v>
      </c>
      <c r="E2539" s="115" t="e">
        <f t="array" aca="1" ref="E2539" ca="1">IF(OR(C2538=0,AND(B2540=0,C2540=0)),"",IFERROR(INDEX($F$27:$F$36,MATCH(C2539,($F$27:$F$36)*($D$27:$D$36&lt;&gt;0),0)),IF(OR(AND(D2539=0,B2539=0,B2540&lt;&gt;0),AND(D2539*D2538&lt;0,B2539&lt;&gt;0)),IF(D2539=0,C2539,C2539*(1-ABS(D2539)/(ABS(D2539)+ABS(D2538)))+C2538*(1-ABS(D2538)/(ABS(D2539)+ABS(D2538)))),"")))</f>
        <v>#NAME?</v>
      </c>
    </row>
    <row r="2540" spans="2:5" x14ac:dyDescent="0.25">
      <c r="B2540" t="e">
        <f t="shared" ref="B2540:B2603" ca="1" si="81">ROUND((D2540-D2539)/(C2540-C2539),12)</f>
        <v>#NAME?</v>
      </c>
      <c r="C2540">
        <v>2497</v>
      </c>
      <c r="D2540" t="e">
        <f t="shared" ca="1" si="80"/>
        <v>#NAME?</v>
      </c>
      <c r="E2540" s="115" t="e">
        <f t="array" aca="1" ref="E2540" ca="1">IF(OR(C2539=0,AND(B2541=0,C2541=0)),"",IFERROR(INDEX($F$27:$F$36,MATCH(C2540,($F$27:$F$36)*($D$27:$D$36&lt;&gt;0),0)),IF(OR(AND(D2540=0,B2540=0,B2541&lt;&gt;0),AND(D2540*D2539&lt;0,B2540&lt;&gt;0)),IF(D2540=0,C2540,C2540*(1-ABS(D2540)/(ABS(D2540)+ABS(D2539)))+C2539*(1-ABS(D2539)/(ABS(D2540)+ABS(D2539)))),"")))</f>
        <v>#NAME?</v>
      </c>
    </row>
    <row r="2541" spans="2:5" x14ac:dyDescent="0.25">
      <c r="B2541" t="e">
        <f t="shared" ca="1" si="81"/>
        <v>#NAME?</v>
      </c>
      <c r="C2541">
        <v>2498</v>
      </c>
      <c r="D2541" t="e">
        <f t="shared" ca="1" si="80"/>
        <v>#NAME?</v>
      </c>
      <c r="E2541" s="115" t="e">
        <f t="array" aca="1" ref="E2541" ca="1">IF(OR(C2540=0,AND(B2542=0,C2542=0)),"",IFERROR(INDEX($F$27:$F$36,MATCH(C2541,($F$27:$F$36)*($D$27:$D$36&lt;&gt;0),0)),IF(OR(AND(D2541=0,B2541=0,B2542&lt;&gt;0),AND(D2541*D2540&lt;0,B2541&lt;&gt;0)),IF(D2541=0,C2541,C2541*(1-ABS(D2541)/(ABS(D2541)+ABS(D2540)))+C2540*(1-ABS(D2540)/(ABS(D2541)+ABS(D2540)))),"")))</f>
        <v>#NAME?</v>
      </c>
    </row>
    <row r="2542" spans="2:5" x14ac:dyDescent="0.25">
      <c r="B2542" t="e">
        <f t="shared" ca="1" si="81"/>
        <v>#NAME?</v>
      </c>
      <c r="C2542">
        <v>2499</v>
      </c>
      <c r="D2542" t="e">
        <f t="shared" ca="1" si="80"/>
        <v>#NAME?</v>
      </c>
      <c r="E2542" s="115" t="e">
        <f t="array" aca="1" ref="E2542" ca="1">IF(OR(C2541=0,AND(B2543=0,C2543=0)),"",IFERROR(INDEX($F$27:$F$36,MATCH(C2542,($F$27:$F$36)*($D$27:$D$36&lt;&gt;0),0)),IF(OR(AND(D2542=0,B2542=0,B2543&lt;&gt;0),AND(D2542*D2541&lt;0,B2542&lt;&gt;0)),IF(D2542=0,C2542,C2542*(1-ABS(D2542)/(ABS(D2542)+ABS(D2541)))+C2541*(1-ABS(D2541)/(ABS(D2542)+ABS(D2541)))),"")))</f>
        <v>#NAME?</v>
      </c>
    </row>
    <row r="2543" spans="2:5" x14ac:dyDescent="0.25">
      <c r="B2543" t="e">
        <f t="shared" ca="1" si="81"/>
        <v>#NAME?</v>
      </c>
      <c r="C2543">
        <v>2500</v>
      </c>
      <c r="D2543" t="e">
        <f t="shared" ca="1" si="80"/>
        <v>#NAME?</v>
      </c>
      <c r="E2543" s="115" t="e">
        <f t="array" aca="1" ref="E2543" ca="1">IF(OR(C2542=0,AND(B2544=0,C2544=0)),"",IFERROR(INDEX($F$27:$F$36,MATCH(C2543,($F$27:$F$36)*($D$27:$D$36&lt;&gt;0),0)),IF(OR(AND(D2543=0,B2543=0,B2544&lt;&gt;0),AND(D2543*D2542&lt;0,B2543&lt;&gt;0)),IF(D2543=0,C2543,C2543*(1-ABS(D2543)/(ABS(D2543)+ABS(D2542)))+C2542*(1-ABS(D2542)/(ABS(D2543)+ABS(D2542)))),"")))</f>
        <v>#NAME?</v>
      </c>
    </row>
    <row r="2544" spans="2:5" x14ac:dyDescent="0.25">
      <c r="B2544" t="e">
        <f t="shared" ca="1" si="81"/>
        <v>#NAME?</v>
      </c>
      <c r="C2544">
        <v>2501</v>
      </c>
      <c r="D2544" t="e">
        <f t="shared" ca="1" si="80"/>
        <v>#NAME?</v>
      </c>
      <c r="E2544" s="115" t="e">
        <f t="array" aca="1" ref="E2544" ca="1">IF(OR(C2543=0,AND(B2545=0,C2545=0)),"",IFERROR(INDEX($F$27:$F$36,MATCH(C2544,($F$27:$F$36)*($D$27:$D$36&lt;&gt;0),0)),IF(OR(AND(D2544=0,B2544=0,B2545&lt;&gt;0),AND(D2544*D2543&lt;0,B2544&lt;&gt;0)),IF(D2544=0,C2544,C2544*(1-ABS(D2544)/(ABS(D2544)+ABS(D2543)))+C2543*(1-ABS(D2543)/(ABS(D2544)+ABS(D2543)))),"")))</f>
        <v>#NAME?</v>
      </c>
    </row>
    <row r="2545" spans="2:5" x14ac:dyDescent="0.25">
      <c r="B2545" t="e">
        <f t="shared" ca="1" si="81"/>
        <v>#NAME?</v>
      </c>
      <c r="C2545">
        <v>2502</v>
      </c>
      <c r="D2545" t="e">
        <f t="shared" ca="1" si="80"/>
        <v>#NAME?</v>
      </c>
      <c r="E2545" s="115" t="e">
        <f t="array" aca="1" ref="E2545" ca="1">IF(OR(C2544=0,AND(B2546=0,C2546=0)),"",IFERROR(INDEX($F$27:$F$36,MATCH(C2545,($F$27:$F$36)*($D$27:$D$36&lt;&gt;0),0)),IF(OR(AND(D2545=0,B2545=0,B2546&lt;&gt;0),AND(D2545*D2544&lt;0,B2545&lt;&gt;0)),IF(D2545=0,C2545,C2545*(1-ABS(D2545)/(ABS(D2545)+ABS(D2544)))+C2544*(1-ABS(D2544)/(ABS(D2545)+ABS(D2544)))),"")))</f>
        <v>#NAME?</v>
      </c>
    </row>
    <row r="2546" spans="2:5" x14ac:dyDescent="0.25">
      <c r="B2546" t="e">
        <f t="shared" ca="1" si="81"/>
        <v>#NAME?</v>
      </c>
      <c r="C2546">
        <v>2503</v>
      </c>
      <c r="D2546" t="e">
        <f t="shared" ca="1" si="80"/>
        <v>#NAME?</v>
      </c>
      <c r="E2546" s="115" t="e">
        <f t="array" aca="1" ref="E2546" ca="1">IF(OR(C2545=0,AND(B2547=0,C2547=0)),"",IFERROR(INDEX($F$27:$F$36,MATCH(C2546,($F$27:$F$36)*($D$27:$D$36&lt;&gt;0),0)),IF(OR(AND(D2546=0,B2546=0,B2547&lt;&gt;0),AND(D2546*D2545&lt;0,B2546&lt;&gt;0)),IF(D2546=0,C2546,C2546*(1-ABS(D2546)/(ABS(D2546)+ABS(D2545)))+C2545*(1-ABS(D2545)/(ABS(D2546)+ABS(D2545)))),"")))</f>
        <v>#NAME?</v>
      </c>
    </row>
    <row r="2547" spans="2:5" x14ac:dyDescent="0.25">
      <c r="B2547" t="e">
        <f t="shared" ca="1" si="81"/>
        <v>#NAME?</v>
      </c>
      <c r="C2547">
        <v>2504</v>
      </c>
      <c r="D2547" t="e">
        <f t="shared" ca="1" si="80"/>
        <v>#NAME?</v>
      </c>
      <c r="E2547" s="115" t="e">
        <f t="array" aca="1" ref="E2547" ca="1">IF(OR(C2546=0,AND(B2548=0,C2548=0)),"",IFERROR(INDEX($F$27:$F$36,MATCH(C2547,($F$27:$F$36)*($D$27:$D$36&lt;&gt;0),0)),IF(OR(AND(D2547=0,B2547=0,B2548&lt;&gt;0),AND(D2547*D2546&lt;0,B2547&lt;&gt;0)),IF(D2547=0,C2547,C2547*(1-ABS(D2547)/(ABS(D2547)+ABS(D2546)))+C2546*(1-ABS(D2546)/(ABS(D2547)+ABS(D2546)))),"")))</f>
        <v>#NAME?</v>
      </c>
    </row>
    <row r="2548" spans="2:5" x14ac:dyDescent="0.25">
      <c r="B2548" t="e">
        <f t="shared" ca="1" si="81"/>
        <v>#NAME?</v>
      </c>
      <c r="C2548">
        <v>2505</v>
      </c>
      <c r="D2548" t="e">
        <f t="shared" ca="1" si="80"/>
        <v>#NAME?</v>
      </c>
      <c r="E2548" s="115" t="e">
        <f t="array" aca="1" ref="E2548" ca="1">IF(OR(C2547=0,AND(B2549=0,C2549=0)),"",IFERROR(INDEX($F$27:$F$36,MATCH(C2548,($F$27:$F$36)*($D$27:$D$36&lt;&gt;0),0)),IF(OR(AND(D2548=0,B2548=0,B2549&lt;&gt;0),AND(D2548*D2547&lt;0,B2548&lt;&gt;0)),IF(D2548=0,C2548,C2548*(1-ABS(D2548)/(ABS(D2548)+ABS(D2547)))+C2547*(1-ABS(D2547)/(ABS(D2548)+ABS(D2547)))),"")))</f>
        <v>#NAME?</v>
      </c>
    </row>
    <row r="2549" spans="2:5" x14ac:dyDescent="0.25">
      <c r="B2549" t="e">
        <f t="shared" ca="1" si="81"/>
        <v>#NAME?</v>
      </c>
      <c r="C2549">
        <v>2506</v>
      </c>
      <c r="D2549" t="e">
        <f t="shared" ca="1" si="80"/>
        <v>#NAME?</v>
      </c>
      <c r="E2549" s="115" t="e">
        <f t="array" aca="1" ref="E2549" ca="1">IF(OR(C2548=0,AND(B2550=0,C2550=0)),"",IFERROR(INDEX($F$27:$F$36,MATCH(C2549,($F$27:$F$36)*($D$27:$D$36&lt;&gt;0),0)),IF(OR(AND(D2549=0,B2549=0,B2550&lt;&gt;0),AND(D2549*D2548&lt;0,B2549&lt;&gt;0)),IF(D2549=0,C2549,C2549*(1-ABS(D2549)/(ABS(D2549)+ABS(D2548)))+C2548*(1-ABS(D2548)/(ABS(D2549)+ABS(D2548)))),"")))</f>
        <v>#NAME?</v>
      </c>
    </row>
    <row r="2550" spans="2:5" x14ac:dyDescent="0.25">
      <c r="B2550" t="e">
        <f t="shared" ca="1" si="81"/>
        <v>#NAME?</v>
      </c>
      <c r="C2550">
        <v>2507</v>
      </c>
      <c r="D2550" t="e">
        <f t="shared" ca="1" si="80"/>
        <v>#NAME?</v>
      </c>
      <c r="E2550" s="115" t="e">
        <f t="array" aca="1" ref="E2550" ca="1">IF(OR(C2549=0,AND(B2551=0,C2551=0)),"",IFERROR(INDEX($F$27:$F$36,MATCH(C2550,($F$27:$F$36)*($D$27:$D$36&lt;&gt;0),0)),IF(OR(AND(D2550=0,B2550=0,B2551&lt;&gt;0),AND(D2550*D2549&lt;0,B2550&lt;&gt;0)),IF(D2550=0,C2550,C2550*(1-ABS(D2550)/(ABS(D2550)+ABS(D2549)))+C2549*(1-ABS(D2549)/(ABS(D2550)+ABS(D2549)))),"")))</f>
        <v>#NAME?</v>
      </c>
    </row>
    <row r="2551" spans="2:5" x14ac:dyDescent="0.25">
      <c r="B2551" t="e">
        <f t="shared" ca="1" si="81"/>
        <v>#NAME?</v>
      </c>
      <c r="C2551">
        <v>2508</v>
      </c>
      <c r="D2551" t="e">
        <f t="shared" ca="1" si="80"/>
        <v>#NAME?</v>
      </c>
      <c r="E2551" s="115" t="e">
        <f t="array" aca="1" ref="E2551" ca="1">IF(OR(C2550=0,AND(B2552=0,C2552=0)),"",IFERROR(INDEX($F$27:$F$36,MATCH(C2551,($F$27:$F$36)*($D$27:$D$36&lt;&gt;0),0)),IF(OR(AND(D2551=0,B2551=0,B2552&lt;&gt;0),AND(D2551*D2550&lt;0,B2551&lt;&gt;0)),IF(D2551=0,C2551,C2551*(1-ABS(D2551)/(ABS(D2551)+ABS(D2550)))+C2550*(1-ABS(D2550)/(ABS(D2551)+ABS(D2550)))),"")))</f>
        <v>#NAME?</v>
      </c>
    </row>
    <row r="2552" spans="2:5" x14ac:dyDescent="0.25">
      <c r="B2552" t="e">
        <f t="shared" ca="1" si="81"/>
        <v>#NAME?</v>
      </c>
      <c r="C2552">
        <v>2509</v>
      </c>
      <c r="D2552" t="e">
        <f t="shared" ca="1" si="80"/>
        <v>#NAME?</v>
      </c>
      <c r="E2552" s="115" t="e">
        <f t="array" aca="1" ref="E2552" ca="1">IF(OR(C2551=0,AND(B2553=0,C2553=0)),"",IFERROR(INDEX($F$27:$F$36,MATCH(C2552,($F$27:$F$36)*($D$27:$D$36&lt;&gt;0),0)),IF(OR(AND(D2552=0,B2552=0,B2553&lt;&gt;0),AND(D2552*D2551&lt;0,B2552&lt;&gt;0)),IF(D2552=0,C2552,C2552*(1-ABS(D2552)/(ABS(D2552)+ABS(D2551)))+C2551*(1-ABS(D2551)/(ABS(D2552)+ABS(D2551)))),"")))</f>
        <v>#NAME?</v>
      </c>
    </row>
    <row r="2553" spans="2:5" x14ac:dyDescent="0.25">
      <c r="B2553" t="e">
        <f t="shared" ca="1" si="81"/>
        <v>#NAME?</v>
      </c>
      <c r="C2553">
        <v>2510</v>
      </c>
      <c r="D2553" t="e">
        <f t="shared" ca="1" si="80"/>
        <v>#NAME?</v>
      </c>
      <c r="E2553" s="115" t="e">
        <f t="array" aca="1" ref="E2553" ca="1">IF(OR(C2552=0,AND(B2554=0,C2554=0)),"",IFERROR(INDEX($F$27:$F$36,MATCH(C2553,($F$27:$F$36)*($D$27:$D$36&lt;&gt;0),0)),IF(OR(AND(D2553=0,B2553=0,B2554&lt;&gt;0),AND(D2553*D2552&lt;0,B2553&lt;&gt;0)),IF(D2553=0,C2553,C2553*(1-ABS(D2553)/(ABS(D2553)+ABS(D2552)))+C2552*(1-ABS(D2552)/(ABS(D2553)+ABS(D2552)))),"")))</f>
        <v>#NAME?</v>
      </c>
    </row>
    <row r="2554" spans="2:5" x14ac:dyDescent="0.25">
      <c r="B2554" t="e">
        <f t="shared" ca="1" si="81"/>
        <v>#NAME?</v>
      </c>
      <c r="C2554">
        <v>2511</v>
      </c>
      <c r="D2554" t="e">
        <f t="shared" ca="1" si="80"/>
        <v>#NAME?</v>
      </c>
      <c r="E2554" s="115" t="e">
        <f t="array" aca="1" ref="E2554" ca="1">IF(OR(C2553=0,AND(B2555=0,C2555=0)),"",IFERROR(INDEX($F$27:$F$36,MATCH(C2554,($F$27:$F$36)*($D$27:$D$36&lt;&gt;0),0)),IF(OR(AND(D2554=0,B2554=0,B2555&lt;&gt;0),AND(D2554*D2553&lt;0,B2554&lt;&gt;0)),IF(D2554=0,C2554,C2554*(1-ABS(D2554)/(ABS(D2554)+ABS(D2553)))+C2553*(1-ABS(D2553)/(ABS(D2554)+ABS(D2553)))),"")))</f>
        <v>#NAME?</v>
      </c>
    </row>
    <row r="2555" spans="2:5" x14ac:dyDescent="0.25">
      <c r="B2555" t="e">
        <f t="shared" ca="1" si="81"/>
        <v>#NAME?</v>
      </c>
      <c r="C2555">
        <v>2512</v>
      </c>
      <c r="D2555" t="e">
        <f t="shared" ca="1" si="80"/>
        <v>#NAME?</v>
      </c>
      <c r="E2555" s="115" t="e">
        <f t="array" aca="1" ref="E2555" ca="1">IF(OR(C2554=0,AND(B2556=0,C2556=0)),"",IFERROR(INDEX($F$27:$F$36,MATCH(C2555,($F$27:$F$36)*($D$27:$D$36&lt;&gt;0),0)),IF(OR(AND(D2555=0,B2555=0,B2556&lt;&gt;0),AND(D2555*D2554&lt;0,B2555&lt;&gt;0)),IF(D2555=0,C2555,C2555*(1-ABS(D2555)/(ABS(D2555)+ABS(D2554)))+C2554*(1-ABS(D2554)/(ABS(D2555)+ABS(D2554)))),"")))</f>
        <v>#NAME?</v>
      </c>
    </row>
    <row r="2556" spans="2:5" x14ac:dyDescent="0.25">
      <c r="B2556" t="e">
        <f t="shared" ca="1" si="81"/>
        <v>#NAME?</v>
      </c>
      <c r="C2556">
        <v>2513</v>
      </c>
      <c r="D2556" t="e">
        <f t="shared" ca="1" si="80"/>
        <v>#NAME?</v>
      </c>
      <c r="E2556" s="115" t="e">
        <f t="array" aca="1" ref="E2556" ca="1">IF(OR(C2555=0,AND(B2557=0,C2557=0)),"",IFERROR(INDEX($F$27:$F$36,MATCH(C2556,($F$27:$F$36)*($D$27:$D$36&lt;&gt;0),0)),IF(OR(AND(D2556=0,B2556=0,B2557&lt;&gt;0),AND(D2556*D2555&lt;0,B2556&lt;&gt;0)),IF(D2556=0,C2556,C2556*(1-ABS(D2556)/(ABS(D2556)+ABS(D2555)))+C2555*(1-ABS(D2555)/(ABS(D2556)+ABS(D2555)))),"")))</f>
        <v>#NAME?</v>
      </c>
    </row>
    <row r="2557" spans="2:5" x14ac:dyDescent="0.25">
      <c r="B2557" t="e">
        <f t="shared" ca="1" si="81"/>
        <v>#NAME?</v>
      </c>
      <c r="C2557">
        <v>2514</v>
      </c>
      <c r="D2557" t="e">
        <f t="shared" ca="1" si="80"/>
        <v>#NAME?</v>
      </c>
      <c r="E2557" s="115" t="e">
        <f t="array" aca="1" ref="E2557" ca="1">IF(OR(C2556=0,AND(B2558=0,C2558=0)),"",IFERROR(INDEX($F$27:$F$36,MATCH(C2557,($F$27:$F$36)*($D$27:$D$36&lt;&gt;0),0)),IF(OR(AND(D2557=0,B2557=0,B2558&lt;&gt;0),AND(D2557*D2556&lt;0,B2557&lt;&gt;0)),IF(D2557=0,C2557,C2557*(1-ABS(D2557)/(ABS(D2557)+ABS(D2556)))+C2556*(1-ABS(D2556)/(ABS(D2557)+ABS(D2556)))),"")))</f>
        <v>#NAME?</v>
      </c>
    </row>
    <row r="2558" spans="2:5" x14ac:dyDescent="0.25">
      <c r="B2558" t="e">
        <f t="shared" ca="1" si="81"/>
        <v>#NAME?</v>
      </c>
      <c r="C2558">
        <v>2515</v>
      </c>
      <c r="D2558" t="e">
        <f t="shared" ca="1" si="80"/>
        <v>#NAME?</v>
      </c>
      <c r="E2558" s="115" t="e">
        <f t="array" aca="1" ref="E2558" ca="1">IF(OR(C2557=0,AND(B2559=0,C2559=0)),"",IFERROR(INDEX($F$27:$F$36,MATCH(C2558,($F$27:$F$36)*($D$27:$D$36&lt;&gt;0),0)),IF(OR(AND(D2558=0,B2558=0,B2559&lt;&gt;0),AND(D2558*D2557&lt;0,B2558&lt;&gt;0)),IF(D2558=0,C2558,C2558*(1-ABS(D2558)/(ABS(D2558)+ABS(D2557)))+C2557*(1-ABS(D2557)/(ABS(D2558)+ABS(D2557)))),"")))</f>
        <v>#NAME?</v>
      </c>
    </row>
    <row r="2559" spans="2:5" x14ac:dyDescent="0.25">
      <c r="B2559" t="e">
        <f t="shared" ca="1" si="81"/>
        <v>#NAME?</v>
      </c>
      <c r="C2559">
        <v>2516</v>
      </c>
      <c r="D2559" t="e">
        <f t="shared" ca="1" si="80"/>
        <v>#NAME?</v>
      </c>
      <c r="E2559" s="115" t="e">
        <f t="array" aca="1" ref="E2559" ca="1">IF(OR(C2558=0,AND(B2560=0,C2560=0)),"",IFERROR(INDEX($F$27:$F$36,MATCH(C2559,($F$27:$F$36)*($D$27:$D$36&lt;&gt;0),0)),IF(OR(AND(D2559=0,B2559=0,B2560&lt;&gt;0),AND(D2559*D2558&lt;0,B2559&lt;&gt;0)),IF(D2559=0,C2559,C2559*(1-ABS(D2559)/(ABS(D2559)+ABS(D2558)))+C2558*(1-ABS(D2558)/(ABS(D2559)+ABS(D2558)))),"")))</f>
        <v>#NAME?</v>
      </c>
    </row>
    <row r="2560" spans="2:5" x14ac:dyDescent="0.25">
      <c r="B2560" t="e">
        <f t="shared" ca="1" si="81"/>
        <v>#NAME?</v>
      </c>
      <c r="C2560">
        <v>2517</v>
      </c>
      <c r="D2560" t="e">
        <f t="shared" ca="1" si="80"/>
        <v>#NAME?</v>
      </c>
      <c r="E2560" s="115" t="e">
        <f t="array" aca="1" ref="E2560" ca="1">IF(OR(C2559=0,AND(B2561=0,C2561=0)),"",IFERROR(INDEX($F$27:$F$36,MATCH(C2560,($F$27:$F$36)*($D$27:$D$36&lt;&gt;0),0)),IF(OR(AND(D2560=0,B2560=0,B2561&lt;&gt;0),AND(D2560*D2559&lt;0,B2560&lt;&gt;0)),IF(D2560=0,C2560,C2560*(1-ABS(D2560)/(ABS(D2560)+ABS(D2559)))+C2559*(1-ABS(D2559)/(ABS(D2560)+ABS(D2559)))),"")))</f>
        <v>#NAME?</v>
      </c>
    </row>
    <row r="2561" spans="2:5" x14ac:dyDescent="0.25">
      <c r="B2561" t="e">
        <f t="shared" ca="1" si="81"/>
        <v>#NAME?</v>
      </c>
      <c r="C2561">
        <v>2518</v>
      </c>
      <c r="D2561" t="e">
        <f t="shared" ca="1" si="80"/>
        <v>#NAME?</v>
      </c>
      <c r="E2561" s="115" t="e">
        <f t="array" aca="1" ref="E2561" ca="1">IF(OR(C2560=0,AND(B2562=0,C2562=0)),"",IFERROR(INDEX($F$27:$F$36,MATCH(C2561,($F$27:$F$36)*($D$27:$D$36&lt;&gt;0),0)),IF(OR(AND(D2561=0,B2561=0,B2562&lt;&gt;0),AND(D2561*D2560&lt;0,B2561&lt;&gt;0)),IF(D2561=0,C2561,C2561*(1-ABS(D2561)/(ABS(D2561)+ABS(D2560)))+C2560*(1-ABS(D2560)/(ABS(D2561)+ABS(D2560)))),"")))</f>
        <v>#NAME?</v>
      </c>
    </row>
    <row r="2562" spans="2:5" x14ac:dyDescent="0.25">
      <c r="B2562" t="e">
        <f t="shared" ca="1" si="81"/>
        <v>#NAME?</v>
      </c>
      <c r="C2562">
        <v>2519</v>
      </c>
      <c r="D2562" t="e">
        <f t="shared" ca="1" si="80"/>
        <v>#NAME?</v>
      </c>
      <c r="E2562" s="115" t="e">
        <f t="array" aca="1" ref="E2562" ca="1">IF(OR(C2561=0,AND(B2563=0,C2563=0)),"",IFERROR(INDEX($F$27:$F$36,MATCH(C2562,($F$27:$F$36)*($D$27:$D$36&lt;&gt;0),0)),IF(OR(AND(D2562=0,B2562=0,B2563&lt;&gt;0),AND(D2562*D2561&lt;0,B2562&lt;&gt;0)),IF(D2562=0,C2562,C2562*(1-ABS(D2562)/(ABS(D2562)+ABS(D2561)))+C2561*(1-ABS(D2561)/(ABS(D2562)+ABS(D2561)))),"")))</f>
        <v>#NAME?</v>
      </c>
    </row>
    <row r="2563" spans="2:5" x14ac:dyDescent="0.25">
      <c r="B2563" t="e">
        <f t="shared" ca="1" si="81"/>
        <v>#NAME?</v>
      </c>
      <c r="C2563">
        <v>2520</v>
      </c>
      <c r="D2563" t="e">
        <f t="shared" ca="1" si="80"/>
        <v>#NAME?</v>
      </c>
      <c r="E2563" s="115" t="e">
        <f t="array" aca="1" ref="E2563" ca="1">IF(OR(C2562=0,AND(B2564=0,C2564=0)),"",IFERROR(INDEX($F$27:$F$36,MATCH(C2563,($F$27:$F$36)*($D$27:$D$36&lt;&gt;0),0)),IF(OR(AND(D2563=0,B2563=0,B2564&lt;&gt;0),AND(D2563*D2562&lt;0,B2563&lt;&gt;0)),IF(D2563=0,C2563,C2563*(1-ABS(D2563)/(ABS(D2563)+ABS(D2562)))+C2562*(1-ABS(D2562)/(ABS(D2563)+ABS(D2562)))),"")))</f>
        <v>#NAME?</v>
      </c>
    </row>
    <row r="2564" spans="2:5" x14ac:dyDescent="0.25">
      <c r="B2564" t="e">
        <f t="shared" ca="1" si="81"/>
        <v>#NAME?</v>
      </c>
      <c r="C2564">
        <v>2521</v>
      </c>
      <c r="D2564" t="e">
        <f t="shared" ca="1" si="80"/>
        <v>#NAME?</v>
      </c>
      <c r="E2564" s="115" t="e">
        <f t="array" aca="1" ref="E2564" ca="1">IF(OR(C2563=0,AND(B2565=0,C2565=0)),"",IFERROR(INDEX($F$27:$F$36,MATCH(C2564,($F$27:$F$36)*($D$27:$D$36&lt;&gt;0),0)),IF(OR(AND(D2564=0,B2564=0,B2565&lt;&gt;0),AND(D2564*D2563&lt;0,B2564&lt;&gt;0)),IF(D2564=0,C2564,C2564*(1-ABS(D2564)/(ABS(D2564)+ABS(D2563)))+C2563*(1-ABS(D2563)/(ABS(D2564)+ABS(D2563)))),"")))</f>
        <v>#NAME?</v>
      </c>
    </row>
    <row r="2565" spans="2:5" x14ac:dyDescent="0.25">
      <c r="B2565" t="e">
        <f t="shared" ca="1" si="81"/>
        <v>#NAME?</v>
      </c>
      <c r="C2565">
        <v>2522</v>
      </c>
      <c r="D2565" t="e">
        <f t="shared" ca="1" si="80"/>
        <v>#NAME?</v>
      </c>
      <c r="E2565" s="115" t="e">
        <f t="array" aca="1" ref="E2565" ca="1">IF(OR(C2564=0,AND(B2566=0,C2566=0)),"",IFERROR(INDEX($F$27:$F$36,MATCH(C2565,($F$27:$F$36)*($D$27:$D$36&lt;&gt;0),0)),IF(OR(AND(D2565=0,B2565=0,B2566&lt;&gt;0),AND(D2565*D2564&lt;0,B2565&lt;&gt;0)),IF(D2565=0,C2565,C2565*(1-ABS(D2565)/(ABS(D2565)+ABS(D2564)))+C2564*(1-ABS(D2564)/(ABS(D2565)+ABS(D2564)))),"")))</f>
        <v>#NAME?</v>
      </c>
    </row>
    <row r="2566" spans="2:5" x14ac:dyDescent="0.25">
      <c r="B2566" t="e">
        <f t="shared" ca="1" si="81"/>
        <v>#NAME?</v>
      </c>
      <c r="C2566">
        <v>2523</v>
      </c>
      <c r="D2566" t="e">
        <f t="shared" ca="1" si="80"/>
        <v>#NAME?</v>
      </c>
      <c r="E2566" s="115" t="e">
        <f t="array" aca="1" ref="E2566" ca="1">IF(OR(C2565=0,AND(B2567=0,C2567=0)),"",IFERROR(INDEX($F$27:$F$36,MATCH(C2566,($F$27:$F$36)*($D$27:$D$36&lt;&gt;0),0)),IF(OR(AND(D2566=0,B2566=0,B2567&lt;&gt;0),AND(D2566*D2565&lt;0,B2566&lt;&gt;0)),IF(D2566=0,C2566,C2566*(1-ABS(D2566)/(ABS(D2566)+ABS(D2565)))+C2565*(1-ABS(D2565)/(ABS(D2566)+ABS(D2565)))),"")))</f>
        <v>#NAME?</v>
      </c>
    </row>
    <row r="2567" spans="2:5" x14ac:dyDescent="0.25">
      <c r="B2567" t="e">
        <f t="shared" ca="1" si="81"/>
        <v>#NAME?</v>
      </c>
      <c r="C2567">
        <v>2524</v>
      </c>
      <c r="D2567" t="e">
        <f t="shared" ca="1" si="80"/>
        <v>#NAME?</v>
      </c>
      <c r="E2567" s="115" t="e">
        <f t="array" aca="1" ref="E2567" ca="1">IF(OR(C2566=0,AND(B2568=0,C2568=0)),"",IFERROR(INDEX($F$27:$F$36,MATCH(C2567,($F$27:$F$36)*($D$27:$D$36&lt;&gt;0),0)),IF(OR(AND(D2567=0,B2567=0,B2568&lt;&gt;0),AND(D2567*D2566&lt;0,B2567&lt;&gt;0)),IF(D2567=0,C2567,C2567*(1-ABS(D2567)/(ABS(D2567)+ABS(D2566)))+C2566*(1-ABS(D2566)/(ABS(D2567)+ABS(D2566)))),"")))</f>
        <v>#NAME?</v>
      </c>
    </row>
    <row r="2568" spans="2:5" x14ac:dyDescent="0.25">
      <c r="B2568" t="e">
        <f t="shared" ca="1" si="81"/>
        <v>#NAME?</v>
      </c>
      <c r="C2568">
        <v>2525</v>
      </c>
      <c r="D2568" t="e">
        <f t="shared" ca="1" si="80"/>
        <v>#NAME?</v>
      </c>
      <c r="E2568" s="115" t="e">
        <f t="array" aca="1" ref="E2568" ca="1">IF(OR(C2567=0,AND(B2569=0,C2569=0)),"",IFERROR(INDEX($F$27:$F$36,MATCH(C2568,($F$27:$F$36)*($D$27:$D$36&lt;&gt;0),0)),IF(OR(AND(D2568=0,B2568=0,B2569&lt;&gt;0),AND(D2568*D2567&lt;0,B2568&lt;&gt;0)),IF(D2568=0,C2568,C2568*(1-ABS(D2568)/(ABS(D2568)+ABS(D2567)))+C2567*(1-ABS(D2567)/(ABS(D2568)+ABS(D2567)))),"")))</f>
        <v>#NAME?</v>
      </c>
    </row>
    <row r="2569" spans="2:5" x14ac:dyDescent="0.25">
      <c r="B2569" t="e">
        <f t="shared" ca="1" si="81"/>
        <v>#NAME?</v>
      </c>
      <c r="C2569">
        <v>2526</v>
      </c>
      <c r="D2569" t="e">
        <f t="shared" ca="1" si="80"/>
        <v>#NAME?</v>
      </c>
      <c r="E2569" s="115" t="e">
        <f t="array" aca="1" ref="E2569" ca="1">IF(OR(C2568=0,AND(B2570=0,C2570=0)),"",IFERROR(INDEX($F$27:$F$36,MATCH(C2569,($F$27:$F$36)*($D$27:$D$36&lt;&gt;0),0)),IF(OR(AND(D2569=0,B2569=0,B2570&lt;&gt;0),AND(D2569*D2568&lt;0,B2569&lt;&gt;0)),IF(D2569=0,C2569,C2569*(1-ABS(D2569)/(ABS(D2569)+ABS(D2568)))+C2568*(1-ABS(D2568)/(ABS(D2569)+ABS(D2568)))),"")))</f>
        <v>#NAME?</v>
      </c>
    </row>
    <row r="2570" spans="2:5" x14ac:dyDescent="0.25">
      <c r="B2570" t="e">
        <f t="shared" ca="1" si="81"/>
        <v>#NAME?</v>
      </c>
      <c r="C2570">
        <v>2527</v>
      </c>
      <c r="D2570" t="e">
        <f t="shared" ca="1" si="80"/>
        <v>#NAME?</v>
      </c>
      <c r="E2570" s="115" t="e">
        <f t="array" aca="1" ref="E2570" ca="1">IF(OR(C2569=0,AND(B2571=0,C2571=0)),"",IFERROR(INDEX($F$27:$F$36,MATCH(C2570,($F$27:$F$36)*($D$27:$D$36&lt;&gt;0),0)),IF(OR(AND(D2570=0,B2570=0,B2571&lt;&gt;0),AND(D2570*D2569&lt;0,B2570&lt;&gt;0)),IF(D2570=0,C2570,C2570*(1-ABS(D2570)/(ABS(D2570)+ABS(D2569)))+C2569*(1-ABS(D2569)/(ABS(D2570)+ABS(D2569)))),"")))</f>
        <v>#NAME?</v>
      </c>
    </row>
    <row r="2571" spans="2:5" x14ac:dyDescent="0.25">
      <c r="B2571" t="e">
        <f t="shared" ca="1" si="81"/>
        <v>#NAME?</v>
      </c>
      <c r="C2571">
        <v>2528</v>
      </c>
      <c r="D2571" t="e">
        <f t="shared" ca="1" si="80"/>
        <v>#NAME?</v>
      </c>
      <c r="E2571" s="115" t="e">
        <f t="array" aca="1" ref="E2571" ca="1">IF(OR(C2570=0,AND(B2572=0,C2572=0)),"",IFERROR(INDEX($F$27:$F$36,MATCH(C2571,($F$27:$F$36)*($D$27:$D$36&lt;&gt;0),0)),IF(OR(AND(D2571=0,B2571=0,B2572&lt;&gt;0),AND(D2571*D2570&lt;0,B2571&lt;&gt;0)),IF(D2571=0,C2571,C2571*(1-ABS(D2571)/(ABS(D2571)+ABS(D2570)))+C2570*(1-ABS(D2570)/(ABS(D2571)+ABS(D2570)))),"")))</f>
        <v>#NAME?</v>
      </c>
    </row>
    <row r="2572" spans="2:5" x14ac:dyDescent="0.25">
      <c r="B2572" t="e">
        <f t="shared" ca="1" si="81"/>
        <v>#NAME?</v>
      </c>
      <c r="C2572">
        <v>2529</v>
      </c>
      <c r="D2572" t="e">
        <f t="shared" ca="1" si="80"/>
        <v>#NAME?</v>
      </c>
      <c r="E2572" s="115" t="e">
        <f t="array" aca="1" ref="E2572" ca="1">IF(OR(C2571=0,AND(B2573=0,C2573=0)),"",IFERROR(INDEX($F$27:$F$36,MATCH(C2572,($F$27:$F$36)*($D$27:$D$36&lt;&gt;0),0)),IF(OR(AND(D2572=0,B2572=0,B2573&lt;&gt;0),AND(D2572*D2571&lt;0,B2572&lt;&gt;0)),IF(D2572=0,C2572,C2572*(1-ABS(D2572)/(ABS(D2572)+ABS(D2571)))+C2571*(1-ABS(D2571)/(ABS(D2572)+ABS(D2571)))),"")))</f>
        <v>#NAME?</v>
      </c>
    </row>
    <row r="2573" spans="2:5" x14ac:dyDescent="0.25">
      <c r="B2573" t="e">
        <f t="shared" ca="1" si="81"/>
        <v>#NAME?</v>
      </c>
      <c r="C2573">
        <v>2530</v>
      </c>
      <c r="D2573" t="e">
        <f t="shared" ca="1" si="80"/>
        <v>#NAME?</v>
      </c>
      <c r="E2573" s="115" t="e">
        <f t="array" aca="1" ref="E2573" ca="1">IF(OR(C2572=0,AND(B2574=0,C2574=0)),"",IFERROR(INDEX($F$27:$F$36,MATCH(C2573,($F$27:$F$36)*($D$27:$D$36&lt;&gt;0),0)),IF(OR(AND(D2573=0,B2573=0,B2574&lt;&gt;0),AND(D2573*D2572&lt;0,B2573&lt;&gt;0)),IF(D2573=0,C2573,C2573*(1-ABS(D2573)/(ABS(D2573)+ABS(D2572)))+C2572*(1-ABS(D2572)/(ABS(D2573)+ABS(D2572)))),"")))</f>
        <v>#NAME?</v>
      </c>
    </row>
    <row r="2574" spans="2:5" x14ac:dyDescent="0.25">
      <c r="B2574" t="e">
        <f t="shared" ca="1" si="81"/>
        <v>#NAME?</v>
      </c>
      <c r="C2574">
        <v>2531</v>
      </c>
      <c r="D2574" t="e">
        <f t="shared" ca="1" si="80"/>
        <v>#NAME?</v>
      </c>
      <c r="E2574" s="115" t="e">
        <f t="array" aca="1" ref="E2574" ca="1">IF(OR(C2573=0,AND(B2575=0,C2575=0)),"",IFERROR(INDEX($F$27:$F$36,MATCH(C2574,($F$27:$F$36)*($D$27:$D$36&lt;&gt;0),0)),IF(OR(AND(D2574=0,B2574=0,B2575&lt;&gt;0),AND(D2574*D2573&lt;0,B2574&lt;&gt;0)),IF(D2574=0,C2574,C2574*(1-ABS(D2574)/(ABS(D2574)+ABS(D2573)))+C2573*(1-ABS(D2573)/(ABS(D2574)+ABS(D2573)))),"")))</f>
        <v>#NAME?</v>
      </c>
    </row>
    <row r="2575" spans="2:5" x14ac:dyDescent="0.25">
      <c r="B2575" t="e">
        <f t="shared" ca="1" si="81"/>
        <v>#NAME?</v>
      </c>
      <c r="C2575">
        <v>2532</v>
      </c>
      <c r="D2575" t="e">
        <f t="shared" ca="1" si="80"/>
        <v>#NAME?</v>
      </c>
      <c r="E2575" s="115" t="e">
        <f t="array" aca="1" ref="E2575" ca="1">IF(OR(C2574=0,AND(B2576=0,C2576=0)),"",IFERROR(INDEX($F$27:$F$36,MATCH(C2575,($F$27:$F$36)*($D$27:$D$36&lt;&gt;0),0)),IF(OR(AND(D2575=0,B2575=0,B2576&lt;&gt;0),AND(D2575*D2574&lt;0,B2575&lt;&gt;0)),IF(D2575=0,C2575,C2575*(1-ABS(D2575)/(ABS(D2575)+ABS(D2574)))+C2574*(1-ABS(D2574)/(ABS(D2575)+ABS(D2574)))),"")))</f>
        <v>#NAME?</v>
      </c>
    </row>
    <row r="2576" spans="2:5" x14ac:dyDescent="0.25">
      <c r="B2576" t="e">
        <f t="shared" ca="1" si="81"/>
        <v>#NAME?</v>
      </c>
      <c r="C2576">
        <v>2533</v>
      </c>
      <c r="D2576" t="e">
        <f t="shared" ca="1" si="80"/>
        <v>#NAME?</v>
      </c>
      <c r="E2576" s="115" t="e">
        <f t="array" aca="1" ref="E2576" ca="1">IF(OR(C2575=0,AND(B2577=0,C2577=0)),"",IFERROR(INDEX($F$27:$F$36,MATCH(C2576,($F$27:$F$36)*($D$27:$D$36&lt;&gt;0),0)),IF(OR(AND(D2576=0,B2576=0,B2577&lt;&gt;0),AND(D2576*D2575&lt;0,B2576&lt;&gt;0)),IF(D2576=0,C2576,C2576*(1-ABS(D2576)/(ABS(D2576)+ABS(D2575)))+C2575*(1-ABS(D2575)/(ABS(D2576)+ABS(D2575)))),"")))</f>
        <v>#NAME?</v>
      </c>
    </row>
    <row r="2577" spans="2:5" x14ac:dyDescent="0.25">
      <c r="B2577" t="e">
        <f t="shared" ca="1" si="81"/>
        <v>#NAME?</v>
      </c>
      <c r="C2577">
        <v>2534</v>
      </c>
      <c r="D2577" t="e">
        <f t="shared" ca="1" si="80"/>
        <v>#NAME?</v>
      </c>
      <c r="E2577" s="115" t="e">
        <f t="array" aca="1" ref="E2577" ca="1">IF(OR(C2576=0,AND(B2578=0,C2578=0)),"",IFERROR(INDEX($F$27:$F$36,MATCH(C2577,($F$27:$F$36)*($D$27:$D$36&lt;&gt;0),0)),IF(OR(AND(D2577=0,B2577=0,B2578&lt;&gt;0),AND(D2577*D2576&lt;0,B2577&lt;&gt;0)),IF(D2577=0,C2577,C2577*(1-ABS(D2577)/(ABS(D2577)+ABS(D2576)))+C2576*(1-ABS(D2576)/(ABS(D2577)+ABS(D2576)))),"")))</f>
        <v>#NAME?</v>
      </c>
    </row>
    <row r="2578" spans="2:5" x14ac:dyDescent="0.25">
      <c r="B2578" t="e">
        <f t="shared" ca="1" si="81"/>
        <v>#NAME?</v>
      </c>
      <c r="C2578">
        <v>2535</v>
      </c>
      <c r="D2578" t="e">
        <f t="shared" ca="1" si="80"/>
        <v>#NAME?</v>
      </c>
      <c r="E2578" s="115" t="e">
        <f t="array" aca="1" ref="E2578" ca="1">IF(OR(C2577=0,AND(B2579=0,C2579=0)),"",IFERROR(INDEX($F$27:$F$36,MATCH(C2578,($F$27:$F$36)*($D$27:$D$36&lt;&gt;0),0)),IF(OR(AND(D2578=0,B2578=0,B2579&lt;&gt;0),AND(D2578*D2577&lt;0,B2578&lt;&gt;0)),IF(D2578=0,C2578,C2578*(1-ABS(D2578)/(ABS(D2578)+ABS(D2577)))+C2577*(1-ABS(D2577)/(ABS(D2578)+ABS(D2577)))),"")))</f>
        <v>#NAME?</v>
      </c>
    </row>
    <row r="2579" spans="2:5" x14ac:dyDescent="0.25">
      <c r="B2579" t="e">
        <f t="shared" ca="1" si="81"/>
        <v>#NAME?</v>
      </c>
      <c r="C2579">
        <v>2536</v>
      </c>
      <c r="D2579" t="e">
        <f t="shared" ca="1" si="80"/>
        <v>#NAME?</v>
      </c>
      <c r="E2579" s="115" t="e">
        <f t="array" aca="1" ref="E2579" ca="1">IF(OR(C2578=0,AND(B2580=0,C2580=0)),"",IFERROR(INDEX($F$27:$F$36,MATCH(C2579,($F$27:$F$36)*($D$27:$D$36&lt;&gt;0),0)),IF(OR(AND(D2579=0,B2579=0,B2580&lt;&gt;0),AND(D2579*D2578&lt;0,B2579&lt;&gt;0)),IF(D2579=0,C2579,C2579*(1-ABS(D2579)/(ABS(D2579)+ABS(D2578)))+C2578*(1-ABS(D2578)/(ABS(D2579)+ABS(D2578)))),"")))</f>
        <v>#NAME?</v>
      </c>
    </row>
    <row r="2580" spans="2:5" x14ac:dyDescent="0.25">
      <c r="B2580" t="e">
        <f t="shared" ca="1" si="81"/>
        <v>#NAME?</v>
      </c>
      <c r="C2580">
        <v>2537</v>
      </c>
      <c r="D2580" t="e">
        <f t="shared" ca="1" si="80"/>
        <v>#NAME?</v>
      </c>
      <c r="E2580" s="115" t="e">
        <f t="array" aca="1" ref="E2580" ca="1">IF(OR(C2579=0,AND(B2581=0,C2581=0)),"",IFERROR(INDEX($F$27:$F$36,MATCH(C2580,($F$27:$F$36)*($D$27:$D$36&lt;&gt;0),0)),IF(OR(AND(D2580=0,B2580=0,B2581&lt;&gt;0),AND(D2580*D2579&lt;0,B2580&lt;&gt;0)),IF(D2580=0,C2580,C2580*(1-ABS(D2580)/(ABS(D2580)+ABS(D2579)))+C2579*(1-ABS(D2579)/(ABS(D2580)+ABS(D2579)))),"")))</f>
        <v>#NAME?</v>
      </c>
    </row>
    <row r="2581" spans="2:5" x14ac:dyDescent="0.25">
      <c r="B2581" t="e">
        <f t="shared" ca="1" si="81"/>
        <v>#NAME?</v>
      </c>
      <c r="C2581">
        <v>2538</v>
      </c>
      <c r="D2581" t="e">
        <f t="shared" ca="1" si="80"/>
        <v>#NAME?</v>
      </c>
      <c r="E2581" s="115" t="e">
        <f t="array" aca="1" ref="E2581" ca="1">IF(OR(C2580=0,AND(B2582=0,C2582=0)),"",IFERROR(INDEX($F$27:$F$36,MATCH(C2581,($F$27:$F$36)*($D$27:$D$36&lt;&gt;0),0)),IF(OR(AND(D2581=0,B2581=0,B2582&lt;&gt;0),AND(D2581*D2580&lt;0,B2581&lt;&gt;0)),IF(D2581=0,C2581,C2581*(1-ABS(D2581)/(ABS(D2581)+ABS(D2580)))+C2580*(1-ABS(D2580)/(ABS(D2581)+ABS(D2580)))),"")))</f>
        <v>#NAME?</v>
      </c>
    </row>
    <row r="2582" spans="2:5" x14ac:dyDescent="0.25">
      <c r="B2582" t="e">
        <f t="shared" ca="1" si="81"/>
        <v>#NAME?</v>
      </c>
      <c r="C2582">
        <v>2539</v>
      </c>
      <c r="D2582" t="e">
        <f t="shared" ca="1" si="80"/>
        <v>#NAME?</v>
      </c>
      <c r="E2582" s="115" t="e">
        <f t="array" aca="1" ref="E2582" ca="1">IF(OR(C2581=0,AND(B2583=0,C2583=0)),"",IFERROR(INDEX($F$27:$F$36,MATCH(C2582,($F$27:$F$36)*($D$27:$D$36&lt;&gt;0),0)),IF(OR(AND(D2582=0,B2582=0,B2583&lt;&gt;0),AND(D2582*D2581&lt;0,B2582&lt;&gt;0)),IF(D2582=0,C2582,C2582*(1-ABS(D2582)/(ABS(D2582)+ABS(D2581)))+C2581*(1-ABS(D2581)/(ABS(D2582)+ABS(D2581)))),"")))</f>
        <v>#NAME?</v>
      </c>
    </row>
    <row r="2583" spans="2:5" x14ac:dyDescent="0.25">
      <c r="B2583" t="e">
        <f t="shared" ca="1" si="81"/>
        <v>#NAME?</v>
      </c>
      <c r="C2583">
        <v>2540</v>
      </c>
      <c r="D2583" t="e">
        <f t="shared" ca="1" si="80"/>
        <v>#NAME?</v>
      </c>
      <c r="E2583" s="115" t="e">
        <f t="array" aca="1" ref="E2583" ca="1">IF(OR(C2582=0,AND(B2584=0,C2584=0)),"",IFERROR(INDEX($F$27:$F$36,MATCH(C2583,($F$27:$F$36)*($D$27:$D$36&lt;&gt;0),0)),IF(OR(AND(D2583=0,B2583=0,B2584&lt;&gt;0),AND(D2583*D2582&lt;0,B2583&lt;&gt;0)),IF(D2583=0,C2583,C2583*(1-ABS(D2583)/(ABS(D2583)+ABS(D2582)))+C2582*(1-ABS(D2582)/(ABS(D2583)+ABS(D2582)))),"")))</f>
        <v>#NAME?</v>
      </c>
    </row>
    <row r="2584" spans="2:5" x14ac:dyDescent="0.25">
      <c r="B2584" t="e">
        <f t="shared" ca="1" si="81"/>
        <v>#NAME?</v>
      </c>
      <c r="C2584">
        <v>2541</v>
      </c>
      <c r="D2584" t="e">
        <f t="shared" ca="1" si="80"/>
        <v>#NAME?</v>
      </c>
      <c r="E2584" s="115" t="e">
        <f t="array" aca="1" ref="E2584" ca="1">IF(OR(C2583=0,AND(B2585=0,C2585=0)),"",IFERROR(INDEX($F$27:$F$36,MATCH(C2584,($F$27:$F$36)*($D$27:$D$36&lt;&gt;0),0)),IF(OR(AND(D2584=0,B2584=0,B2585&lt;&gt;0),AND(D2584*D2583&lt;0,B2584&lt;&gt;0)),IF(D2584=0,C2584,C2584*(1-ABS(D2584)/(ABS(D2584)+ABS(D2583)))+C2583*(1-ABS(D2583)/(ABS(D2584)+ABS(D2583)))),"")))</f>
        <v>#NAME?</v>
      </c>
    </row>
    <row r="2585" spans="2:5" x14ac:dyDescent="0.25">
      <c r="B2585" t="e">
        <f t="shared" ca="1" si="81"/>
        <v>#NAME?</v>
      </c>
      <c r="C2585">
        <v>2542</v>
      </c>
      <c r="D2585" t="e">
        <f t="shared" ca="1" si="80"/>
        <v>#NAME?</v>
      </c>
      <c r="E2585" s="115" t="e">
        <f t="array" aca="1" ref="E2585" ca="1">IF(OR(C2584=0,AND(B2586=0,C2586=0)),"",IFERROR(INDEX($F$27:$F$36,MATCH(C2585,($F$27:$F$36)*($D$27:$D$36&lt;&gt;0),0)),IF(OR(AND(D2585=0,B2585=0,B2586&lt;&gt;0),AND(D2585*D2584&lt;0,B2585&lt;&gt;0)),IF(D2585=0,C2585,C2585*(1-ABS(D2585)/(ABS(D2585)+ABS(D2584)))+C2584*(1-ABS(D2584)/(ABS(D2585)+ABS(D2584)))),"")))</f>
        <v>#NAME?</v>
      </c>
    </row>
    <row r="2586" spans="2:5" x14ac:dyDescent="0.25">
      <c r="B2586" t="e">
        <f t="shared" ca="1" si="81"/>
        <v>#NAME?</v>
      </c>
      <c r="C2586">
        <v>2543</v>
      </c>
      <c r="D2586" t="e">
        <f t="shared" ca="1" si="80"/>
        <v>#NAME?</v>
      </c>
      <c r="E2586" s="115" t="e">
        <f t="array" aca="1" ref="E2586" ca="1">IF(OR(C2585=0,AND(B2587=0,C2587=0)),"",IFERROR(INDEX($F$27:$F$36,MATCH(C2586,($F$27:$F$36)*($D$27:$D$36&lt;&gt;0),0)),IF(OR(AND(D2586=0,B2586=0,B2587&lt;&gt;0),AND(D2586*D2585&lt;0,B2586&lt;&gt;0)),IF(D2586=0,C2586,C2586*(1-ABS(D2586)/(ABS(D2586)+ABS(D2585)))+C2585*(1-ABS(D2585)/(ABS(D2586)+ABS(D2585)))),"")))</f>
        <v>#NAME?</v>
      </c>
    </row>
    <row r="2587" spans="2:5" x14ac:dyDescent="0.25">
      <c r="B2587" t="e">
        <f t="shared" ca="1" si="81"/>
        <v>#NAME?</v>
      </c>
      <c r="C2587">
        <v>2544</v>
      </c>
      <c r="D2587" t="e">
        <f t="shared" ca="1" si="80"/>
        <v>#NAME?</v>
      </c>
      <c r="E2587" s="115" t="e">
        <f t="array" aca="1" ref="E2587" ca="1">IF(OR(C2586=0,AND(B2588=0,C2588=0)),"",IFERROR(INDEX($F$27:$F$36,MATCH(C2587,($F$27:$F$36)*($D$27:$D$36&lt;&gt;0),0)),IF(OR(AND(D2587=0,B2587=0,B2588&lt;&gt;0),AND(D2587*D2586&lt;0,B2587&lt;&gt;0)),IF(D2587=0,C2587,C2587*(1-ABS(D2587)/(ABS(D2587)+ABS(D2586)))+C2586*(1-ABS(D2586)/(ABS(D2587)+ABS(D2586)))),"")))</f>
        <v>#NAME?</v>
      </c>
    </row>
    <row r="2588" spans="2:5" x14ac:dyDescent="0.25">
      <c r="B2588" t="e">
        <f t="shared" ca="1" si="81"/>
        <v>#NAME?</v>
      </c>
      <c r="C2588">
        <v>2545</v>
      </c>
      <c r="D2588" t="e">
        <f t="shared" ca="1" si="80"/>
        <v>#NAME?</v>
      </c>
      <c r="E2588" s="115" t="e">
        <f t="array" aca="1" ref="E2588" ca="1">IF(OR(C2587=0,AND(B2589=0,C2589=0)),"",IFERROR(INDEX($F$27:$F$36,MATCH(C2588,($F$27:$F$36)*($D$27:$D$36&lt;&gt;0),0)),IF(OR(AND(D2588=0,B2588=0,B2589&lt;&gt;0),AND(D2588*D2587&lt;0,B2588&lt;&gt;0)),IF(D2588=0,C2588,C2588*(1-ABS(D2588)/(ABS(D2588)+ABS(D2587)))+C2587*(1-ABS(D2587)/(ABS(D2588)+ABS(D2587)))),"")))</f>
        <v>#NAME?</v>
      </c>
    </row>
    <row r="2589" spans="2:5" x14ac:dyDescent="0.25">
      <c r="B2589" t="e">
        <f t="shared" ca="1" si="81"/>
        <v>#NAME?</v>
      </c>
      <c r="C2589">
        <v>2546</v>
      </c>
      <c r="D2589" t="e">
        <f t="shared" ca="1" si="80"/>
        <v>#NAME?</v>
      </c>
      <c r="E2589" s="115" t="e">
        <f t="array" aca="1" ref="E2589" ca="1">IF(OR(C2588=0,AND(B2590=0,C2590=0)),"",IFERROR(INDEX($F$27:$F$36,MATCH(C2589,($F$27:$F$36)*($D$27:$D$36&lt;&gt;0),0)),IF(OR(AND(D2589=0,B2589=0,B2590&lt;&gt;0),AND(D2589*D2588&lt;0,B2589&lt;&gt;0)),IF(D2589=0,C2589,C2589*(1-ABS(D2589)/(ABS(D2589)+ABS(D2588)))+C2588*(1-ABS(D2588)/(ABS(D2589)+ABS(D2588)))),"")))</f>
        <v>#NAME?</v>
      </c>
    </row>
    <row r="2590" spans="2:5" x14ac:dyDescent="0.25">
      <c r="B2590" t="e">
        <f t="shared" ca="1" si="81"/>
        <v>#NAME?</v>
      </c>
      <c r="C2590">
        <v>2547</v>
      </c>
      <c r="D2590" t="e">
        <f t="shared" ca="1" si="80"/>
        <v>#NAME?</v>
      </c>
      <c r="E2590" s="115" t="e">
        <f t="array" aca="1" ref="E2590" ca="1">IF(OR(C2589=0,AND(B2591=0,C2591=0)),"",IFERROR(INDEX($F$27:$F$36,MATCH(C2590,($F$27:$F$36)*($D$27:$D$36&lt;&gt;0),0)),IF(OR(AND(D2590=0,B2590=0,B2591&lt;&gt;0),AND(D2590*D2589&lt;0,B2590&lt;&gt;0)),IF(D2590=0,C2590,C2590*(1-ABS(D2590)/(ABS(D2590)+ABS(D2589)))+C2589*(1-ABS(D2589)/(ABS(D2590)+ABS(D2589)))),"")))</f>
        <v>#NAME?</v>
      </c>
    </row>
    <row r="2591" spans="2:5" x14ac:dyDescent="0.25">
      <c r="B2591" t="e">
        <f t="shared" ca="1" si="81"/>
        <v>#NAME?</v>
      </c>
      <c r="C2591">
        <v>2548</v>
      </c>
      <c r="D2591" t="e">
        <f t="shared" ca="1" si="80"/>
        <v>#NAME?</v>
      </c>
      <c r="E2591" s="115" t="e">
        <f t="array" aca="1" ref="E2591" ca="1">IF(OR(C2590=0,AND(B2592=0,C2592=0)),"",IFERROR(INDEX($F$27:$F$36,MATCH(C2591,($F$27:$F$36)*($D$27:$D$36&lt;&gt;0),0)),IF(OR(AND(D2591=0,B2591=0,B2592&lt;&gt;0),AND(D2591*D2590&lt;0,B2591&lt;&gt;0)),IF(D2591=0,C2591,C2591*(1-ABS(D2591)/(ABS(D2591)+ABS(D2590)))+C2590*(1-ABS(D2590)/(ABS(D2591)+ABS(D2590)))),"")))</f>
        <v>#NAME?</v>
      </c>
    </row>
    <row r="2592" spans="2:5" x14ac:dyDescent="0.25">
      <c r="B2592" t="e">
        <f t="shared" ca="1" si="81"/>
        <v>#NAME?</v>
      </c>
      <c r="C2592">
        <v>2549</v>
      </c>
      <c r="D2592" t="e">
        <f t="shared" ca="1" si="80"/>
        <v>#NAME?</v>
      </c>
      <c r="E2592" s="115" t="e">
        <f t="array" aca="1" ref="E2592" ca="1">IF(OR(C2591=0,AND(B2593=0,C2593=0)),"",IFERROR(INDEX($F$27:$F$36,MATCH(C2592,($F$27:$F$36)*($D$27:$D$36&lt;&gt;0),0)),IF(OR(AND(D2592=0,B2592=0,B2593&lt;&gt;0),AND(D2592*D2591&lt;0,B2592&lt;&gt;0)),IF(D2592=0,C2592,C2592*(1-ABS(D2592)/(ABS(D2592)+ABS(D2591)))+C2591*(1-ABS(D2591)/(ABS(D2592)+ABS(D2591)))),"")))</f>
        <v>#NAME?</v>
      </c>
    </row>
    <row r="2593" spans="2:5" x14ac:dyDescent="0.25">
      <c r="B2593" t="e">
        <f t="shared" ca="1" si="81"/>
        <v>#NAME?</v>
      </c>
      <c r="C2593">
        <v>2550</v>
      </c>
      <c r="D2593" t="e">
        <f t="shared" ca="1" si="80"/>
        <v>#NAME?</v>
      </c>
      <c r="E2593" s="115" t="e">
        <f t="array" aca="1" ref="E2593" ca="1">IF(OR(C2592=0,AND(B2594=0,C2594=0)),"",IFERROR(INDEX($F$27:$F$36,MATCH(C2593,($F$27:$F$36)*($D$27:$D$36&lt;&gt;0),0)),IF(OR(AND(D2593=0,B2593=0,B2594&lt;&gt;0),AND(D2593*D2592&lt;0,B2593&lt;&gt;0)),IF(D2593=0,C2593,C2593*(1-ABS(D2593)/(ABS(D2593)+ABS(D2592)))+C2592*(1-ABS(D2592)/(ABS(D2593)+ABS(D2592)))),"")))</f>
        <v>#NAME?</v>
      </c>
    </row>
    <row r="2594" spans="2:5" x14ac:dyDescent="0.25">
      <c r="B2594" t="e">
        <f t="shared" ca="1" si="81"/>
        <v>#NAME?</v>
      </c>
      <c r="C2594">
        <v>2551</v>
      </c>
      <c r="D2594" t="e">
        <f t="shared" ca="1" si="80"/>
        <v>#NAME?</v>
      </c>
      <c r="E2594" s="115" t="e">
        <f t="array" aca="1" ref="E2594" ca="1">IF(OR(C2593=0,AND(B2595=0,C2595=0)),"",IFERROR(INDEX($F$27:$F$36,MATCH(C2594,($F$27:$F$36)*($D$27:$D$36&lt;&gt;0),0)),IF(OR(AND(D2594=0,B2594=0,B2595&lt;&gt;0),AND(D2594*D2593&lt;0,B2594&lt;&gt;0)),IF(D2594=0,C2594,C2594*(1-ABS(D2594)/(ABS(D2594)+ABS(D2593)))+C2593*(1-ABS(D2593)/(ABS(D2594)+ABS(D2593)))),"")))</f>
        <v>#NAME?</v>
      </c>
    </row>
    <row r="2595" spans="2:5" x14ac:dyDescent="0.25">
      <c r="B2595" t="e">
        <f t="shared" ca="1" si="81"/>
        <v>#NAME?</v>
      </c>
      <c r="C2595">
        <v>2552</v>
      </c>
      <c r="D2595" t="e">
        <f t="shared" ca="1" si="80"/>
        <v>#NAME?</v>
      </c>
      <c r="E2595" s="115" t="e">
        <f t="array" aca="1" ref="E2595" ca="1">IF(OR(C2594=0,AND(B2596=0,C2596=0)),"",IFERROR(INDEX($F$27:$F$36,MATCH(C2595,($F$27:$F$36)*($D$27:$D$36&lt;&gt;0),0)),IF(OR(AND(D2595=0,B2595=0,B2596&lt;&gt;0),AND(D2595*D2594&lt;0,B2595&lt;&gt;0)),IF(D2595=0,C2595,C2595*(1-ABS(D2595)/(ABS(D2595)+ABS(D2594)))+C2594*(1-ABS(D2594)/(ABS(D2595)+ABS(D2594)))),"")))</f>
        <v>#NAME?</v>
      </c>
    </row>
    <row r="2596" spans="2:5" x14ac:dyDescent="0.25">
      <c r="B2596" t="e">
        <f t="shared" ca="1" si="81"/>
        <v>#NAME?</v>
      </c>
      <c r="C2596">
        <v>2553</v>
      </c>
      <c r="D2596" t="e">
        <f t="shared" ca="1" si="80"/>
        <v>#NAME?</v>
      </c>
      <c r="E2596" s="115" t="e">
        <f t="array" aca="1" ref="E2596" ca="1">IF(OR(C2595=0,AND(B2597=0,C2597=0)),"",IFERROR(INDEX($F$27:$F$36,MATCH(C2596,($F$27:$F$36)*($D$27:$D$36&lt;&gt;0),0)),IF(OR(AND(D2596=0,B2596=0,B2597&lt;&gt;0),AND(D2596*D2595&lt;0,B2596&lt;&gt;0)),IF(D2596=0,C2596,C2596*(1-ABS(D2596)/(ABS(D2596)+ABS(D2595)))+C2595*(1-ABS(D2595)/(ABS(D2596)+ABS(D2595)))),"")))</f>
        <v>#NAME?</v>
      </c>
    </row>
    <row r="2597" spans="2:5" x14ac:dyDescent="0.25">
      <c r="B2597" t="e">
        <f t="shared" ca="1" si="81"/>
        <v>#NAME?</v>
      </c>
      <c r="C2597">
        <v>2554</v>
      </c>
      <c r="D2597" t="e">
        <f t="shared" ca="1" si="80"/>
        <v>#NAME?</v>
      </c>
      <c r="E2597" s="115" t="e">
        <f t="array" aca="1" ref="E2597" ca="1">IF(OR(C2596=0,AND(B2598=0,C2598=0)),"",IFERROR(INDEX($F$27:$F$36,MATCH(C2597,($F$27:$F$36)*($D$27:$D$36&lt;&gt;0),0)),IF(OR(AND(D2597=0,B2597=0,B2598&lt;&gt;0),AND(D2597*D2596&lt;0,B2597&lt;&gt;0)),IF(D2597=0,C2597,C2597*(1-ABS(D2597)/(ABS(D2597)+ABS(D2596)))+C2596*(1-ABS(D2596)/(ABS(D2597)+ABS(D2596)))),"")))</f>
        <v>#NAME?</v>
      </c>
    </row>
    <row r="2598" spans="2:5" x14ac:dyDescent="0.25">
      <c r="B2598" t="e">
        <f t="shared" ca="1" si="81"/>
        <v>#NAME?</v>
      </c>
      <c r="C2598">
        <v>2555</v>
      </c>
      <c r="D2598" t="e">
        <f t="shared" ca="1" si="80"/>
        <v>#NAME?</v>
      </c>
      <c r="E2598" s="115" t="e">
        <f t="array" aca="1" ref="E2598" ca="1">IF(OR(C2597=0,AND(B2599=0,C2599=0)),"",IFERROR(INDEX($F$27:$F$36,MATCH(C2598,($F$27:$F$36)*($D$27:$D$36&lt;&gt;0),0)),IF(OR(AND(D2598=0,B2598=0,B2599&lt;&gt;0),AND(D2598*D2597&lt;0,B2598&lt;&gt;0)),IF(D2598=0,C2598,C2598*(1-ABS(D2598)/(ABS(D2598)+ABS(D2597)))+C2597*(1-ABS(D2597)/(ABS(D2598)+ABS(D2597)))),"")))</f>
        <v>#NAME?</v>
      </c>
    </row>
    <row r="2599" spans="2:5" x14ac:dyDescent="0.25">
      <c r="B2599" t="e">
        <f t="shared" ca="1" si="81"/>
        <v>#NAME?</v>
      </c>
      <c r="C2599">
        <v>2556</v>
      </c>
      <c r="D2599" t="e">
        <f t="shared" ca="1" si="80"/>
        <v>#NAME?</v>
      </c>
      <c r="E2599" s="115" t="e">
        <f t="array" aca="1" ref="E2599" ca="1">IF(OR(C2598=0,AND(B2600=0,C2600=0)),"",IFERROR(INDEX($F$27:$F$36,MATCH(C2599,($F$27:$F$36)*($D$27:$D$36&lt;&gt;0),0)),IF(OR(AND(D2599=0,B2599=0,B2600&lt;&gt;0),AND(D2599*D2598&lt;0,B2599&lt;&gt;0)),IF(D2599=0,C2599,C2599*(1-ABS(D2599)/(ABS(D2599)+ABS(D2598)))+C2598*(1-ABS(D2598)/(ABS(D2599)+ABS(D2598)))),"")))</f>
        <v>#NAME?</v>
      </c>
    </row>
    <row r="2600" spans="2:5" x14ac:dyDescent="0.25">
      <c r="B2600" t="e">
        <f t="shared" ca="1" si="81"/>
        <v>#NAME?</v>
      </c>
      <c r="C2600">
        <v>2557</v>
      </c>
      <c r="D2600" t="e">
        <f t="shared" ca="1" si="80"/>
        <v>#NAME?</v>
      </c>
      <c r="E2600" s="115" t="e">
        <f t="array" aca="1" ref="E2600" ca="1">IF(OR(C2599=0,AND(B2601=0,C2601=0)),"",IFERROR(INDEX($F$27:$F$36,MATCH(C2600,($F$27:$F$36)*($D$27:$D$36&lt;&gt;0),0)),IF(OR(AND(D2600=0,B2600=0,B2601&lt;&gt;0),AND(D2600*D2599&lt;0,B2600&lt;&gt;0)),IF(D2600=0,C2600,C2600*(1-ABS(D2600)/(ABS(D2600)+ABS(D2599)))+C2599*(1-ABS(D2599)/(ABS(D2600)+ABS(D2599)))),"")))</f>
        <v>#NAME?</v>
      </c>
    </row>
    <row r="2601" spans="2:5" x14ac:dyDescent="0.25">
      <c r="B2601" t="e">
        <f t="shared" ca="1" si="81"/>
        <v>#NAME?</v>
      </c>
      <c r="C2601">
        <v>2558</v>
      </c>
      <c r="D2601" t="e">
        <f t="shared" ca="1" si="80"/>
        <v>#NAME?</v>
      </c>
      <c r="E2601" s="115" t="e">
        <f t="array" aca="1" ref="E2601" ca="1">IF(OR(C2600=0,AND(B2602=0,C2602=0)),"",IFERROR(INDEX($F$27:$F$36,MATCH(C2601,($F$27:$F$36)*($D$27:$D$36&lt;&gt;0),0)),IF(OR(AND(D2601=0,B2601=0,B2602&lt;&gt;0),AND(D2601*D2600&lt;0,B2601&lt;&gt;0)),IF(D2601=0,C2601,C2601*(1-ABS(D2601)/(ABS(D2601)+ABS(D2600)))+C2600*(1-ABS(D2600)/(ABS(D2601)+ABS(D2600)))),"")))</f>
        <v>#NAME?</v>
      </c>
    </row>
    <row r="2602" spans="2:5" x14ac:dyDescent="0.25">
      <c r="B2602" t="e">
        <f t="shared" ca="1" si="81"/>
        <v>#NAME?</v>
      </c>
      <c r="C2602">
        <v>2559</v>
      </c>
      <c r="D2602" t="e">
        <f t="shared" ca="1" si="80"/>
        <v>#NAME?</v>
      </c>
      <c r="E2602" s="115" t="e">
        <f t="array" aca="1" ref="E2602" ca="1">IF(OR(C2601=0,AND(B2603=0,C2603=0)),"",IFERROR(INDEX($F$27:$F$36,MATCH(C2602,($F$27:$F$36)*($D$27:$D$36&lt;&gt;0),0)),IF(OR(AND(D2602=0,B2602=0,B2603&lt;&gt;0),AND(D2602*D2601&lt;0,B2602&lt;&gt;0)),IF(D2602=0,C2602,C2602*(1-ABS(D2602)/(ABS(D2602)+ABS(D2601)))+C2601*(1-ABS(D2601)/(ABS(D2602)+ABS(D2601)))),"")))</f>
        <v>#NAME?</v>
      </c>
    </row>
    <row r="2603" spans="2:5" x14ac:dyDescent="0.25">
      <c r="B2603" t="e">
        <f t="shared" ca="1" si="81"/>
        <v>#NAME?</v>
      </c>
      <c r="C2603">
        <v>2560</v>
      </c>
      <c r="D2603" t="e">
        <f t="shared" ref="D2603:D2666" ca="1" si="82">SUMPRODUCT(--($J$27:$J$37&gt;0),--($C2603-$F$27:$F$37&gt;0),($D$27:$D$37),($C2603-$F$27:$F$37))+SUMPRODUCT(--($J$27:$J$37&lt;0),--($F$27:$F$37-$C2603&gt;0),($D$27:$D$37),($F$27:$F$37-$C2603))-SUMPRODUCT($D$27:$D$37,$E$27:$E$37)</f>
        <v>#NAME?</v>
      </c>
      <c r="E2603" s="115" t="e">
        <f t="array" aca="1" ref="E2603" ca="1">IF(OR(C2602=0,AND(B2604=0,C2604=0)),"",IFERROR(INDEX($F$27:$F$36,MATCH(C2603,($F$27:$F$36)*($D$27:$D$36&lt;&gt;0),0)),IF(OR(AND(D2603=0,B2603=0,B2604&lt;&gt;0),AND(D2603*D2602&lt;0,B2603&lt;&gt;0)),IF(D2603=0,C2603,C2603*(1-ABS(D2603)/(ABS(D2603)+ABS(D2602)))+C2602*(1-ABS(D2602)/(ABS(D2603)+ABS(D2602)))),"")))</f>
        <v>#NAME?</v>
      </c>
    </row>
    <row r="2604" spans="2:5" x14ac:dyDescent="0.25">
      <c r="B2604" t="e">
        <f t="shared" ref="B2604:B2667" ca="1" si="83">ROUND((D2604-D2603)/(C2604-C2603),12)</f>
        <v>#NAME?</v>
      </c>
      <c r="C2604">
        <v>2561</v>
      </c>
      <c r="D2604" t="e">
        <f t="shared" ca="1" si="82"/>
        <v>#NAME?</v>
      </c>
      <c r="E2604" s="115" t="e">
        <f t="array" aca="1" ref="E2604" ca="1">IF(OR(C2603=0,AND(B2605=0,C2605=0)),"",IFERROR(INDEX($F$27:$F$36,MATCH(C2604,($F$27:$F$36)*($D$27:$D$36&lt;&gt;0),0)),IF(OR(AND(D2604=0,B2604=0,B2605&lt;&gt;0),AND(D2604*D2603&lt;0,B2604&lt;&gt;0)),IF(D2604=0,C2604,C2604*(1-ABS(D2604)/(ABS(D2604)+ABS(D2603)))+C2603*(1-ABS(D2603)/(ABS(D2604)+ABS(D2603)))),"")))</f>
        <v>#NAME?</v>
      </c>
    </row>
    <row r="2605" spans="2:5" x14ac:dyDescent="0.25">
      <c r="B2605" t="e">
        <f t="shared" ca="1" si="83"/>
        <v>#NAME?</v>
      </c>
      <c r="C2605">
        <v>2562</v>
      </c>
      <c r="D2605" t="e">
        <f t="shared" ca="1" si="82"/>
        <v>#NAME?</v>
      </c>
      <c r="E2605" s="115" t="e">
        <f t="array" aca="1" ref="E2605" ca="1">IF(OR(C2604=0,AND(B2606=0,C2606=0)),"",IFERROR(INDEX($F$27:$F$36,MATCH(C2605,($F$27:$F$36)*($D$27:$D$36&lt;&gt;0),0)),IF(OR(AND(D2605=0,B2605=0,B2606&lt;&gt;0),AND(D2605*D2604&lt;0,B2605&lt;&gt;0)),IF(D2605=0,C2605,C2605*(1-ABS(D2605)/(ABS(D2605)+ABS(D2604)))+C2604*(1-ABS(D2604)/(ABS(D2605)+ABS(D2604)))),"")))</f>
        <v>#NAME?</v>
      </c>
    </row>
    <row r="2606" spans="2:5" x14ac:dyDescent="0.25">
      <c r="B2606" t="e">
        <f t="shared" ca="1" si="83"/>
        <v>#NAME?</v>
      </c>
      <c r="C2606">
        <v>2563</v>
      </c>
      <c r="D2606" t="e">
        <f t="shared" ca="1" si="82"/>
        <v>#NAME?</v>
      </c>
      <c r="E2606" s="115" t="e">
        <f t="array" aca="1" ref="E2606" ca="1">IF(OR(C2605=0,AND(B2607=0,C2607=0)),"",IFERROR(INDEX($F$27:$F$36,MATCH(C2606,($F$27:$F$36)*($D$27:$D$36&lt;&gt;0),0)),IF(OR(AND(D2606=0,B2606=0,B2607&lt;&gt;0),AND(D2606*D2605&lt;0,B2606&lt;&gt;0)),IF(D2606=0,C2606,C2606*(1-ABS(D2606)/(ABS(D2606)+ABS(D2605)))+C2605*(1-ABS(D2605)/(ABS(D2606)+ABS(D2605)))),"")))</f>
        <v>#NAME?</v>
      </c>
    </row>
    <row r="2607" spans="2:5" x14ac:dyDescent="0.25">
      <c r="B2607" t="e">
        <f t="shared" ca="1" si="83"/>
        <v>#NAME?</v>
      </c>
      <c r="C2607">
        <v>2564</v>
      </c>
      <c r="D2607" t="e">
        <f t="shared" ca="1" si="82"/>
        <v>#NAME?</v>
      </c>
      <c r="E2607" s="115" t="e">
        <f t="array" aca="1" ref="E2607" ca="1">IF(OR(C2606=0,AND(B2608=0,C2608=0)),"",IFERROR(INDEX($F$27:$F$36,MATCH(C2607,($F$27:$F$36)*($D$27:$D$36&lt;&gt;0),0)),IF(OR(AND(D2607=0,B2607=0,B2608&lt;&gt;0),AND(D2607*D2606&lt;0,B2607&lt;&gt;0)),IF(D2607=0,C2607,C2607*(1-ABS(D2607)/(ABS(D2607)+ABS(D2606)))+C2606*(1-ABS(D2606)/(ABS(D2607)+ABS(D2606)))),"")))</f>
        <v>#NAME?</v>
      </c>
    </row>
    <row r="2608" spans="2:5" x14ac:dyDescent="0.25">
      <c r="B2608" t="e">
        <f t="shared" ca="1" si="83"/>
        <v>#NAME?</v>
      </c>
      <c r="C2608">
        <v>2565</v>
      </c>
      <c r="D2608" t="e">
        <f t="shared" ca="1" si="82"/>
        <v>#NAME?</v>
      </c>
      <c r="E2608" s="115" t="e">
        <f t="array" aca="1" ref="E2608" ca="1">IF(OR(C2607=0,AND(B2609=0,C2609=0)),"",IFERROR(INDEX($F$27:$F$36,MATCH(C2608,($F$27:$F$36)*($D$27:$D$36&lt;&gt;0),0)),IF(OR(AND(D2608=0,B2608=0,B2609&lt;&gt;0),AND(D2608*D2607&lt;0,B2608&lt;&gt;0)),IF(D2608=0,C2608,C2608*(1-ABS(D2608)/(ABS(D2608)+ABS(D2607)))+C2607*(1-ABS(D2607)/(ABS(D2608)+ABS(D2607)))),"")))</f>
        <v>#NAME?</v>
      </c>
    </row>
    <row r="2609" spans="2:5" x14ac:dyDescent="0.25">
      <c r="B2609" t="e">
        <f t="shared" ca="1" si="83"/>
        <v>#NAME?</v>
      </c>
      <c r="C2609">
        <v>2566</v>
      </c>
      <c r="D2609" t="e">
        <f t="shared" ca="1" si="82"/>
        <v>#NAME?</v>
      </c>
      <c r="E2609" s="115" t="e">
        <f t="array" aca="1" ref="E2609" ca="1">IF(OR(C2608=0,AND(B2610=0,C2610=0)),"",IFERROR(INDEX($F$27:$F$36,MATCH(C2609,($F$27:$F$36)*($D$27:$D$36&lt;&gt;0),0)),IF(OR(AND(D2609=0,B2609=0,B2610&lt;&gt;0),AND(D2609*D2608&lt;0,B2609&lt;&gt;0)),IF(D2609=0,C2609,C2609*(1-ABS(D2609)/(ABS(D2609)+ABS(D2608)))+C2608*(1-ABS(D2608)/(ABS(D2609)+ABS(D2608)))),"")))</f>
        <v>#NAME?</v>
      </c>
    </row>
    <row r="2610" spans="2:5" x14ac:dyDescent="0.25">
      <c r="B2610" t="e">
        <f t="shared" ca="1" si="83"/>
        <v>#NAME?</v>
      </c>
      <c r="C2610">
        <v>2567</v>
      </c>
      <c r="D2610" t="e">
        <f t="shared" ca="1" si="82"/>
        <v>#NAME?</v>
      </c>
      <c r="E2610" s="115" t="e">
        <f t="array" aca="1" ref="E2610" ca="1">IF(OR(C2609=0,AND(B2611=0,C2611=0)),"",IFERROR(INDEX($F$27:$F$36,MATCH(C2610,($F$27:$F$36)*($D$27:$D$36&lt;&gt;0),0)),IF(OR(AND(D2610=0,B2610=0,B2611&lt;&gt;0),AND(D2610*D2609&lt;0,B2610&lt;&gt;0)),IF(D2610=0,C2610,C2610*(1-ABS(D2610)/(ABS(D2610)+ABS(D2609)))+C2609*(1-ABS(D2609)/(ABS(D2610)+ABS(D2609)))),"")))</f>
        <v>#NAME?</v>
      </c>
    </row>
    <row r="2611" spans="2:5" x14ac:dyDescent="0.25">
      <c r="B2611" t="e">
        <f t="shared" ca="1" si="83"/>
        <v>#NAME?</v>
      </c>
      <c r="C2611">
        <v>2568</v>
      </c>
      <c r="D2611" t="e">
        <f t="shared" ca="1" si="82"/>
        <v>#NAME?</v>
      </c>
      <c r="E2611" s="115" t="e">
        <f t="array" aca="1" ref="E2611" ca="1">IF(OR(C2610=0,AND(B2612=0,C2612=0)),"",IFERROR(INDEX($F$27:$F$36,MATCH(C2611,($F$27:$F$36)*($D$27:$D$36&lt;&gt;0),0)),IF(OR(AND(D2611=0,B2611=0,B2612&lt;&gt;0),AND(D2611*D2610&lt;0,B2611&lt;&gt;0)),IF(D2611=0,C2611,C2611*(1-ABS(D2611)/(ABS(D2611)+ABS(D2610)))+C2610*(1-ABS(D2610)/(ABS(D2611)+ABS(D2610)))),"")))</f>
        <v>#NAME?</v>
      </c>
    </row>
    <row r="2612" spans="2:5" x14ac:dyDescent="0.25">
      <c r="B2612" t="e">
        <f t="shared" ca="1" si="83"/>
        <v>#NAME?</v>
      </c>
      <c r="C2612">
        <v>2569</v>
      </c>
      <c r="D2612" t="e">
        <f t="shared" ca="1" si="82"/>
        <v>#NAME?</v>
      </c>
      <c r="E2612" s="115" t="e">
        <f t="array" aca="1" ref="E2612" ca="1">IF(OR(C2611=0,AND(B2613=0,C2613=0)),"",IFERROR(INDEX($F$27:$F$36,MATCH(C2612,($F$27:$F$36)*($D$27:$D$36&lt;&gt;0),0)),IF(OR(AND(D2612=0,B2612=0,B2613&lt;&gt;0),AND(D2612*D2611&lt;0,B2612&lt;&gt;0)),IF(D2612=0,C2612,C2612*(1-ABS(D2612)/(ABS(D2612)+ABS(D2611)))+C2611*(1-ABS(D2611)/(ABS(D2612)+ABS(D2611)))),"")))</f>
        <v>#NAME?</v>
      </c>
    </row>
    <row r="2613" spans="2:5" x14ac:dyDescent="0.25">
      <c r="B2613" t="e">
        <f t="shared" ca="1" si="83"/>
        <v>#NAME?</v>
      </c>
      <c r="C2613">
        <v>2570</v>
      </c>
      <c r="D2613" t="e">
        <f t="shared" ca="1" si="82"/>
        <v>#NAME?</v>
      </c>
      <c r="E2613" s="115" t="e">
        <f t="array" aca="1" ref="E2613" ca="1">IF(OR(C2612=0,AND(B2614=0,C2614=0)),"",IFERROR(INDEX($F$27:$F$36,MATCH(C2613,($F$27:$F$36)*($D$27:$D$36&lt;&gt;0),0)),IF(OR(AND(D2613=0,B2613=0,B2614&lt;&gt;0),AND(D2613*D2612&lt;0,B2613&lt;&gt;0)),IF(D2613=0,C2613,C2613*(1-ABS(D2613)/(ABS(D2613)+ABS(D2612)))+C2612*(1-ABS(D2612)/(ABS(D2613)+ABS(D2612)))),"")))</f>
        <v>#NAME?</v>
      </c>
    </row>
    <row r="2614" spans="2:5" x14ac:dyDescent="0.25">
      <c r="B2614" t="e">
        <f t="shared" ca="1" si="83"/>
        <v>#NAME?</v>
      </c>
      <c r="C2614">
        <v>2571</v>
      </c>
      <c r="D2614" t="e">
        <f t="shared" ca="1" si="82"/>
        <v>#NAME?</v>
      </c>
      <c r="E2614" s="115" t="e">
        <f t="array" aca="1" ref="E2614" ca="1">IF(OR(C2613=0,AND(B2615=0,C2615=0)),"",IFERROR(INDEX($F$27:$F$36,MATCH(C2614,($F$27:$F$36)*($D$27:$D$36&lt;&gt;0),0)),IF(OR(AND(D2614=0,B2614=0,B2615&lt;&gt;0),AND(D2614*D2613&lt;0,B2614&lt;&gt;0)),IF(D2614=0,C2614,C2614*(1-ABS(D2614)/(ABS(D2614)+ABS(D2613)))+C2613*(1-ABS(D2613)/(ABS(D2614)+ABS(D2613)))),"")))</f>
        <v>#NAME?</v>
      </c>
    </row>
    <row r="2615" spans="2:5" x14ac:dyDescent="0.25">
      <c r="B2615" t="e">
        <f t="shared" ca="1" si="83"/>
        <v>#NAME?</v>
      </c>
      <c r="C2615">
        <v>2572</v>
      </c>
      <c r="D2615" t="e">
        <f t="shared" ca="1" si="82"/>
        <v>#NAME?</v>
      </c>
      <c r="E2615" s="115" t="e">
        <f t="array" aca="1" ref="E2615" ca="1">IF(OR(C2614=0,AND(B2616=0,C2616=0)),"",IFERROR(INDEX($F$27:$F$36,MATCH(C2615,($F$27:$F$36)*($D$27:$D$36&lt;&gt;0),0)),IF(OR(AND(D2615=0,B2615=0,B2616&lt;&gt;0),AND(D2615*D2614&lt;0,B2615&lt;&gt;0)),IF(D2615=0,C2615,C2615*(1-ABS(D2615)/(ABS(D2615)+ABS(D2614)))+C2614*(1-ABS(D2614)/(ABS(D2615)+ABS(D2614)))),"")))</f>
        <v>#NAME?</v>
      </c>
    </row>
    <row r="2616" spans="2:5" x14ac:dyDescent="0.25">
      <c r="B2616" t="e">
        <f t="shared" ca="1" si="83"/>
        <v>#NAME?</v>
      </c>
      <c r="C2616">
        <v>2573</v>
      </c>
      <c r="D2616" t="e">
        <f t="shared" ca="1" si="82"/>
        <v>#NAME?</v>
      </c>
      <c r="E2616" s="115" t="e">
        <f t="array" aca="1" ref="E2616" ca="1">IF(OR(C2615=0,AND(B2617=0,C2617=0)),"",IFERROR(INDEX($F$27:$F$36,MATCH(C2616,($F$27:$F$36)*($D$27:$D$36&lt;&gt;0),0)),IF(OR(AND(D2616=0,B2616=0,B2617&lt;&gt;0),AND(D2616*D2615&lt;0,B2616&lt;&gt;0)),IF(D2616=0,C2616,C2616*(1-ABS(D2616)/(ABS(D2616)+ABS(D2615)))+C2615*(1-ABS(D2615)/(ABS(D2616)+ABS(D2615)))),"")))</f>
        <v>#NAME?</v>
      </c>
    </row>
    <row r="2617" spans="2:5" x14ac:dyDescent="0.25">
      <c r="B2617" t="e">
        <f t="shared" ca="1" si="83"/>
        <v>#NAME?</v>
      </c>
      <c r="C2617">
        <v>2574</v>
      </c>
      <c r="D2617" t="e">
        <f t="shared" ca="1" si="82"/>
        <v>#NAME?</v>
      </c>
      <c r="E2617" s="115" t="e">
        <f t="array" aca="1" ref="E2617" ca="1">IF(OR(C2616=0,AND(B2618=0,C2618=0)),"",IFERROR(INDEX($F$27:$F$36,MATCH(C2617,($F$27:$F$36)*($D$27:$D$36&lt;&gt;0),0)),IF(OR(AND(D2617=0,B2617=0,B2618&lt;&gt;0),AND(D2617*D2616&lt;0,B2617&lt;&gt;0)),IF(D2617=0,C2617,C2617*(1-ABS(D2617)/(ABS(D2617)+ABS(D2616)))+C2616*(1-ABS(D2616)/(ABS(D2617)+ABS(D2616)))),"")))</f>
        <v>#NAME?</v>
      </c>
    </row>
    <row r="2618" spans="2:5" x14ac:dyDescent="0.25">
      <c r="B2618" t="e">
        <f t="shared" ca="1" si="83"/>
        <v>#NAME?</v>
      </c>
      <c r="C2618">
        <v>2575</v>
      </c>
      <c r="D2618" t="e">
        <f t="shared" ca="1" si="82"/>
        <v>#NAME?</v>
      </c>
      <c r="E2618" s="115" t="e">
        <f t="array" aca="1" ref="E2618" ca="1">IF(OR(C2617=0,AND(B2619=0,C2619=0)),"",IFERROR(INDEX($F$27:$F$36,MATCH(C2618,($F$27:$F$36)*($D$27:$D$36&lt;&gt;0),0)),IF(OR(AND(D2618=0,B2618=0,B2619&lt;&gt;0),AND(D2618*D2617&lt;0,B2618&lt;&gt;0)),IF(D2618=0,C2618,C2618*(1-ABS(D2618)/(ABS(D2618)+ABS(D2617)))+C2617*(1-ABS(D2617)/(ABS(D2618)+ABS(D2617)))),"")))</f>
        <v>#NAME?</v>
      </c>
    </row>
    <row r="2619" spans="2:5" x14ac:dyDescent="0.25">
      <c r="B2619" t="e">
        <f t="shared" ca="1" si="83"/>
        <v>#NAME?</v>
      </c>
      <c r="C2619">
        <v>2576</v>
      </c>
      <c r="D2619" t="e">
        <f t="shared" ca="1" si="82"/>
        <v>#NAME?</v>
      </c>
      <c r="E2619" s="115" t="e">
        <f t="array" aca="1" ref="E2619" ca="1">IF(OR(C2618=0,AND(B2620=0,C2620=0)),"",IFERROR(INDEX($F$27:$F$36,MATCH(C2619,($F$27:$F$36)*($D$27:$D$36&lt;&gt;0),0)),IF(OR(AND(D2619=0,B2619=0,B2620&lt;&gt;0),AND(D2619*D2618&lt;0,B2619&lt;&gt;0)),IF(D2619=0,C2619,C2619*(1-ABS(D2619)/(ABS(D2619)+ABS(D2618)))+C2618*(1-ABS(D2618)/(ABS(D2619)+ABS(D2618)))),"")))</f>
        <v>#NAME?</v>
      </c>
    </row>
    <row r="2620" spans="2:5" x14ac:dyDescent="0.25">
      <c r="B2620" t="e">
        <f t="shared" ca="1" si="83"/>
        <v>#NAME?</v>
      </c>
      <c r="C2620">
        <v>2577</v>
      </c>
      <c r="D2620" t="e">
        <f t="shared" ca="1" si="82"/>
        <v>#NAME?</v>
      </c>
      <c r="E2620" s="115" t="e">
        <f t="array" aca="1" ref="E2620" ca="1">IF(OR(C2619=0,AND(B2621=0,C2621=0)),"",IFERROR(INDEX($F$27:$F$36,MATCH(C2620,($F$27:$F$36)*($D$27:$D$36&lt;&gt;0),0)),IF(OR(AND(D2620=0,B2620=0,B2621&lt;&gt;0),AND(D2620*D2619&lt;0,B2620&lt;&gt;0)),IF(D2620=0,C2620,C2620*(1-ABS(D2620)/(ABS(D2620)+ABS(D2619)))+C2619*(1-ABS(D2619)/(ABS(D2620)+ABS(D2619)))),"")))</f>
        <v>#NAME?</v>
      </c>
    </row>
    <row r="2621" spans="2:5" x14ac:dyDescent="0.25">
      <c r="B2621" t="e">
        <f t="shared" ca="1" si="83"/>
        <v>#NAME?</v>
      </c>
      <c r="C2621">
        <v>2578</v>
      </c>
      <c r="D2621" t="e">
        <f t="shared" ca="1" si="82"/>
        <v>#NAME?</v>
      </c>
      <c r="E2621" s="115" t="e">
        <f t="array" aca="1" ref="E2621" ca="1">IF(OR(C2620=0,AND(B2622=0,C2622=0)),"",IFERROR(INDEX($F$27:$F$36,MATCH(C2621,($F$27:$F$36)*($D$27:$D$36&lt;&gt;0),0)),IF(OR(AND(D2621=0,B2621=0,B2622&lt;&gt;0),AND(D2621*D2620&lt;0,B2621&lt;&gt;0)),IF(D2621=0,C2621,C2621*(1-ABS(D2621)/(ABS(D2621)+ABS(D2620)))+C2620*(1-ABS(D2620)/(ABS(D2621)+ABS(D2620)))),"")))</f>
        <v>#NAME?</v>
      </c>
    </row>
    <row r="2622" spans="2:5" x14ac:dyDescent="0.25">
      <c r="B2622" t="e">
        <f t="shared" ca="1" si="83"/>
        <v>#NAME?</v>
      </c>
      <c r="C2622">
        <v>2579</v>
      </c>
      <c r="D2622" t="e">
        <f t="shared" ca="1" si="82"/>
        <v>#NAME?</v>
      </c>
      <c r="E2622" s="115" t="e">
        <f t="array" aca="1" ref="E2622" ca="1">IF(OR(C2621=0,AND(B2623=0,C2623=0)),"",IFERROR(INDEX($F$27:$F$36,MATCH(C2622,($F$27:$F$36)*($D$27:$D$36&lt;&gt;0),0)),IF(OR(AND(D2622=0,B2622=0,B2623&lt;&gt;0),AND(D2622*D2621&lt;0,B2622&lt;&gt;0)),IF(D2622=0,C2622,C2622*(1-ABS(D2622)/(ABS(D2622)+ABS(D2621)))+C2621*(1-ABS(D2621)/(ABS(D2622)+ABS(D2621)))),"")))</f>
        <v>#NAME?</v>
      </c>
    </row>
    <row r="2623" spans="2:5" x14ac:dyDescent="0.25">
      <c r="B2623" t="e">
        <f t="shared" ca="1" si="83"/>
        <v>#NAME?</v>
      </c>
      <c r="C2623">
        <v>2580</v>
      </c>
      <c r="D2623" t="e">
        <f t="shared" ca="1" si="82"/>
        <v>#NAME?</v>
      </c>
      <c r="E2623" s="115" t="e">
        <f t="array" aca="1" ref="E2623" ca="1">IF(OR(C2622=0,AND(B2624=0,C2624=0)),"",IFERROR(INDEX($F$27:$F$36,MATCH(C2623,($F$27:$F$36)*($D$27:$D$36&lt;&gt;0),0)),IF(OR(AND(D2623=0,B2623=0,B2624&lt;&gt;0),AND(D2623*D2622&lt;0,B2623&lt;&gt;0)),IF(D2623=0,C2623,C2623*(1-ABS(D2623)/(ABS(D2623)+ABS(D2622)))+C2622*(1-ABS(D2622)/(ABS(D2623)+ABS(D2622)))),"")))</f>
        <v>#NAME?</v>
      </c>
    </row>
    <row r="2624" spans="2:5" x14ac:dyDescent="0.25">
      <c r="B2624" t="e">
        <f t="shared" ca="1" si="83"/>
        <v>#NAME?</v>
      </c>
      <c r="C2624">
        <v>2581</v>
      </c>
      <c r="D2624" t="e">
        <f t="shared" ca="1" si="82"/>
        <v>#NAME?</v>
      </c>
      <c r="E2624" s="115" t="e">
        <f t="array" aca="1" ref="E2624" ca="1">IF(OR(C2623=0,AND(B2625=0,C2625=0)),"",IFERROR(INDEX($F$27:$F$36,MATCH(C2624,($F$27:$F$36)*($D$27:$D$36&lt;&gt;0),0)),IF(OR(AND(D2624=0,B2624=0,B2625&lt;&gt;0),AND(D2624*D2623&lt;0,B2624&lt;&gt;0)),IF(D2624=0,C2624,C2624*(1-ABS(D2624)/(ABS(D2624)+ABS(D2623)))+C2623*(1-ABS(D2623)/(ABS(D2624)+ABS(D2623)))),"")))</f>
        <v>#NAME?</v>
      </c>
    </row>
    <row r="2625" spans="2:5" x14ac:dyDescent="0.25">
      <c r="B2625" t="e">
        <f t="shared" ca="1" si="83"/>
        <v>#NAME?</v>
      </c>
      <c r="C2625">
        <v>2582</v>
      </c>
      <c r="D2625" t="e">
        <f t="shared" ca="1" si="82"/>
        <v>#NAME?</v>
      </c>
      <c r="E2625" s="115" t="e">
        <f t="array" aca="1" ref="E2625" ca="1">IF(OR(C2624=0,AND(B2626=0,C2626=0)),"",IFERROR(INDEX($F$27:$F$36,MATCH(C2625,($F$27:$F$36)*($D$27:$D$36&lt;&gt;0),0)),IF(OR(AND(D2625=0,B2625=0,B2626&lt;&gt;0),AND(D2625*D2624&lt;0,B2625&lt;&gt;0)),IF(D2625=0,C2625,C2625*(1-ABS(D2625)/(ABS(D2625)+ABS(D2624)))+C2624*(1-ABS(D2624)/(ABS(D2625)+ABS(D2624)))),"")))</f>
        <v>#NAME?</v>
      </c>
    </row>
    <row r="2626" spans="2:5" x14ac:dyDescent="0.25">
      <c r="B2626" t="e">
        <f t="shared" ca="1" si="83"/>
        <v>#NAME?</v>
      </c>
      <c r="C2626">
        <v>2583</v>
      </c>
      <c r="D2626" t="e">
        <f t="shared" ca="1" si="82"/>
        <v>#NAME?</v>
      </c>
      <c r="E2626" s="115" t="e">
        <f t="array" aca="1" ref="E2626" ca="1">IF(OR(C2625=0,AND(B2627=0,C2627=0)),"",IFERROR(INDEX($F$27:$F$36,MATCH(C2626,($F$27:$F$36)*($D$27:$D$36&lt;&gt;0),0)),IF(OR(AND(D2626=0,B2626=0,B2627&lt;&gt;0),AND(D2626*D2625&lt;0,B2626&lt;&gt;0)),IF(D2626=0,C2626,C2626*(1-ABS(D2626)/(ABS(D2626)+ABS(D2625)))+C2625*(1-ABS(D2625)/(ABS(D2626)+ABS(D2625)))),"")))</f>
        <v>#NAME?</v>
      </c>
    </row>
    <row r="2627" spans="2:5" x14ac:dyDescent="0.25">
      <c r="B2627" t="e">
        <f t="shared" ca="1" si="83"/>
        <v>#NAME?</v>
      </c>
      <c r="C2627">
        <v>2584</v>
      </c>
      <c r="D2627" t="e">
        <f t="shared" ca="1" si="82"/>
        <v>#NAME?</v>
      </c>
      <c r="E2627" s="115" t="e">
        <f t="array" aca="1" ref="E2627" ca="1">IF(OR(C2626=0,AND(B2628=0,C2628=0)),"",IFERROR(INDEX($F$27:$F$36,MATCH(C2627,($F$27:$F$36)*($D$27:$D$36&lt;&gt;0),0)),IF(OR(AND(D2627=0,B2627=0,B2628&lt;&gt;0),AND(D2627*D2626&lt;0,B2627&lt;&gt;0)),IF(D2627=0,C2627,C2627*(1-ABS(D2627)/(ABS(D2627)+ABS(D2626)))+C2626*(1-ABS(D2626)/(ABS(D2627)+ABS(D2626)))),"")))</f>
        <v>#NAME?</v>
      </c>
    </row>
    <row r="2628" spans="2:5" x14ac:dyDescent="0.25">
      <c r="B2628" t="e">
        <f t="shared" ca="1" si="83"/>
        <v>#NAME?</v>
      </c>
      <c r="C2628">
        <v>2585</v>
      </c>
      <c r="D2628" t="e">
        <f t="shared" ca="1" si="82"/>
        <v>#NAME?</v>
      </c>
      <c r="E2628" s="115" t="e">
        <f t="array" aca="1" ref="E2628" ca="1">IF(OR(C2627=0,AND(B2629=0,C2629=0)),"",IFERROR(INDEX($F$27:$F$36,MATCH(C2628,($F$27:$F$36)*($D$27:$D$36&lt;&gt;0),0)),IF(OR(AND(D2628=0,B2628=0,B2629&lt;&gt;0),AND(D2628*D2627&lt;0,B2628&lt;&gt;0)),IF(D2628=0,C2628,C2628*(1-ABS(D2628)/(ABS(D2628)+ABS(D2627)))+C2627*(1-ABS(D2627)/(ABS(D2628)+ABS(D2627)))),"")))</f>
        <v>#NAME?</v>
      </c>
    </row>
    <row r="2629" spans="2:5" x14ac:dyDescent="0.25">
      <c r="B2629" t="e">
        <f t="shared" ca="1" si="83"/>
        <v>#NAME?</v>
      </c>
      <c r="C2629">
        <v>2586</v>
      </c>
      <c r="D2629" t="e">
        <f t="shared" ca="1" si="82"/>
        <v>#NAME?</v>
      </c>
      <c r="E2629" s="115" t="e">
        <f t="array" aca="1" ref="E2629" ca="1">IF(OR(C2628=0,AND(B2630=0,C2630=0)),"",IFERROR(INDEX($F$27:$F$36,MATCH(C2629,($F$27:$F$36)*($D$27:$D$36&lt;&gt;0),0)),IF(OR(AND(D2629=0,B2629=0,B2630&lt;&gt;0),AND(D2629*D2628&lt;0,B2629&lt;&gt;0)),IF(D2629=0,C2629,C2629*(1-ABS(D2629)/(ABS(D2629)+ABS(D2628)))+C2628*(1-ABS(D2628)/(ABS(D2629)+ABS(D2628)))),"")))</f>
        <v>#NAME?</v>
      </c>
    </row>
    <row r="2630" spans="2:5" x14ac:dyDescent="0.25">
      <c r="B2630" t="e">
        <f t="shared" ca="1" si="83"/>
        <v>#NAME?</v>
      </c>
      <c r="C2630">
        <v>2587</v>
      </c>
      <c r="D2630" t="e">
        <f t="shared" ca="1" si="82"/>
        <v>#NAME?</v>
      </c>
      <c r="E2630" s="115" t="e">
        <f t="array" aca="1" ref="E2630" ca="1">IF(OR(C2629=0,AND(B2631=0,C2631=0)),"",IFERROR(INDEX($F$27:$F$36,MATCH(C2630,($F$27:$F$36)*($D$27:$D$36&lt;&gt;0),0)),IF(OR(AND(D2630=0,B2630=0,B2631&lt;&gt;0),AND(D2630*D2629&lt;0,B2630&lt;&gt;0)),IF(D2630=0,C2630,C2630*(1-ABS(D2630)/(ABS(D2630)+ABS(D2629)))+C2629*(1-ABS(D2629)/(ABS(D2630)+ABS(D2629)))),"")))</f>
        <v>#NAME?</v>
      </c>
    </row>
    <row r="2631" spans="2:5" x14ac:dyDescent="0.25">
      <c r="B2631" t="e">
        <f t="shared" ca="1" si="83"/>
        <v>#NAME?</v>
      </c>
      <c r="C2631">
        <v>2588</v>
      </c>
      <c r="D2631" t="e">
        <f t="shared" ca="1" si="82"/>
        <v>#NAME?</v>
      </c>
      <c r="E2631" s="115" t="e">
        <f t="array" aca="1" ref="E2631" ca="1">IF(OR(C2630=0,AND(B2632=0,C2632=0)),"",IFERROR(INDEX($F$27:$F$36,MATCH(C2631,($F$27:$F$36)*($D$27:$D$36&lt;&gt;0),0)),IF(OR(AND(D2631=0,B2631=0,B2632&lt;&gt;0),AND(D2631*D2630&lt;0,B2631&lt;&gt;0)),IF(D2631=0,C2631,C2631*(1-ABS(D2631)/(ABS(D2631)+ABS(D2630)))+C2630*(1-ABS(D2630)/(ABS(D2631)+ABS(D2630)))),"")))</f>
        <v>#NAME?</v>
      </c>
    </row>
    <row r="2632" spans="2:5" x14ac:dyDescent="0.25">
      <c r="B2632" t="e">
        <f t="shared" ca="1" si="83"/>
        <v>#NAME?</v>
      </c>
      <c r="C2632">
        <v>2589</v>
      </c>
      <c r="D2632" t="e">
        <f t="shared" ca="1" si="82"/>
        <v>#NAME?</v>
      </c>
      <c r="E2632" s="115" t="e">
        <f t="array" aca="1" ref="E2632" ca="1">IF(OR(C2631=0,AND(B2633=0,C2633=0)),"",IFERROR(INDEX($F$27:$F$36,MATCH(C2632,($F$27:$F$36)*($D$27:$D$36&lt;&gt;0),0)),IF(OR(AND(D2632=0,B2632=0,B2633&lt;&gt;0),AND(D2632*D2631&lt;0,B2632&lt;&gt;0)),IF(D2632=0,C2632,C2632*(1-ABS(D2632)/(ABS(D2632)+ABS(D2631)))+C2631*(1-ABS(D2631)/(ABS(D2632)+ABS(D2631)))),"")))</f>
        <v>#NAME?</v>
      </c>
    </row>
    <row r="2633" spans="2:5" x14ac:dyDescent="0.25">
      <c r="B2633" t="e">
        <f t="shared" ca="1" si="83"/>
        <v>#NAME?</v>
      </c>
      <c r="C2633">
        <v>2590</v>
      </c>
      <c r="D2633" t="e">
        <f t="shared" ca="1" si="82"/>
        <v>#NAME?</v>
      </c>
      <c r="E2633" s="115" t="e">
        <f t="array" aca="1" ref="E2633" ca="1">IF(OR(C2632=0,AND(B2634=0,C2634=0)),"",IFERROR(INDEX($F$27:$F$36,MATCH(C2633,($F$27:$F$36)*($D$27:$D$36&lt;&gt;0),0)),IF(OR(AND(D2633=0,B2633=0,B2634&lt;&gt;0),AND(D2633*D2632&lt;0,B2633&lt;&gt;0)),IF(D2633=0,C2633,C2633*(1-ABS(D2633)/(ABS(D2633)+ABS(D2632)))+C2632*(1-ABS(D2632)/(ABS(D2633)+ABS(D2632)))),"")))</f>
        <v>#NAME?</v>
      </c>
    </row>
    <row r="2634" spans="2:5" x14ac:dyDescent="0.25">
      <c r="B2634" t="e">
        <f t="shared" ca="1" si="83"/>
        <v>#NAME?</v>
      </c>
      <c r="C2634">
        <v>2591</v>
      </c>
      <c r="D2634" t="e">
        <f t="shared" ca="1" si="82"/>
        <v>#NAME?</v>
      </c>
      <c r="E2634" s="115" t="e">
        <f t="array" aca="1" ref="E2634" ca="1">IF(OR(C2633=0,AND(B2635=0,C2635=0)),"",IFERROR(INDEX($F$27:$F$36,MATCH(C2634,($F$27:$F$36)*($D$27:$D$36&lt;&gt;0),0)),IF(OR(AND(D2634=0,B2634=0,B2635&lt;&gt;0),AND(D2634*D2633&lt;0,B2634&lt;&gt;0)),IF(D2634=0,C2634,C2634*(1-ABS(D2634)/(ABS(D2634)+ABS(D2633)))+C2633*(1-ABS(D2633)/(ABS(D2634)+ABS(D2633)))),"")))</f>
        <v>#NAME?</v>
      </c>
    </row>
    <row r="2635" spans="2:5" x14ac:dyDescent="0.25">
      <c r="B2635" t="e">
        <f t="shared" ca="1" si="83"/>
        <v>#NAME?</v>
      </c>
      <c r="C2635">
        <v>2592</v>
      </c>
      <c r="D2635" t="e">
        <f t="shared" ca="1" si="82"/>
        <v>#NAME?</v>
      </c>
      <c r="E2635" s="115" t="e">
        <f t="array" aca="1" ref="E2635" ca="1">IF(OR(C2634=0,AND(B2636=0,C2636=0)),"",IFERROR(INDEX($F$27:$F$36,MATCH(C2635,($F$27:$F$36)*($D$27:$D$36&lt;&gt;0),0)),IF(OR(AND(D2635=0,B2635=0,B2636&lt;&gt;0),AND(D2635*D2634&lt;0,B2635&lt;&gt;0)),IF(D2635=0,C2635,C2635*(1-ABS(D2635)/(ABS(D2635)+ABS(D2634)))+C2634*(1-ABS(D2634)/(ABS(D2635)+ABS(D2634)))),"")))</f>
        <v>#NAME?</v>
      </c>
    </row>
    <row r="2636" spans="2:5" x14ac:dyDescent="0.25">
      <c r="B2636" t="e">
        <f t="shared" ca="1" si="83"/>
        <v>#NAME?</v>
      </c>
      <c r="C2636">
        <v>2593</v>
      </c>
      <c r="D2636" t="e">
        <f t="shared" ca="1" si="82"/>
        <v>#NAME?</v>
      </c>
      <c r="E2636" s="115" t="e">
        <f t="array" aca="1" ref="E2636" ca="1">IF(OR(C2635=0,AND(B2637=0,C2637=0)),"",IFERROR(INDEX($F$27:$F$36,MATCH(C2636,($F$27:$F$36)*($D$27:$D$36&lt;&gt;0),0)),IF(OR(AND(D2636=0,B2636=0,B2637&lt;&gt;0),AND(D2636*D2635&lt;0,B2636&lt;&gt;0)),IF(D2636=0,C2636,C2636*(1-ABS(D2636)/(ABS(D2636)+ABS(D2635)))+C2635*(1-ABS(D2635)/(ABS(D2636)+ABS(D2635)))),"")))</f>
        <v>#NAME?</v>
      </c>
    </row>
    <row r="2637" spans="2:5" x14ac:dyDescent="0.25">
      <c r="B2637" t="e">
        <f t="shared" ca="1" si="83"/>
        <v>#NAME?</v>
      </c>
      <c r="C2637">
        <v>2594</v>
      </c>
      <c r="D2637" t="e">
        <f t="shared" ca="1" si="82"/>
        <v>#NAME?</v>
      </c>
      <c r="E2637" s="115" t="e">
        <f t="array" aca="1" ref="E2637" ca="1">IF(OR(C2636=0,AND(B2638=0,C2638=0)),"",IFERROR(INDEX($F$27:$F$36,MATCH(C2637,($F$27:$F$36)*($D$27:$D$36&lt;&gt;0),0)),IF(OR(AND(D2637=0,B2637=0,B2638&lt;&gt;0),AND(D2637*D2636&lt;0,B2637&lt;&gt;0)),IF(D2637=0,C2637,C2637*(1-ABS(D2637)/(ABS(D2637)+ABS(D2636)))+C2636*(1-ABS(D2636)/(ABS(D2637)+ABS(D2636)))),"")))</f>
        <v>#NAME?</v>
      </c>
    </row>
    <row r="2638" spans="2:5" x14ac:dyDescent="0.25">
      <c r="B2638" t="e">
        <f t="shared" ca="1" si="83"/>
        <v>#NAME?</v>
      </c>
      <c r="C2638">
        <v>2595</v>
      </c>
      <c r="D2638" t="e">
        <f t="shared" ca="1" si="82"/>
        <v>#NAME?</v>
      </c>
      <c r="E2638" s="115" t="e">
        <f t="array" aca="1" ref="E2638" ca="1">IF(OR(C2637=0,AND(B2639=0,C2639=0)),"",IFERROR(INDEX($F$27:$F$36,MATCH(C2638,($F$27:$F$36)*($D$27:$D$36&lt;&gt;0),0)),IF(OR(AND(D2638=0,B2638=0,B2639&lt;&gt;0),AND(D2638*D2637&lt;0,B2638&lt;&gt;0)),IF(D2638=0,C2638,C2638*(1-ABS(D2638)/(ABS(D2638)+ABS(D2637)))+C2637*(1-ABS(D2637)/(ABS(D2638)+ABS(D2637)))),"")))</f>
        <v>#NAME?</v>
      </c>
    </row>
    <row r="2639" spans="2:5" x14ac:dyDescent="0.25">
      <c r="B2639" t="e">
        <f t="shared" ca="1" si="83"/>
        <v>#NAME?</v>
      </c>
      <c r="C2639">
        <v>2596</v>
      </c>
      <c r="D2639" t="e">
        <f t="shared" ca="1" si="82"/>
        <v>#NAME?</v>
      </c>
      <c r="E2639" s="115" t="e">
        <f t="array" aca="1" ref="E2639" ca="1">IF(OR(C2638=0,AND(B2640=0,C2640=0)),"",IFERROR(INDEX($F$27:$F$36,MATCH(C2639,($F$27:$F$36)*($D$27:$D$36&lt;&gt;0),0)),IF(OR(AND(D2639=0,B2639=0,B2640&lt;&gt;0),AND(D2639*D2638&lt;0,B2639&lt;&gt;0)),IF(D2639=0,C2639,C2639*(1-ABS(D2639)/(ABS(D2639)+ABS(D2638)))+C2638*(1-ABS(D2638)/(ABS(D2639)+ABS(D2638)))),"")))</f>
        <v>#NAME?</v>
      </c>
    </row>
    <row r="2640" spans="2:5" x14ac:dyDescent="0.25">
      <c r="B2640" t="e">
        <f t="shared" ca="1" si="83"/>
        <v>#NAME?</v>
      </c>
      <c r="C2640">
        <v>2597</v>
      </c>
      <c r="D2640" t="e">
        <f t="shared" ca="1" si="82"/>
        <v>#NAME?</v>
      </c>
      <c r="E2640" s="115" t="e">
        <f t="array" aca="1" ref="E2640" ca="1">IF(OR(C2639=0,AND(B2641=0,C2641=0)),"",IFERROR(INDEX($F$27:$F$36,MATCH(C2640,($F$27:$F$36)*($D$27:$D$36&lt;&gt;0),0)),IF(OR(AND(D2640=0,B2640=0,B2641&lt;&gt;0),AND(D2640*D2639&lt;0,B2640&lt;&gt;0)),IF(D2640=0,C2640,C2640*(1-ABS(D2640)/(ABS(D2640)+ABS(D2639)))+C2639*(1-ABS(D2639)/(ABS(D2640)+ABS(D2639)))),"")))</f>
        <v>#NAME?</v>
      </c>
    </row>
    <row r="2641" spans="2:5" x14ac:dyDescent="0.25">
      <c r="B2641" t="e">
        <f t="shared" ca="1" si="83"/>
        <v>#NAME?</v>
      </c>
      <c r="C2641">
        <v>2598</v>
      </c>
      <c r="D2641" t="e">
        <f t="shared" ca="1" si="82"/>
        <v>#NAME?</v>
      </c>
      <c r="E2641" s="115" t="e">
        <f t="array" aca="1" ref="E2641" ca="1">IF(OR(C2640=0,AND(B2642=0,C2642=0)),"",IFERROR(INDEX($F$27:$F$36,MATCH(C2641,($F$27:$F$36)*($D$27:$D$36&lt;&gt;0),0)),IF(OR(AND(D2641=0,B2641=0,B2642&lt;&gt;0),AND(D2641*D2640&lt;0,B2641&lt;&gt;0)),IF(D2641=0,C2641,C2641*(1-ABS(D2641)/(ABS(D2641)+ABS(D2640)))+C2640*(1-ABS(D2640)/(ABS(D2641)+ABS(D2640)))),"")))</f>
        <v>#NAME?</v>
      </c>
    </row>
    <row r="2642" spans="2:5" x14ac:dyDescent="0.25">
      <c r="B2642" t="e">
        <f t="shared" ca="1" si="83"/>
        <v>#NAME?</v>
      </c>
      <c r="C2642">
        <v>2599</v>
      </c>
      <c r="D2642" t="e">
        <f t="shared" ca="1" si="82"/>
        <v>#NAME?</v>
      </c>
      <c r="E2642" s="115" t="e">
        <f t="array" aca="1" ref="E2642" ca="1">IF(OR(C2641=0,AND(B2643=0,C2643=0)),"",IFERROR(INDEX($F$27:$F$36,MATCH(C2642,($F$27:$F$36)*($D$27:$D$36&lt;&gt;0),0)),IF(OR(AND(D2642=0,B2642=0,B2643&lt;&gt;0),AND(D2642*D2641&lt;0,B2642&lt;&gt;0)),IF(D2642=0,C2642,C2642*(1-ABS(D2642)/(ABS(D2642)+ABS(D2641)))+C2641*(1-ABS(D2641)/(ABS(D2642)+ABS(D2641)))),"")))</f>
        <v>#NAME?</v>
      </c>
    </row>
    <row r="2643" spans="2:5" x14ac:dyDescent="0.25">
      <c r="B2643" t="e">
        <f t="shared" ca="1" si="83"/>
        <v>#NAME?</v>
      </c>
      <c r="C2643">
        <v>2600</v>
      </c>
      <c r="D2643" t="e">
        <f t="shared" ca="1" si="82"/>
        <v>#NAME?</v>
      </c>
      <c r="E2643" s="115" t="e">
        <f t="array" aca="1" ref="E2643" ca="1">IF(OR(C2642=0,AND(B2644=0,C2644=0)),"",IFERROR(INDEX($F$27:$F$36,MATCH(C2643,($F$27:$F$36)*($D$27:$D$36&lt;&gt;0),0)),IF(OR(AND(D2643=0,B2643=0,B2644&lt;&gt;0),AND(D2643*D2642&lt;0,B2643&lt;&gt;0)),IF(D2643=0,C2643,C2643*(1-ABS(D2643)/(ABS(D2643)+ABS(D2642)))+C2642*(1-ABS(D2642)/(ABS(D2643)+ABS(D2642)))),"")))</f>
        <v>#NAME?</v>
      </c>
    </row>
    <row r="2644" spans="2:5" x14ac:dyDescent="0.25">
      <c r="B2644" t="e">
        <f t="shared" ca="1" si="83"/>
        <v>#NAME?</v>
      </c>
      <c r="C2644">
        <v>2601</v>
      </c>
      <c r="D2644" t="e">
        <f t="shared" ca="1" si="82"/>
        <v>#NAME?</v>
      </c>
      <c r="E2644" s="115" t="e">
        <f t="array" aca="1" ref="E2644" ca="1">IF(OR(C2643=0,AND(B2645=0,C2645=0)),"",IFERROR(INDEX($F$27:$F$36,MATCH(C2644,($F$27:$F$36)*($D$27:$D$36&lt;&gt;0),0)),IF(OR(AND(D2644=0,B2644=0,B2645&lt;&gt;0),AND(D2644*D2643&lt;0,B2644&lt;&gt;0)),IF(D2644=0,C2644,C2644*(1-ABS(D2644)/(ABS(D2644)+ABS(D2643)))+C2643*(1-ABS(D2643)/(ABS(D2644)+ABS(D2643)))),"")))</f>
        <v>#NAME?</v>
      </c>
    </row>
    <row r="2645" spans="2:5" x14ac:dyDescent="0.25">
      <c r="B2645" t="e">
        <f t="shared" ca="1" si="83"/>
        <v>#NAME?</v>
      </c>
      <c r="C2645">
        <v>2602</v>
      </c>
      <c r="D2645" t="e">
        <f t="shared" ca="1" si="82"/>
        <v>#NAME?</v>
      </c>
      <c r="E2645" s="115" t="e">
        <f t="array" aca="1" ref="E2645" ca="1">IF(OR(C2644=0,AND(B2646=0,C2646=0)),"",IFERROR(INDEX($F$27:$F$36,MATCH(C2645,($F$27:$F$36)*($D$27:$D$36&lt;&gt;0),0)),IF(OR(AND(D2645=0,B2645=0,B2646&lt;&gt;0),AND(D2645*D2644&lt;0,B2645&lt;&gt;0)),IF(D2645=0,C2645,C2645*(1-ABS(D2645)/(ABS(D2645)+ABS(D2644)))+C2644*(1-ABS(D2644)/(ABS(D2645)+ABS(D2644)))),"")))</f>
        <v>#NAME?</v>
      </c>
    </row>
    <row r="2646" spans="2:5" x14ac:dyDescent="0.25">
      <c r="B2646" t="e">
        <f t="shared" ca="1" si="83"/>
        <v>#NAME?</v>
      </c>
      <c r="C2646">
        <v>2603</v>
      </c>
      <c r="D2646" t="e">
        <f t="shared" ca="1" si="82"/>
        <v>#NAME?</v>
      </c>
      <c r="E2646" s="115" t="e">
        <f t="array" aca="1" ref="E2646" ca="1">IF(OR(C2645=0,AND(B2647=0,C2647=0)),"",IFERROR(INDEX($F$27:$F$36,MATCH(C2646,($F$27:$F$36)*($D$27:$D$36&lt;&gt;0),0)),IF(OR(AND(D2646=0,B2646=0,B2647&lt;&gt;0),AND(D2646*D2645&lt;0,B2646&lt;&gt;0)),IF(D2646=0,C2646,C2646*(1-ABS(D2646)/(ABS(D2646)+ABS(D2645)))+C2645*(1-ABS(D2645)/(ABS(D2646)+ABS(D2645)))),"")))</f>
        <v>#NAME?</v>
      </c>
    </row>
    <row r="2647" spans="2:5" x14ac:dyDescent="0.25">
      <c r="B2647" t="e">
        <f t="shared" ca="1" si="83"/>
        <v>#NAME?</v>
      </c>
      <c r="C2647">
        <v>2604</v>
      </c>
      <c r="D2647" t="e">
        <f t="shared" ca="1" si="82"/>
        <v>#NAME?</v>
      </c>
      <c r="E2647" s="115" t="e">
        <f t="array" aca="1" ref="E2647" ca="1">IF(OR(C2646=0,AND(B2648=0,C2648=0)),"",IFERROR(INDEX($F$27:$F$36,MATCH(C2647,($F$27:$F$36)*($D$27:$D$36&lt;&gt;0),0)),IF(OR(AND(D2647=0,B2647=0,B2648&lt;&gt;0),AND(D2647*D2646&lt;0,B2647&lt;&gt;0)),IF(D2647=0,C2647,C2647*(1-ABS(D2647)/(ABS(D2647)+ABS(D2646)))+C2646*(1-ABS(D2646)/(ABS(D2647)+ABS(D2646)))),"")))</f>
        <v>#NAME?</v>
      </c>
    </row>
    <row r="2648" spans="2:5" x14ac:dyDescent="0.25">
      <c r="B2648" t="e">
        <f t="shared" ca="1" si="83"/>
        <v>#NAME?</v>
      </c>
      <c r="C2648">
        <v>2605</v>
      </c>
      <c r="D2648" t="e">
        <f t="shared" ca="1" si="82"/>
        <v>#NAME?</v>
      </c>
      <c r="E2648" s="115" t="e">
        <f t="array" aca="1" ref="E2648" ca="1">IF(OR(C2647=0,AND(B2649=0,C2649=0)),"",IFERROR(INDEX($F$27:$F$36,MATCH(C2648,($F$27:$F$36)*($D$27:$D$36&lt;&gt;0),0)),IF(OR(AND(D2648=0,B2648=0,B2649&lt;&gt;0),AND(D2648*D2647&lt;0,B2648&lt;&gt;0)),IF(D2648=0,C2648,C2648*(1-ABS(D2648)/(ABS(D2648)+ABS(D2647)))+C2647*(1-ABS(D2647)/(ABS(D2648)+ABS(D2647)))),"")))</f>
        <v>#NAME?</v>
      </c>
    </row>
    <row r="2649" spans="2:5" x14ac:dyDescent="0.25">
      <c r="B2649" t="e">
        <f t="shared" ca="1" si="83"/>
        <v>#NAME?</v>
      </c>
      <c r="C2649">
        <v>2606</v>
      </c>
      <c r="D2649" t="e">
        <f t="shared" ca="1" si="82"/>
        <v>#NAME?</v>
      </c>
      <c r="E2649" s="115" t="e">
        <f t="array" aca="1" ref="E2649" ca="1">IF(OR(C2648=0,AND(B2650=0,C2650=0)),"",IFERROR(INDEX($F$27:$F$36,MATCH(C2649,($F$27:$F$36)*($D$27:$D$36&lt;&gt;0),0)),IF(OR(AND(D2649=0,B2649=0,B2650&lt;&gt;0),AND(D2649*D2648&lt;0,B2649&lt;&gt;0)),IF(D2649=0,C2649,C2649*(1-ABS(D2649)/(ABS(D2649)+ABS(D2648)))+C2648*(1-ABS(D2648)/(ABS(D2649)+ABS(D2648)))),"")))</f>
        <v>#NAME?</v>
      </c>
    </row>
    <row r="2650" spans="2:5" x14ac:dyDescent="0.25">
      <c r="B2650" t="e">
        <f t="shared" ca="1" si="83"/>
        <v>#NAME?</v>
      </c>
      <c r="C2650">
        <v>2607</v>
      </c>
      <c r="D2650" t="e">
        <f t="shared" ca="1" si="82"/>
        <v>#NAME?</v>
      </c>
      <c r="E2650" s="115" t="e">
        <f t="array" aca="1" ref="E2650" ca="1">IF(OR(C2649=0,AND(B2651=0,C2651=0)),"",IFERROR(INDEX($F$27:$F$36,MATCH(C2650,($F$27:$F$36)*($D$27:$D$36&lt;&gt;0),0)),IF(OR(AND(D2650=0,B2650=0,B2651&lt;&gt;0),AND(D2650*D2649&lt;0,B2650&lt;&gt;0)),IF(D2650=0,C2650,C2650*(1-ABS(D2650)/(ABS(D2650)+ABS(D2649)))+C2649*(1-ABS(D2649)/(ABS(D2650)+ABS(D2649)))),"")))</f>
        <v>#NAME?</v>
      </c>
    </row>
    <row r="2651" spans="2:5" x14ac:dyDescent="0.25">
      <c r="B2651" t="e">
        <f t="shared" ca="1" si="83"/>
        <v>#NAME?</v>
      </c>
      <c r="C2651">
        <v>2608</v>
      </c>
      <c r="D2651" t="e">
        <f t="shared" ca="1" si="82"/>
        <v>#NAME?</v>
      </c>
      <c r="E2651" s="115" t="e">
        <f t="array" aca="1" ref="E2651" ca="1">IF(OR(C2650=0,AND(B2652=0,C2652=0)),"",IFERROR(INDEX($F$27:$F$36,MATCH(C2651,($F$27:$F$36)*($D$27:$D$36&lt;&gt;0),0)),IF(OR(AND(D2651=0,B2651=0,B2652&lt;&gt;0),AND(D2651*D2650&lt;0,B2651&lt;&gt;0)),IF(D2651=0,C2651,C2651*(1-ABS(D2651)/(ABS(D2651)+ABS(D2650)))+C2650*(1-ABS(D2650)/(ABS(D2651)+ABS(D2650)))),"")))</f>
        <v>#NAME?</v>
      </c>
    </row>
    <row r="2652" spans="2:5" x14ac:dyDescent="0.25">
      <c r="B2652" t="e">
        <f t="shared" ca="1" si="83"/>
        <v>#NAME?</v>
      </c>
      <c r="C2652">
        <v>2609</v>
      </c>
      <c r="D2652" t="e">
        <f t="shared" ca="1" si="82"/>
        <v>#NAME?</v>
      </c>
      <c r="E2652" s="115" t="e">
        <f t="array" aca="1" ref="E2652" ca="1">IF(OR(C2651=0,AND(B2653=0,C2653=0)),"",IFERROR(INDEX($F$27:$F$36,MATCH(C2652,($F$27:$F$36)*($D$27:$D$36&lt;&gt;0),0)),IF(OR(AND(D2652=0,B2652=0,B2653&lt;&gt;0),AND(D2652*D2651&lt;0,B2652&lt;&gt;0)),IF(D2652=0,C2652,C2652*(1-ABS(D2652)/(ABS(D2652)+ABS(D2651)))+C2651*(1-ABS(D2651)/(ABS(D2652)+ABS(D2651)))),"")))</f>
        <v>#NAME?</v>
      </c>
    </row>
    <row r="2653" spans="2:5" x14ac:dyDescent="0.25">
      <c r="B2653" t="e">
        <f t="shared" ca="1" si="83"/>
        <v>#NAME?</v>
      </c>
      <c r="C2653">
        <v>2610</v>
      </c>
      <c r="D2653" t="e">
        <f t="shared" ca="1" si="82"/>
        <v>#NAME?</v>
      </c>
      <c r="E2653" s="115" t="e">
        <f t="array" aca="1" ref="E2653" ca="1">IF(OR(C2652=0,AND(B2654=0,C2654=0)),"",IFERROR(INDEX($F$27:$F$36,MATCH(C2653,($F$27:$F$36)*($D$27:$D$36&lt;&gt;0),0)),IF(OR(AND(D2653=0,B2653=0,B2654&lt;&gt;0),AND(D2653*D2652&lt;0,B2653&lt;&gt;0)),IF(D2653=0,C2653,C2653*(1-ABS(D2653)/(ABS(D2653)+ABS(D2652)))+C2652*(1-ABS(D2652)/(ABS(D2653)+ABS(D2652)))),"")))</f>
        <v>#NAME?</v>
      </c>
    </row>
    <row r="2654" spans="2:5" x14ac:dyDescent="0.25">
      <c r="B2654" t="e">
        <f t="shared" ca="1" si="83"/>
        <v>#NAME?</v>
      </c>
      <c r="C2654">
        <v>2611</v>
      </c>
      <c r="D2654" t="e">
        <f t="shared" ca="1" si="82"/>
        <v>#NAME?</v>
      </c>
      <c r="E2654" s="115" t="e">
        <f t="array" aca="1" ref="E2654" ca="1">IF(OR(C2653=0,AND(B2655=0,C2655=0)),"",IFERROR(INDEX($F$27:$F$36,MATCH(C2654,($F$27:$F$36)*($D$27:$D$36&lt;&gt;0),0)),IF(OR(AND(D2654=0,B2654=0,B2655&lt;&gt;0),AND(D2654*D2653&lt;0,B2654&lt;&gt;0)),IF(D2654=0,C2654,C2654*(1-ABS(D2654)/(ABS(D2654)+ABS(D2653)))+C2653*(1-ABS(D2653)/(ABS(D2654)+ABS(D2653)))),"")))</f>
        <v>#NAME?</v>
      </c>
    </row>
    <row r="2655" spans="2:5" x14ac:dyDescent="0.25">
      <c r="B2655" t="e">
        <f t="shared" ca="1" si="83"/>
        <v>#NAME?</v>
      </c>
      <c r="C2655">
        <v>2612</v>
      </c>
      <c r="D2655" t="e">
        <f t="shared" ca="1" si="82"/>
        <v>#NAME?</v>
      </c>
      <c r="E2655" s="115" t="e">
        <f t="array" aca="1" ref="E2655" ca="1">IF(OR(C2654=0,AND(B2656=0,C2656=0)),"",IFERROR(INDEX($F$27:$F$36,MATCH(C2655,($F$27:$F$36)*($D$27:$D$36&lt;&gt;0),0)),IF(OR(AND(D2655=0,B2655=0,B2656&lt;&gt;0),AND(D2655*D2654&lt;0,B2655&lt;&gt;0)),IF(D2655=0,C2655,C2655*(1-ABS(D2655)/(ABS(D2655)+ABS(D2654)))+C2654*(1-ABS(D2654)/(ABS(D2655)+ABS(D2654)))),"")))</f>
        <v>#NAME?</v>
      </c>
    </row>
    <row r="2656" spans="2:5" x14ac:dyDescent="0.25">
      <c r="B2656" t="e">
        <f t="shared" ca="1" si="83"/>
        <v>#NAME?</v>
      </c>
      <c r="C2656">
        <v>2613</v>
      </c>
      <c r="D2656" t="e">
        <f t="shared" ca="1" si="82"/>
        <v>#NAME?</v>
      </c>
      <c r="E2656" s="115" t="e">
        <f t="array" aca="1" ref="E2656" ca="1">IF(OR(C2655=0,AND(B2657=0,C2657=0)),"",IFERROR(INDEX($F$27:$F$36,MATCH(C2656,($F$27:$F$36)*($D$27:$D$36&lt;&gt;0),0)),IF(OR(AND(D2656=0,B2656=0,B2657&lt;&gt;0),AND(D2656*D2655&lt;0,B2656&lt;&gt;0)),IF(D2656=0,C2656,C2656*(1-ABS(D2656)/(ABS(D2656)+ABS(D2655)))+C2655*(1-ABS(D2655)/(ABS(D2656)+ABS(D2655)))),"")))</f>
        <v>#NAME?</v>
      </c>
    </row>
    <row r="2657" spans="2:5" x14ac:dyDescent="0.25">
      <c r="B2657" t="e">
        <f t="shared" ca="1" si="83"/>
        <v>#NAME?</v>
      </c>
      <c r="C2657">
        <v>2614</v>
      </c>
      <c r="D2657" t="e">
        <f t="shared" ca="1" si="82"/>
        <v>#NAME?</v>
      </c>
      <c r="E2657" s="115" t="e">
        <f t="array" aca="1" ref="E2657" ca="1">IF(OR(C2656=0,AND(B2658=0,C2658=0)),"",IFERROR(INDEX($F$27:$F$36,MATCH(C2657,($F$27:$F$36)*($D$27:$D$36&lt;&gt;0),0)),IF(OR(AND(D2657=0,B2657=0,B2658&lt;&gt;0),AND(D2657*D2656&lt;0,B2657&lt;&gt;0)),IF(D2657=0,C2657,C2657*(1-ABS(D2657)/(ABS(D2657)+ABS(D2656)))+C2656*(1-ABS(D2656)/(ABS(D2657)+ABS(D2656)))),"")))</f>
        <v>#NAME?</v>
      </c>
    </row>
    <row r="2658" spans="2:5" x14ac:dyDescent="0.25">
      <c r="B2658" t="e">
        <f t="shared" ca="1" si="83"/>
        <v>#NAME?</v>
      </c>
      <c r="C2658">
        <v>2615</v>
      </c>
      <c r="D2658" t="e">
        <f t="shared" ca="1" si="82"/>
        <v>#NAME?</v>
      </c>
      <c r="E2658" s="115" t="e">
        <f t="array" aca="1" ref="E2658" ca="1">IF(OR(C2657=0,AND(B2659=0,C2659=0)),"",IFERROR(INDEX($F$27:$F$36,MATCH(C2658,($F$27:$F$36)*($D$27:$D$36&lt;&gt;0),0)),IF(OR(AND(D2658=0,B2658=0,B2659&lt;&gt;0),AND(D2658*D2657&lt;0,B2658&lt;&gt;0)),IF(D2658=0,C2658,C2658*(1-ABS(D2658)/(ABS(D2658)+ABS(D2657)))+C2657*(1-ABS(D2657)/(ABS(D2658)+ABS(D2657)))),"")))</f>
        <v>#NAME?</v>
      </c>
    </row>
    <row r="2659" spans="2:5" x14ac:dyDescent="0.25">
      <c r="B2659" t="e">
        <f t="shared" ca="1" si="83"/>
        <v>#NAME?</v>
      </c>
      <c r="C2659">
        <v>2616</v>
      </c>
      <c r="D2659" t="e">
        <f t="shared" ca="1" si="82"/>
        <v>#NAME?</v>
      </c>
      <c r="E2659" s="115" t="e">
        <f t="array" aca="1" ref="E2659" ca="1">IF(OR(C2658=0,AND(B2660=0,C2660=0)),"",IFERROR(INDEX($F$27:$F$36,MATCH(C2659,($F$27:$F$36)*($D$27:$D$36&lt;&gt;0),0)),IF(OR(AND(D2659=0,B2659=0,B2660&lt;&gt;0),AND(D2659*D2658&lt;0,B2659&lt;&gt;0)),IF(D2659=0,C2659,C2659*(1-ABS(D2659)/(ABS(D2659)+ABS(D2658)))+C2658*(1-ABS(D2658)/(ABS(D2659)+ABS(D2658)))),"")))</f>
        <v>#NAME?</v>
      </c>
    </row>
    <row r="2660" spans="2:5" x14ac:dyDescent="0.25">
      <c r="B2660" t="e">
        <f t="shared" ca="1" si="83"/>
        <v>#NAME?</v>
      </c>
      <c r="C2660">
        <v>2617</v>
      </c>
      <c r="D2660" t="e">
        <f t="shared" ca="1" si="82"/>
        <v>#NAME?</v>
      </c>
      <c r="E2660" s="115" t="e">
        <f t="array" aca="1" ref="E2660" ca="1">IF(OR(C2659=0,AND(B2661=0,C2661=0)),"",IFERROR(INDEX($F$27:$F$36,MATCH(C2660,($F$27:$F$36)*($D$27:$D$36&lt;&gt;0),0)),IF(OR(AND(D2660=0,B2660=0,B2661&lt;&gt;0),AND(D2660*D2659&lt;0,B2660&lt;&gt;0)),IF(D2660=0,C2660,C2660*(1-ABS(D2660)/(ABS(D2660)+ABS(D2659)))+C2659*(1-ABS(D2659)/(ABS(D2660)+ABS(D2659)))),"")))</f>
        <v>#NAME?</v>
      </c>
    </row>
    <row r="2661" spans="2:5" x14ac:dyDescent="0.25">
      <c r="B2661" t="e">
        <f t="shared" ca="1" si="83"/>
        <v>#NAME?</v>
      </c>
      <c r="C2661">
        <v>2618</v>
      </c>
      <c r="D2661" t="e">
        <f t="shared" ca="1" si="82"/>
        <v>#NAME?</v>
      </c>
      <c r="E2661" s="115" t="e">
        <f t="array" aca="1" ref="E2661" ca="1">IF(OR(C2660=0,AND(B2662=0,C2662=0)),"",IFERROR(INDEX($F$27:$F$36,MATCH(C2661,($F$27:$F$36)*($D$27:$D$36&lt;&gt;0),0)),IF(OR(AND(D2661=0,B2661=0,B2662&lt;&gt;0),AND(D2661*D2660&lt;0,B2661&lt;&gt;0)),IF(D2661=0,C2661,C2661*(1-ABS(D2661)/(ABS(D2661)+ABS(D2660)))+C2660*(1-ABS(D2660)/(ABS(D2661)+ABS(D2660)))),"")))</f>
        <v>#NAME?</v>
      </c>
    </row>
    <row r="2662" spans="2:5" x14ac:dyDescent="0.25">
      <c r="B2662" t="e">
        <f t="shared" ca="1" si="83"/>
        <v>#NAME?</v>
      </c>
      <c r="C2662">
        <v>2619</v>
      </c>
      <c r="D2662" t="e">
        <f t="shared" ca="1" si="82"/>
        <v>#NAME?</v>
      </c>
      <c r="E2662" s="115" t="e">
        <f t="array" aca="1" ref="E2662" ca="1">IF(OR(C2661=0,AND(B2663=0,C2663=0)),"",IFERROR(INDEX($F$27:$F$36,MATCH(C2662,($F$27:$F$36)*($D$27:$D$36&lt;&gt;0),0)),IF(OR(AND(D2662=0,B2662=0,B2663&lt;&gt;0),AND(D2662*D2661&lt;0,B2662&lt;&gt;0)),IF(D2662=0,C2662,C2662*(1-ABS(D2662)/(ABS(D2662)+ABS(D2661)))+C2661*(1-ABS(D2661)/(ABS(D2662)+ABS(D2661)))),"")))</f>
        <v>#NAME?</v>
      </c>
    </row>
    <row r="2663" spans="2:5" x14ac:dyDescent="0.25">
      <c r="B2663" t="e">
        <f t="shared" ca="1" si="83"/>
        <v>#NAME?</v>
      </c>
      <c r="C2663">
        <v>2620</v>
      </c>
      <c r="D2663" t="e">
        <f t="shared" ca="1" si="82"/>
        <v>#NAME?</v>
      </c>
      <c r="E2663" s="115" t="e">
        <f t="array" aca="1" ref="E2663" ca="1">IF(OR(C2662=0,AND(B2664=0,C2664=0)),"",IFERROR(INDEX($F$27:$F$36,MATCH(C2663,($F$27:$F$36)*($D$27:$D$36&lt;&gt;0),0)),IF(OR(AND(D2663=0,B2663=0,B2664&lt;&gt;0),AND(D2663*D2662&lt;0,B2663&lt;&gt;0)),IF(D2663=0,C2663,C2663*(1-ABS(D2663)/(ABS(D2663)+ABS(D2662)))+C2662*(1-ABS(D2662)/(ABS(D2663)+ABS(D2662)))),"")))</f>
        <v>#NAME?</v>
      </c>
    </row>
    <row r="2664" spans="2:5" x14ac:dyDescent="0.25">
      <c r="B2664" t="e">
        <f t="shared" ca="1" si="83"/>
        <v>#NAME?</v>
      </c>
      <c r="C2664">
        <v>2621</v>
      </c>
      <c r="D2664" t="e">
        <f t="shared" ca="1" si="82"/>
        <v>#NAME?</v>
      </c>
      <c r="E2664" s="115" t="e">
        <f t="array" aca="1" ref="E2664" ca="1">IF(OR(C2663=0,AND(B2665=0,C2665=0)),"",IFERROR(INDEX($F$27:$F$36,MATCH(C2664,($F$27:$F$36)*($D$27:$D$36&lt;&gt;0),0)),IF(OR(AND(D2664=0,B2664=0,B2665&lt;&gt;0),AND(D2664*D2663&lt;0,B2664&lt;&gt;0)),IF(D2664=0,C2664,C2664*(1-ABS(D2664)/(ABS(D2664)+ABS(D2663)))+C2663*(1-ABS(D2663)/(ABS(D2664)+ABS(D2663)))),"")))</f>
        <v>#NAME?</v>
      </c>
    </row>
    <row r="2665" spans="2:5" x14ac:dyDescent="0.25">
      <c r="B2665" t="e">
        <f t="shared" ca="1" si="83"/>
        <v>#NAME?</v>
      </c>
      <c r="C2665">
        <v>2622</v>
      </c>
      <c r="D2665" t="e">
        <f t="shared" ca="1" si="82"/>
        <v>#NAME?</v>
      </c>
      <c r="E2665" s="115" t="e">
        <f t="array" aca="1" ref="E2665" ca="1">IF(OR(C2664=0,AND(B2666=0,C2666=0)),"",IFERROR(INDEX($F$27:$F$36,MATCH(C2665,($F$27:$F$36)*($D$27:$D$36&lt;&gt;0),0)),IF(OR(AND(D2665=0,B2665=0,B2666&lt;&gt;0),AND(D2665*D2664&lt;0,B2665&lt;&gt;0)),IF(D2665=0,C2665,C2665*(1-ABS(D2665)/(ABS(D2665)+ABS(D2664)))+C2664*(1-ABS(D2664)/(ABS(D2665)+ABS(D2664)))),"")))</f>
        <v>#NAME?</v>
      </c>
    </row>
    <row r="2666" spans="2:5" x14ac:dyDescent="0.25">
      <c r="B2666" t="e">
        <f t="shared" ca="1" si="83"/>
        <v>#NAME?</v>
      </c>
      <c r="C2666">
        <v>2623</v>
      </c>
      <c r="D2666" t="e">
        <f t="shared" ca="1" si="82"/>
        <v>#NAME?</v>
      </c>
      <c r="E2666" s="115" t="e">
        <f t="array" aca="1" ref="E2666" ca="1">IF(OR(C2665=0,AND(B2667=0,C2667=0)),"",IFERROR(INDEX($F$27:$F$36,MATCH(C2666,($F$27:$F$36)*($D$27:$D$36&lt;&gt;0),0)),IF(OR(AND(D2666=0,B2666=0,B2667&lt;&gt;0),AND(D2666*D2665&lt;0,B2666&lt;&gt;0)),IF(D2666=0,C2666,C2666*(1-ABS(D2666)/(ABS(D2666)+ABS(D2665)))+C2665*(1-ABS(D2665)/(ABS(D2666)+ABS(D2665)))),"")))</f>
        <v>#NAME?</v>
      </c>
    </row>
    <row r="2667" spans="2:5" x14ac:dyDescent="0.25">
      <c r="B2667" t="e">
        <f t="shared" ca="1" si="83"/>
        <v>#NAME?</v>
      </c>
      <c r="C2667">
        <v>2624</v>
      </c>
      <c r="D2667" t="e">
        <f t="shared" ref="D2667:D2730" ca="1" si="84">SUMPRODUCT(--($J$27:$J$37&gt;0),--($C2667-$F$27:$F$37&gt;0),($D$27:$D$37),($C2667-$F$27:$F$37))+SUMPRODUCT(--($J$27:$J$37&lt;0),--($F$27:$F$37-$C2667&gt;0),($D$27:$D$37),($F$27:$F$37-$C2667))-SUMPRODUCT($D$27:$D$37,$E$27:$E$37)</f>
        <v>#NAME?</v>
      </c>
      <c r="E2667" s="115" t="e">
        <f t="array" aca="1" ref="E2667" ca="1">IF(OR(C2666=0,AND(B2668=0,C2668=0)),"",IFERROR(INDEX($F$27:$F$36,MATCH(C2667,($F$27:$F$36)*($D$27:$D$36&lt;&gt;0),0)),IF(OR(AND(D2667=0,B2667=0,B2668&lt;&gt;0),AND(D2667*D2666&lt;0,B2667&lt;&gt;0)),IF(D2667=0,C2667,C2667*(1-ABS(D2667)/(ABS(D2667)+ABS(D2666)))+C2666*(1-ABS(D2666)/(ABS(D2667)+ABS(D2666)))),"")))</f>
        <v>#NAME?</v>
      </c>
    </row>
    <row r="2668" spans="2:5" x14ac:dyDescent="0.25">
      <c r="B2668" t="e">
        <f t="shared" ref="B2668:B2731" ca="1" si="85">ROUND((D2668-D2667)/(C2668-C2667),12)</f>
        <v>#NAME?</v>
      </c>
      <c r="C2668">
        <v>2625</v>
      </c>
      <c r="D2668" t="e">
        <f t="shared" ca="1" si="84"/>
        <v>#NAME?</v>
      </c>
      <c r="E2668" s="115" t="e">
        <f t="array" aca="1" ref="E2668" ca="1">IF(OR(C2667=0,AND(B2669=0,C2669=0)),"",IFERROR(INDEX($F$27:$F$36,MATCH(C2668,($F$27:$F$36)*($D$27:$D$36&lt;&gt;0),0)),IF(OR(AND(D2668=0,B2668=0,B2669&lt;&gt;0),AND(D2668*D2667&lt;0,B2668&lt;&gt;0)),IF(D2668=0,C2668,C2668*(1-ABS(D2668)/(ABS(D2668)+ABS(D2667)))+C2667*(1-ABS(D2667)/(ABS(D2668)+ABS(D2667)))),"")))</f>
        <v>#NAME?</v>
      </c>
    </row>
    <row r="2669" spans="2:5" x14ac:dyDescent="0.25">
      <c r="B2669" t="e">
        <f t="shared" ca="1" si="85"/>
        <v>#NAME?</v>
      </c>
      <c r="C2669">
        <v>2626</v>
      </c>
      <c r="D2669" t="e">
        <f t="shared" ca="1" si="84"/>
        <v>#NAME?</v>
      </c>
      <c r="E2669" s="115" t="e">
        <f t="array" aca="1" ref="E2669" ca="1">IF(OR(C2668=0,AND(B2670=0,C2670=0)),"",IFERROR(INDEX($F$27:$F$36,MATCH(C2669,($F$27:$F$36)*($D$27:$D$36&lt;&gt;0),0)),IF(OR(AND(D2669=0,B2669=0,B2670&lt;&gt;0),AND(D2669*D2668&lt;0,B2669&lt;&gt;0)),IF(D2669=0,C2669,C2669*(1-ABS(D2669)/(ABS(D2669)+ABS(D2668)))+C2668*(1-ABS(D2668)/(ABS(D2669)+ABS(D2668)))),"")))</f>
        <v>#NAME?</v>
      </c>
    </row>
    <row r="2670" spans="2:5" x14ac:dyDescent="0.25">
      <c r="B2670" t="e">
        <f t="shared" ca="1" si="85"/>
        <v>#NAME?</v>
      </c>
      <c r="C2670">
        <v>2627</v>
      </c>
      <c r="D2670" t="e">
        <f t="shared" ca="1" si="84"/>
        <v>#NAME?</v>
      </c>
      <c r="E2670" s="115" t="e">
        <f t="array" aca="1" ref="E2670" ca="1">IF(OR(C2669=0,AND(B2671=0,C2671=0)),"",IFERROR(INDEX($F$27:$F$36,MATCH(C2670,($F$27:$F$36)*($D$27:$D$36&lt;&gt;0),0)),IF(OR(AND(D2670=0,B2670=0,B2671&lt;&gt;0),AND(D2670*D2669&lt;0,B2670&lt;&gt;0)),IF(D2670=0,C2670,C2670*(1-ABS(D2670)/(ABS(D2670)+ABS(D2669)))+C2669*(1-ABS(D2669)/(ABS(D2670)+ABS(D2669)))),"")))</f>
        <v>#NAME?</v>
      </c>
    </row>
    <row r="2671" spans="2:5" x14ac:dyDescent="0.25">
      <c r="B2671" t="e">
        <f t="shared" ca="1" si="85"/>
        <v>#NAME?</v>
      </c>
      <c r="C2671">
        <v>2628</v>
      </c>
      <c r="D2671" t="e">
        <f t="shared" ca="1" si="84"/>
        <v>#NAME?</v>
      </c>
      <c r="E2671" s="115" t="e">
        <f t="array" aca="1" ref="E2671" ca="1">IF(OR(C2670=0,AND(B2672=0,C2672=0)),"",IFERROR(INDEX($F$27:$F$36,MATCH(C2671,($F$27:$F$36)*($D$27:$D$36&lt;&gt;0),0)),IF(OR(AND(D2671=0,B2671=0,B2672&lt;&gt;0),AND(D2671*D2670&lt;0,B2671&lt;&gt;0)),IF(D2671=0,C2671,C2671*(1-ABS(D2671)/(ABS(D2671)+ABS(D2670)))+C2670*(1-ABS(D2670)/(ABS(D2671)+ABS(D2670)))),"")))</f>
        <v>#NAME?</v>
      </c>
    </row>
    <row r="2672" spans="2:5" x14ac:dyDescent="0.25">
      <c r="B2672" t="e">
        <f t="shared" ca="1" si="85"/>
        <v>#NAME?</v>
      </c>
      <c r="C2672">
        <v>2629</v>
      </c>
      <c r="D2672" t="e">
        <f t="shared" ca="1" si="84"/>
        <v>#NAME?</v>
      </c>
      <c r="E2672" s="115" t="e">
        <f t="array" aca="1" ref="E2672" ca="1">IF(OR(C2671=0,AND(B2673=0,C2673=0)),"",IFERROR(INDEX($F$27:$F$36,MATCH(C2672,($F$27:$F$36)*($D$27:$D$36&lt;&gt;0),0)),IF(OR(AND(D2672=0,B2672=0,B2673&lt;&gt;0),AND(D2672*D2671&lt;0,B2672&lt;&gt;0)),IF(D2672=0,C2672,C2672*(1-ABS(D2672)/(ABS(D2672)+ABS(D2671)))+C2671*(1-ABS(D2671)/(ABS(D2672)+ABS(D2671)))),"")))</f>
        <v>#NAME?</v>
      </c>
    </row>
    <row r="2673" spans="2:5" x14ac:dyDescent="0.25">
      <c r="B2673" t="e">
        <f t="shared" ca="1" si="85"/>
        <v>#NAME?</v>
      </c>
      <c r="C2673">
        <v>2630</v>
      </c>
      <c r="D2673" t="e">
        <f t="shared" ca="1" si="84"/>
        <v>#NAME?</v>
      </c>
      <c r="E2673" s="115" t="e">
        <f t="array" aca="1" ref="E2673" ca="1">IF(OR(C2672=0,AND(B2674=0,C2674=0)),"",IFERROR(INDEX($F$27:$F$36,MATCH(C2673,($F$27:$F$36)*($D$27:$D$36&lt;&gt;0),0)),IF(OR(AND(D2673=0,B2673=0,B2674&lt;&gt;0),AND(D2673*D2672&lt;0,B2673&lt;&gt;0)),IF(D2673=0,C2673,C2673*(1-ABS(D2673)/(ABS(D2673)+ABS(D2672)))+C2672*(1-ABS(D2672)/(ABS(D2673)+ABS(D2672)))),"")))</f>
        <v>#NAME?</v>
      </c>
    </row>
    <row r="2674" spans="2:5" x14ac:dyDescent="0.25">
      <c r="B2674" t="e">
        <f t="shared" ca="1" si="85"/>
        <v>#NAME?</v>
      </c>
      <c r="C2674">
        <v>2631</v>
      </c>
      <c r="D2674" t="e">
        <f t="shared" ca="1" si="84"/>
        <v>#NAME?</v>
      </c>
      <c r="E2674" s="115" t="e">
        <f t="array" aca="1" ref="E2674" ca="1">IF(OR(C2673=0,AND(B2675=0,C2675=0)),"",IFERROR(INDEX($F$27:$F$36,MATCH(C2674,($F$27:$F$36)*($D$27:$D$36&lt;&gt;0),0)),IF(OR(AND(D2674=0,B2674=0,B2675&lt;&gt;0),AND(D2674*D2673&lt;0,B2674&lt;&gt;0)),IF(D2674=0,C2674,C2674*(1-ABS(D2674)/(ABS(D2674)+ABS(D2673)))+C2673*(1-ABS(D2673)/(ABS(D2674)+ABS(D2673)))),"")))</f>
        <v>#NAME?</v>
      </c>
    </row>
    <row r="2675" spans="2:5" x14ac:dyDescent="0.25">
      <c r="B2675" t="e">
        <f t="shared" ca="1" si="85"/>
        <v>#NAME?</v>
      </c>
      <c r="C2675">
        <v>2632</v>
      </c>
      <c r="D2675" t="e">
        <f t="shared" ca="1" si="84"/>
        <v>#NAME?</v>
      </c>
      <c r="E2675" s="115" t="e">
        <f t="array" aca="1" ref="E2675" ca="1">IF(OR(C2674=0,AND(B2676=0,C2676=0)),"",IFERROR(INDEX($F$27:$F$36,MATCH(C2675,($F$27:$F$36)*($D$27:$D$36&lt;&gt;0),0)),IF(OR(AND(D2675=0,B2675=0,B2676&lt;&gt;0),AND(D2675*D2674&lt;0,B2675&lt;&gt;0)),IF(D2675=0,C2675,C2675*(1-ABS(D2675)/(ABS(D2675)+ABS(D2674)))+C2674*(1-ABS(D2674)/(ABS(D2675)+ABS(D2674)))),"")))</f>
        <v>#NAME?</v>
      </c>
    </row>
    <row r="2676" spans="2:5" x14ac:dyDescent="0.25">
      <c r="B2676" t="e">
        <f t="shared" ca="1" si="85"/>
        <v>#NAME?</v>
      </c>
      <c r="C2676">
        <v>2633</v>
      </c>
      <c r="D2676" t="e">
        <f t="shared" ca="1" si="84"/>
        <v>#NAME?</v>
      </c>
      <c r="E2676" s="115" t="e">
        <f t="array" aca="1" ref="E2676" ca="1">IF(OR(C2675=0,AND(B2677=0,C2677=0)),"",IFERROR(INDEX($F$27:$F$36,MATCH(C2676,($F$27:$F$36)*($D$27:$D$36&lt;&gt;0),0)),IF(OR(AND(D2676=0,B2676=0,B2677&lt;&gt;0),AND(D2676*D2675&lt;0,B2676&lt;&gt;0)),IF(D2676=0,C2676,C2676*(1-ABS(D2676)/(ABS(D2676)+ABS(D2675)))+C2675*(1-ABS(D2675)/(ABS(D2676)+ABS(D2675)))),"")))</f>
        <v>#NAME?</v>
      </c>
    </row>
    <row r="2677" spans="2:5" x14ac:dyDescent="0.25">
      <c r="B2677" t="e">
        <f t="shared" ca="1" si="85"/>
        <v>#NAME?</v>
      </c>
      <c r="C2677">
        <v>2634</v>
      </c>
      <c r="D2677" t="e">
        <f t="shared" ca="1" si="84"/>
        <v>#NAME?</v>
      </c>
      <c r="E2677" s="115" t="e">
        <f t="array" aca="1" ref="E2677" ca="1">IF(OR(C2676=0,AND(B2678=0,C2678=0)),"",IFERROR(INDEX($F$27:$F$36,MATCH(C2677,($F$27:$F$36)*($D$27:$D$36&lt;&gt;0),0)),IF(OR(AND(D2677=0,B2677=0,B2678&lt;&gt;0),AND(D2677*D2676&lt;0,B2677&lt;&gt;0)),IF(D2677=0,C2677,C2677*(1-ABS(D2677)/(ABS(D2677)+ABS(D2676)))+C2676*(1-ABS(D2676)/(ABS(D2677)+ABS(D2676)))),"")))</f>
        <v>#NAME?</v>
      </c>
    </row>
    <row r="2678" spans="2:5" x14ac:dyDescent="0.25">
      <c r="B2678" t="e">
        <f t="shared" ca="1" si="85"/>
        <v>#NAME?</v>
      </c>
      <c r="C2678">
        <v>2635</v>
      </c>
      <c r="D2678" t="e">
        <f t="shared" ca="1" si="84"/>
        <v>#NAME?</v>
      </c>
      <c r="E2678" s="115" t="e">
        <f t="array" aca="1" ref="E2678" ca="1">IF(OR(C2677=0,AND(B2679=0,C2679=0)),"",IFERROR(INDEX($F$27:$F$36,MATCH(C2678,($F$27:$F$36)*($D$27:$D$36&lt;&gt;0),0)),IF(OR(AND(D2678=0,B2678=0,B2679&lt;&gt;0),AND(D2678*D2677&lt;0,B2678&lt;&gt;0)),IF(D2678=0,C2678,C2678*(1-ABS(D2678)/(ABS(D2678)+ABS(D2677)))+C2677*(1-ABS(D2677)/(ABS(D2678)+ABS(D2677)))),"")))</f>
        <v>#NAME?</v>
      </c>
    </row>
    <row r="2679" spans="2:5" x14ac:dyDescent="0.25">
      <c r="B2679" t="e">
        <f t="shared" ca="1" si="85"/>
        <v>#NAME?</v>
      </c>
      <c r="C2679">
        <v>2636</v>
      </c>
      <c r="D2679" t="e">
        <f t="shared" ca="1" si="84"/>
        <v>#NAME?</v>
      </c>
      <c r="E2679" s="115" t="e">
        <f t="array" aca="1" ref="E2679" ca="1">IF(OR(C2678=0,AND(B2680=0,C2680=0)),"",IFERROR(INDEX($F$27:$F$36,MATCH(C2679,($F$27:$F$36)*($D$27:$D$36&lt;&gt;0),0)),IF(OR(AND(D2679=0,B2679=0,B2680&lt;&gt;0),AND(D2679*D2678&lt;0,B2679&lt;&gt;0)),IF(D2679=0,C2679,C2679*(1-ABS(D2679)/(ABS(D2679)+ABS(D2678)))+C2678*(1-ABS(D2678)/(ABS(D2679)+ABS(D2678)))),"")))</f>
        <v>#NAME?</v>
      </c>
    </row>
    <row r="2680" spans="2:5" x14ac:dyDescent="0.25">
      <c r="B2680" t="e">
        <f t="shared" ca="1" si="85"/>
        <v>#NAME?</v>
      </c>
      <c r="C2680">
        <v>2637</v>
      </c>
      <c r="D2680" t="e">
        <f t="shared" ca="1" si="84"/>
        <v>#NAME?</v>
      </c>
      <c r="E2680" s="115" t="e">
        <f t="array" aca="1" ref="E2680" ca="1">IF(OR(C2679=0,AND(B2681=0,C2681=0)),"",IFERROR(INDEX($F$27:$F$36,MATCH(C2680,($F$27:$F$36)*($D$27:$D$36&lt;&gt;0),0)),IF(OR(AND(D2680=0,B2680=0,B2681&lt;&gt;0),AND(D2680*D2679&lt;0,B2680&lt;&gt;0)),IF(D2680=0,C2680,C2680*(1-ABS(D2680)/(ABS(D2680)+ABS(D2679)))+C2679*(1-ABS(D2679)/(ABS(D2680)+ABS(D2679)))),"")))</f>
        <v>#NAME?</v>
      </c>
    </row>
    <row r="2681" spans="2:5" x14ac:dyDescent="0.25">
      <c r="B2681" t="e">
        <f t="shared" ca="1" si="85"/>
        <v>#NAME?</v>
      </c>
      <c r="C2681">
        <v>2638</v>
      </c>
      <c r="D2681" t="e">
        <f t="shared" ca="1" si="84"/>
        <v>#NAME?</v>
      </c>
      <c r="E2681" s="115" t="e">
        <f t="array" aca="1" ref="E2681" ca="1">IF(OR(C2680=0,AND(B2682=0,C2682=0)),"",IFERROR(INDEX($F$27:$F$36,MATCH(C2681,($F$27:$F$36)*($D$27:$D$36&lt;&gt;0),0)),IF(OR(AND(D2681=0,B2681=0,B2682&lt;&gt;0),AND(D2681*D2680&lt;0,B2681&lt;&gt;0)),IF(D2681=0,C2681,C2681*(1-ABS(D2681)/(ABS(D2681)+ABS(D2680)))+C2680*(1-ABS(D2680)/(ABS(D2681)+ABS(D2680)))),"")))</f>
        <v>#NAME?</v>
      </c>
    </row>
    <row r="2682" spans="2:5" x14ac:dyDescent="0.25">
      <c r="B2682" t="e">
        <f t="shared" ca="1" si="85"/>
        <v>#NAME?</v>
      </c>
      <c r="C2682">
        <v>2639</v>
      </c>
      <c r="D2682" t="e">
        <f t="shared" ca="1" si="84"/>
        <v>#NAME?</v>
      </c>
      <c r="E2682" s="115" t="e">
        <f t="array" aca="1" ref="E2682" ca="1">IF(OR(C2681=0,AND(B2683=0,C2683=0)),"",IFERROR(INDEX($F$27:$F$36,MATCH(C2682,($F$27:$F$36)*($D$27:$D$36&lt;&gt;0),0)),IF(OR(AND(D2682=0,B2682=0,B2683&lt;&gt;0),AND(D2682*D2681&lt;0,B2682&lt;&gt;0)),IF(D2682=0,C2682,C2682*(1-ABS(D2682)/(ABS(D2682)+ABS(D2681)))+C2681*(1-ABS(D2681)/(ABS(D2682)+ABS(D2681)))),"")))</f>
        <v>#NAME?</v>
      </c>
    </row>
    <row r="2683" spans="2:5" x14ac:dyDescent="0.25">
      <c r="B2683" t="e">
        <f t="shared" ca="1" si="85"/>
        <v>#NAME?</v>
      </c>
      <c r="C2683">
        <v>2640</v>
      </c>
      <c r="D2683" t="e">
        <f t="shared" ca="1" si="84"/>
        <v>#NAME?</v>
      </c>
      <c r="E2683" s="115" t="e">
        <f t="array" aca="1" ref="E2683" ca="1">IF(OR(C2682=0,AND(B2684=0,C2684=0)),"",IFERROR(INDEX($F$27:$F$36,MATCH(C2683,($F$27:$F$36)*($D$27:$D$36&lt;&gt;0),0)),IF(OR(AND(D2683=0,B2683=0,B2684&lt;&gt;0),AND(D2683*D2682&lt;0,B2683&lt;&gt;0)),IF(D2683=0,C2683,C2683*(1-ABS(D2683)/(ABS(D2683)+ABS(D2682)))+C2682*(1-ABS(D2682)/(ABS(D2683)+ABS(D2682)))),"")))</f>
        <v>#NAME?</v>
      </c>
    </row>
    <row r="2684" spans="2:5" x14ac:dyDescent="0.25">
      <c r="B2684" t="e">
        <f t="shared" ca="1" si="85"/>
        <v>#NAME?</v>
      </c>
      <c r="C2684">
        <v>2641</v>
      </c>
      <c r="D2684" t="e">
        <f t="shared" ca="1" si="84"/>
        <v>#NAME?</v>
      </c>
      <c r="E2684" s="115" t="e">
        <f t="array" aca="1" ref="E2684" ca="1">IF(OR(C2683=0,AND(B2685=0,C2685=0)),"",IFERROR(INDEX($F$27:$F$36,MATCH(C2684,($F$27:$F$36)*($D$27:$D$36&lt;&gt;0),0)),IF(OR(AND(D2684=0,B2684=0,B2685&lt;&gt;0),AND(D2684*D2683&lt;0,B2684&lt;&gt;0)),IF(D2684=0,C2684,C2684*(1-ABS(D2684)/(ABS(D2684)+ABS(D2683)))+C2683*(1-ABS(D2683)/(ABS(D2684)+ABS(D2683)))),"")))</f>
        <v>#NAME?</v>
      </c>
    </row>
    <row r="2685" spans="2:5" x14ac:dyDescent="0.25">
      <c r="B2685" t="e">
        <f t="shared" ca="1" si="85"/>
        <v>#NAME?</v>
      </c>
      <c r="C2685">
        <v>2642</v>
      </c>
      <c r="D2685" t="e">
        <f t="shared" ca="1" si="84"/>
        <v>#NAME?</v>
      </c>
      <c r="E2685" s="115" t="e">
        <f t="array" aca="1" ref="E2685" ca="1">IF(OR(C2684=0,AND(B2686=0,C2686=0)),"",IFERROR(INDEX($F$27:$F$36,MATCH(C2685,($F$27:$F$36)*($D$27:$D$36&lt;&gt;0),0)),IF(OR(AND(D2685=0,B2685=0,B2686&lt;&gt;0),AND(D2685*D2684&lt;0,B2685&lt;&gt;0)),IF(D2685=0,C2685,C2685*(1-ABS(D2685)/(ABS(D2685)+ABS(D2684)))+C2684*(1-ABS(D2684)/(ABS(D2685)+ABS(D2684)))),"")))</f>
        <v>#NAME?</v>
      </c>
    </row>
    <row r="2686" spans="2:5" x14ac:dyDescent="0.25">
      <c r="B2686" t="e">
        <f t="shared" ca="1" si="85"/>
        <v>#NAME?</v>
      </c>
      <c r="C2686">
        <v>2643</v>
      </c>
      <c r="D2686" t="e">
        <f t="shared" ca="1" si="84"/>
        <v>#NAME?</v>
      </c>
      <c r="E2686" s="115" t="e">
        <f t="array" aca="1" ref="E2686" ca="1">IF(OR(C2685=0,AND(B2687=0,C2687=0)),"",IFERROR(INDEX($F$27:$F$36,MATCH(C2686,($F$27:$F$36)*($D$27:$D$36&lt;&gt;0),0)),IF(OR(AND(D2686=0,B2686=0,B2687&lt;&gt;0),AND(D2686*D2685&lt;0,B2686&lt;&gt;0)),IF(D2686=0,C2686,C2686*(1-ABS(D2686)/(ABS(D2686)+ABS(D2685)))+C2685*(1-ABS(D2685)/(ABS(D2686)+ABS(D2685)))),"")))</f>
        <v>#NAME?</v>
      </c>
    </row>
    <row r="2687" spans="2:5" x14ac:dyDescent="0.25">
      <c r="B2687" t="e">
        <f t="shared" ca="1" si="85"/>
        <v>#NAME?</v>
      </c>
      <c r="C2687">
        <v>2644</v>
      </c>
      <c r="D2687" t="e">
        <f t="shared" ca="1" si="84"/>
        <v>#NAME?</v>
      </c>
      <c r="E2687" s="115" t="e">
        <f t="array" aca="1" ref="E2687" ca="1">IF(OR(C2686=0,AND(B2688=0,C2688=0)),"",IFERROR(INDEX($F$27:$F$36,MATCH(C2687,($F$27:$F$36)*($D$27:$D$36&lt;&gt;0),0)),IF(OR(AND(D2687=0,B2687=0,B2688&lt;&gt;0),AND(D2687*D2686&lt;0,B2687&lt;&gt;0)),IF(D2687=0,C2687,C2687*(1-ABS(D2687)/(ABS(D2687)+ABS(D2686)))+C2686*(1-ABS(D2686)/(ABS(D2687)+ABS(D2686)))),"")))</f>
        <v>#NAME?</v>
      </c>
    </row>
    <row r="2688" spans="2:5" x14ac:dyDescent="0.25">
      <c r="B2688" t="e">
        <f t="shared" ca="1" si="85"/>
        <v>#NAME?</v>
      </c>
      <c r="C2688">
        <v>2645</v>
      </c>
      <c r="D2688" t="e">
        <f t="shared" ca="1" si="84"/>
        <v>#NAME?</v>
      </c>
      <c r="E2688" s="115" t="e">
        <f t="array" aca="1" ref="E2688" ca="1">IF(OR(C2687=0,AND(B2689=0,C2689=0)),"",IFERROR(INDEX($F$27:$F$36,MATCH(C2688,($F$27:$F$36)*($D$27:$D$36&lt;&gt;0),0)),IF(OR(AND(D2688=0,B2688=0,B2689&lt;&gt;0),AND(D2688*D2687&lt;0,B2688&lt;&gt;0)),IF(D2688=0,C2688,C2688*(1-ABS(D2688)/(ABS(D2688)+ABS(D2687)))+C2687*(1-ABS(D2687)/(ABS(D2688)+ABS(D2687)))),"")))</f>
        <v>#NAME?</v>
      </c>
    </row>
    <row r="2689" spans="2:5" x14ac:dyDescent="0.25">
      <c r="B2689" t="e">
        <f t="shared" ca="1" si="85"/>
        <v>#NAME?</v>
      </c>
      <c r="C2689">
        <v>2646</v>
      </c>
      <c r="D2689" t="e">
        <f t="shared" ca="1" si="84"/>
        <v>#NAME?</v>
      </c>
      <c r="E2689" s="115" t="e">
        <f t="array" aca="1" ref="E2689" ca="1">IF(OR(C2688=0,AND(B2690=0,C2690=0)),"",IFERROR(INDEX($F$27:$F$36,MATCH(C2689,($F$27:$F$36)*($D$27:$D$36&lt;&gt;0),0)),IF(OR(AND(D2689=0,B2689=0,B2690&lt;&gt;0),AND(D2689*D2688&lt;0,B2689&lt;&gt;0)),IF(D2689=0,C2689,C2689*(1-ABS(D2689)/(ABS(D2689)+ABS(D2688)))+C2688*(1-ABS(D2688)/(ABS(D2689)+ABS(D2688)))),"")))</f>
        <v>#NAME?</v>
      </c>
    </row>
    <row r="2690" spans="2:5" x14ac:dyDescent="0.25">
      <c r="B2690" t="e">
        <f t="shared" ca="1" si="85"/>
        <v>#NAME?</v>
      </c>
      <c r="C2690">
        <v>2647</v>
      </c>
      <c r="D2690" t="e">
        <f t="shared" ca="1" si="84"/>
        <v>#NAME?</v>
      </c>
      <c r="E2690" s="115" t="e">
        <f t="array" aca="1" ref="E2690" ca="1">IF(OR(C2689=0,AND(B2691=0,C2691=0)),"",IFERROR(INDEX($F$27:$F$36,MATCH(C2690,($F$27:$F$36)*($D$27:$D$36&lt;&gt;0),0)),IF(OR(AND(D2690=0,B2690=0,B2691&lt;&gt;0),AND(D2690*D2689&lt;0,B2690&lt;&gt;0)),IF(D2690=0,C2690,C2690*(1-ABS(D2690)/(ABS(D2690)+ABS(D2689)))+C2689*(1-ABS(D2689)/(ABS(D2690)+ABS(D2689)))),"")))</f>
        <v>#NAME?</v>
      </c>
    </row>
    <row r="2691" spans="2:5" x14ac:dyDescent="0.25">
      <c r="B2691" t="e">
        <f t="shared" ca="1" si="85"/>
        <v>#NAME?</v>
      </c>
      <c r="C2691">
        <v>2648</v>
      </c>
      <c r="D2691" t="e">
        <f t="shared" ca="1" si="84"/>
        <v>#NAME?</v>
      </c>
      <c r="E2691" s="115" t="e">
        <f t="array" aca="1" ref="E2691" ca="1">IF(OR(C2690=0,AND(B2692=0,C2692=0)),"",IFERROR(INDEX($F$27:$F$36,MATCH(C2691,($F$27:$F$36)*($D$27:$D$36&lt;&gt;0),0)),IF(OR(AND(D2691=0,B2691=0,B2692&lt;&gt;0),AND(D2691*D2690&lt;0,B2691&lt;&gt;0)),IF(D2691=0,C2691,C2691*(1-ABS(D2691)/(ABS(D2691)+ABS(D2690)))+C2690*(1-ABS(D2690)/(ABS(D2691)+ABS(D2690)))),"")))</f>
        <v>#NAME?</v>
      </c>
    </row>
    <row r="2692" spans="2:5" x14ac:dyDescent="0.25">
      <c r="B2692" t="e">
        <f t="shared" ca="1" si="85"/>
        <v>#NAME?</v>
      </c>
      <c r="C2692">
        <v>2649</v>
      </c>
      <c r="D2692" t="e">
        <f t="shared" ca="1" si="84"/>
        <v>#NAME?</v>
      </c>
      <c r="E2692" s="115" t="e">
        <f t="array" aca="1" ref="E2692" ca="1">IF(OR(C2691=0,AND(B2693=0,C2693=0)),"",IFERROR(INDEX($F$27:$F$36,MATCH(C2692,($F$27:$F$36)*($D$27:$D$36&lt;&gt;0),0)),IF(OR(AND(D2692=0,B2692=0,B2693&lt;&gt;0),AND(D2692*D2691&lt;0,B2692&lt;&gt;0)),IF(D2692=0,C2692,C2692*(1-ABS(D2692)/(ABS(D2692)+ABS(D2691)))+C2691*(1-ABS(D2691)/(ABS(D2692)+ABS(D2691)))),"")))</f>
        <v>#NAME?</v>
      </c>
    </row>
    <row r="2693" spans="2:5" x14ac:dyDescent="0.25">
      <c r="B2693" t="e">
        <f t="shared" ca="1" si="85"/>
        <v>#NAME?</v>
      </c>
      <c r="C2693">
        <v>2650</v>
      </c>
      <c r="D2693" t="e">
        <f t="shared" ca="1" si="84"/>
        <v>#NAME?</v>
      </c>
      <c r="E2693" s="115" t="e">
        <f t="array" aca="1" ref="E2693" ca="1">IF(OR(C2692=0,AND(B2694=0,C2694=0)),"",IFERROR(INDEX($F$27:$F$36,MATCH(C2693,($F$27:$F$36)*($D$27:$D$36&lt;&gt;0),0)),IF(OR(AND(D2693=0,B2693=0,B2694&lt;&gt;0),AND(D2693*D2692&lt;0,B2693&lt;&gt;0)),IF(D2693=0,C2693,C2693*(1-ABS(D2693)/(ABS(D2693)+ABS(D2692)))+C2692*(1-ABS(D2692)/(ABS(D2693)+ABS(D2692)))),"")))</f>
        <v>#NAME?</v>
      </c>
    </row>
    <row r="2694" spans="2:5" x14ac:dyDescent="0.25">
      <c r="B2694" t="e">
        <f t="shared" ca="1" si="85"/>
        <v>#NAME?</v>
      </c>
      <c r="C2694">
        <v>2651</v>
      </c>
      <c r="D2694" t="e">
        <f t="shared" ca="1" si="84"/>
        <v>#NAME?</v>
      </c>
      <c r="E2694" s="115" t="e">
        <f t="array" aca="1" ref="E2694" ca="1">IF(OR(C2693=0,AND(B2695=0,C2695=0)),"",IFERROR(INDEX($F$27:$F$36,MATCH(C2694,($F$27:$F$36)*($D$27:$D$36&lt;&gt;0),0)),IF(OR(AND(D2694=0,B2694=0,B2695&lt;&gt;0),AND(D2694*D2693&lt;0,B2694&lt;&gt;0)),IF(D2694=0,C2694,C2694*(1-ABS(D2694)/(ABS(D2694)+ABS(D2693)))+C2693*(1-ABS(D2693)/(ABS(D2694)+ABS(D2693)))),"")))</f>
        <v>#NAME?</v>
      </c>
    </row>
    <row r="2695" spans="2:5" x14ac:dyDescent="0.25">
      <c r="B2695" t="e">
        <f t="shared" ca="1" si="85"/>
        <v>#NAME?</v>
      </c>
      <c r="C2695">
        <v>2652</v>
      </c>
      <c r="D2695" t="e">
        <f t="shared" ca="1" si="84"/>
        <v>#NAME?</v>
      </c>
      <c r="E2695" s="115" t="e">
        <f t="array" aca="1" ref="E2695" ca="1">IF(OR(C2694=0,AND(B2696=0,C2696=0)),"",IFERROR(INDEX($F$27:$F$36,MATCH(C2695,($F$27:$F$36)*($D$27:$D$36&lt;&gt;0),0)),IF(OR(AND(D2695=0,B2695=0,B2696&lt;&gt;0),AND(D2695*D2694&lt;0,B2695&lt;&gt;0)),IF(D2695=0,C2695,C2695*(1-ABS(D2695)/(ABS(D2695)+ABS(D2694)))+C2694*(1-ABS(D2694)/(ABS(D2695)+ABS(D2694)))),"")))</f>
        <v>#NAME?</v>
      </c>
    </row>
    <row r="2696" spans="2:5" x14ac:dyDescent="0.25">
      <c r="B2696" t="e">
        <f t="shared" ca="1" si="85"/>
        <v>#NAME?</v>
      </c>
      <c r="C2696">
        <v>2653</v>
      </c>
      <c r="D2696" t="e">
        <f t="shared" ca="1" si="84"/>
        <v>#NAME?</v>
      </c>
      <c r="E2696" s="115" t="e">
        <f t="array" aca="1" ref="E2696" ca="1">IF(OR(C2695=0,AND(B2697=0,C2697=0)),"",IFERROR(INDEX($F$27:$F$36,MATCH(C2696,($F$27:$F$36)*($D$27:$D$36&lt;&gt;0),0)),IF(OR(AND(D2696=0,B2696=0,B2697&lt;&gt;0),AND(D2696*D2695&lt;0,B2696&lt;&gt;0)),IF(D2696=0,C2696,C2696*(1-ABS(D2696)/(ABS(D2696)+ABS(D2695)))+C2695*(1-ABS(D2695)/(ABS(D2696)+ABS(D2695)))),"")))</f>
        <v>#NAME?</v>
      </c>
    </row>
    <row r="2697" spans="2:5" x14ac:dyDescent="0.25">
      <c r="B2697" t="e">
        <f t="shared" ca="1" si="85"/>
        <v>#NAME?</v>
      </c>
      <c r="C2697">
        <v>2654</v>
      </c>
      <c r="D2697" t="e">
        <f t="shared" ca="1" si="84"/>
        <v>#NAME?</v>
      </c>
      <c r="E2697" s="115" t="e">
        <f t="array" aca="1" ref="E2697" ca="1">IF(OR(C2696=0,AND(B2698=0,C2698=0)),"",IFERROR(INDEX($F$27:$F$36,MATCH(C2697,($F$27:$F$36)*($D$27:$D$36&lt;&gt;0),0)),IF(OR(AND(D2697=0,B2697=0,B2698&lt;&gt;0),AND(D2697*D2696&lt;0,B2697&lt;&gt;0)),IF(D2697=0,C2697,C2697*(1-ABS(D2697)/(ABS(D2697)+ABS(D2696)))+C2696*(1-ABS(D2696)/(ABS(D2697)+ABS(D2696)))),"")))</f>
        <v>#NAME?</v>
      </c>
    </row>
    <row r="2698" spans="2:5" x14ac:dyDescent="0.25">
      <c r="B2698" t="e">
        <f t="shared" ca="1" si="85"/>
        <v>#NAME?</v>
      </c>
      <c r="C2698">
        <v>2655</v>
      </c>
      <c r="D2698" t="e">
        <f t="shared" ca="1" si="84"/>
        <v>#NAME?</v>
      </c>
      <c r="E2698" s="115" t="e">
        <f t="array" aca="1" ref="E2698" ca="1">IF(OR(C2697=0,AND(B2699=0,C2699=0)),"",IFERROR(INDEX($F$27:$F$36,MATCH(C2698,($F$27:$F$36)*($D$27:$D$36&lt;&gt;0),0)),IF(OR(AND(D2698=0,B2698=0,B2699&lt;&gt;0),AND(D2698*D2697&lt;0,B2698&lt;&gt;0)),IF(D2698=0,C2698,C2698*(1-ABS(D2698)/(ABS(D2698)+ABS(D2697)))+C2697*(1-ABS(D2697)/(ABS(D2698)+ABS(D2697)))),"")))</f>
        <v>#NAME?</v>
      </c>
    </row>
    <row r="2699" spans="2:5" x14ac:dyDescent="0.25">
      <c r="B2699" t="e">
        <f t="shared" ca="1" si="85"/>
        <v>#NAME?</v>
      </c>
      <c r="C2699">
        <v>2656</v>
      </c>
      <c r="D2699" t="e">
        <f t="shared" ca="1" si="84"/>
        <v>#NAME?</v>
      </c>
      <c r="E2699" s="115" t="e">
        <f t="array" aca="1" ref="E2699" ca="1">IF(OR(C2698=0,AND(B2700=0,C2700=0)),"",IFERROR(INDEX($F$27:$F$36,MATCH(C2699,($F$27:$F$36)*($D$27:$D$36&lt;&gt;0),0)),IF(OR(AND(D2699=0,B2699=0,B2700&lt;&gt;0),AND(D2699*D2698&lt;0,B2699&lt;&gt;0)),IF(D2699=0,C2699,C2699*(1-ABS(D2699)/(ABS(D2699)+ABS(D2698)))+C2698*(1-ABS(D2698)/(ABS(D2699)+ABS(D2698)))),"")))</f>
        <v>#NAME?</v>
      </c>
    </row>
    <row r="2700" spans="2:5" x14ac:dyDescent="0.25">
      <c r="B2700" t="e">
        <f t="shared" ca="1" si="85"/>
        <v>#NAME?</v>
      </c>
      <c r="C2700">
        <v>2657</v>
      </c>
      <c r="D2700" t="e">
        <f t="shared" ca="1" si="84"/>
        <v>#NAME?</v>
      </c>
      <c r="E2700" s="115" t="e">
        <f t="array" aca="1" ref="E2700" ca="1">IF(OR(C2699=0,AND(B2701=0,C2701=0)),"",IFERROR(INDEX($F$27:$F$36,MATCH(C2700,($F$27:$F$36)*($D$27:$D$36&lt;&gt;0),0)),IF(OR(AND(D2700=0,B2700=0,B2701&lt;&gt;0),AND(D2700*D2699&lt;0,B2700&lt;&gt;0)),IF(D2700=0,C2700,C2700*(1-ABS(D2700)/(ABS(D2700)+ABS(D2699)))+C2699*(1-ABS(D2699)/(ABS(D2700)+ABS(D2699)))),"")))</f>
        <v>#NAME?</v>
      </c>
    </row>
    <row r="2701" spans="2:5" x14ac:dyDescent="0.25">
      <c r="B2701" t="e">
        <f t="shared" ca="1" si="85"/>
        <v>#NAME?</v>
      </c>
      <c r="C2701">
        <v>2658</v>
      </c>
      <c r="D2701" t="e">
        <f t="shared" ca="1" si="84"/>
        <v>#NAME?</v>
      </c>
      <c r="E2701" s="115" t="e">
        <f t="array" aca="1" ref="E2701" ca="1">IF(OR(C2700=0,AND(B2702=0,C2702=0)),"",IFERROR(INDEX($F$27:$F$36,MATCH(C2701,($F$27:$F$36)*($D$27:$D$36&lt;&gt;0),0)),IF(OR(AND(D2701=0,B2701=0,B2702&lt;&gt;0),AND(D2701*D2700&lt;0,B2701&lt;&gt;0)),IF(D2701=0,C2701,C2701*(1-ABS(D2701)/(ABS(D2701)+ABS(D2700)))+C2700*(1-ABS(D2700)/(ABS(D2701)+ABS(D2700)))),"")))</f>
        <v>#NAME?</v>
      </c>
    </row>
    <row r="2702" spans="2:5" x14ac:dyDescent="0.25">
      <c r="B2702" t="e">
        <f t="shared" ca="1" si="85"/>
        <v>#NAME?</v>
      </c>
      <c r="C2702">
        <v>2659</v>
      </c>
      <c r="D2702" t="e">
        <f t="shared" ca="1" si="84"/>
        <v>#NAME?</v>
      </c>
      <c r="E2702" s="115" t="e">
        <f t="array" aca="1" ref="E2702" ca="1">IF(OR(C2701=0,AND(B2703=0,C2703=0)),"",IFERROR(INDEX($F$27:$F$36,MATCH(C2702,($F$27:$F$36)*($D$27:$D$36&lt;&gt;0),0)),IF(OR(AND(D2702=0,B2702=0,B2703&lt;&gt;0),AND(D2702*D2701&lt;0,B2702&lt;&gt;0)),IF(D2702=0,C2702,C2702*(1-ABS(D2702)/(ABS(D2702)+ABS(D2701)))+C2701*(1-ABS(D2701)/(ABS(D2702)+ABS(D2701)))),"")))</f>
        <v>#NAME?</v>
      </c>
    </row>
    <row r="2703" spans="2:5" x14ac:dyDescent="0.25">
      <c r="B2703" t="e">
        <f t="shared" ca="1" si="85"/>
        <v>#NAME?</v>
      </c>
      <c r="C2703">
        <v>2660</v>
      </c>
      <c r="D2703" t="e">
        <f t="shared" ca="1" si="84"/>
        <v>#NAME?</v>
      </c>
      <c r="E2703" s="115" t="e">
        <f t="array" aca="1" ref="E2703" ca="1">IF(OR(C2702=0,AND(B2704=0,C2704=0)),"",IFERROR(INDEX($F$27:$F$36,MATCH(C2703,($F$27:$F$36)*($D$27:$D$36&lt;&gt;0),0)),IF(OR(AND(D2703=0,B2703=0,B2704&lt;&gt;0),AND(D2703*D2702&lt;0,B2703&lt;&gt;0)),IF(D2703=0,C2703,C2703*(1-ABS(D2703)/(ABS(D2703)+ABS(D2702)))+C2702*(1-ABS(D2702)/(ABS(D2703)+ABS(D2702)))),"")))</f>
        <v>#NAME?</v>
      </c>
    </row>
    <row r="2704" spans="2:5" x14ac:dyDescent="0.25">
      <c r="B2704" t="e">
        <f t="shared" ca="1" si="85"/>
        <v>#NAME?</v>
      </c>
      <c r="C2704">
        <v>2661</v>
      </c>
      <c r="D2704" t="e">
        <f t="shared" ca="1" si="84"/>
        <v>#NAME?</v>
      </c>
      <c r="E2704" s="115" t="e">
        <f t="array" aca="1" ref="E2704" ca="1">IF(OR(C2703=0,AND(B2705=0,C2705=0)),"",IFERROR(INDEX($F$27:$F$36,MATCH(C2704,($F$27:$F$36)*($D$27:$D$36&lt;&gt;0),0)),IF(OR(AND(D2704=0,B2704=0,B2705&lt;&gt;0),AND(D2704*D2703&lt;0,B2704&lt;&gt;0)),IF(D2704=0,C2704,C2704*(1-ABS(D2704)/(ABS(D2704)+ABS(D2703)))+C2703*(1-ABS(D2703)/(ABS(D2704)+ABS(D2703)))),"")))</f>
        <v>#NAME?</v>
      </c>
    </row>
    <row r="2705" spans="2:5" x14ac:dyDescent="0.25">
      <c r="B2705" t="e">
        <f t="shared" ca="1" si="85"/>
        <v>#NAME?</v>
      </c>
      <c r="C2705">
        <v>2662</v>
      </c>
      <c r="D2705" t="e">
        <f t="shared" ca="1" si="84"/>
        <v>#NAME?</v>
      </c>
      <c r="E2705" s="115" t="e">
        <f t="array" aca="1" ref="E2705" ca="1">IF(OR(C2704=0,AND(B2706=0,C2706=0)),"",IFERROR(INDEX($F$27:$F$36,MATCH(C2705,($F$27:$F$36)*($D$27:$D$36&lt;&gt;0),0)),IF(OR(AND(D2705=0,B2705=0,B2706&lt;&gt;0),AND(D2705*D2704&lt;0,B2705&lt;&gt;0)),IF(D2705=0,C2705,C2705*(1-ABS(D2705)/(ABS(D2705)+ABS(D2704)))+C2704*(1-ABS(D2704)/(ABS(D2705)+ABS(D2704)))),"")))</f>
        <v>#NAME?</v>
      </c>
    </row>
    <row r="2706" spans="2:5" x14ac:dyDescent="0.25">
      <c r="B2706" t="e">
        <f t="shared" ca="1" si="85"/>
        <v>#NAME?</v>
      </c>
      <c r="C2706">
        <v>2663</v>
      </c>
      <c r="D2706" t="e">
        <f t="shared" ca="1" si="84"/>
        <v>#NAME?</v>
      </c>
      <c r="E2706" s="115" t="e">
        <f t="array" aca="1" ref="E2706" ca="1">IF(OR(C2705=0,AND(B2707=0,C2707=0)),"",IFERROR(INDEX($F$27:$F$36,MATCH(C2706,($F$27:$F$36)*($D$27:$D$36&lt;&gt;0),0)),IF(OR(AND(D2706=0,B2706=0,B2707&lt;&gt;0),AND(D2706*D2705&lt;0,B2706&lt;&gt;0)),IF(D2706=0,C2706,C2706*(1-ABS(D2706)/(ABS(D2706)+ABS(D2705)))+C2705*(1-ABS(D2705)/(ABS(D2706)+ABS(D2705)))),"")))</f>
        <v>#NAME?</v>
      </c>
    </row>
    <row r="2707" spans="2:5" x14ac:dyDescent="0.25">
      <c r="B2707" t="e">
        <f t="shared" ca="1" si="85"/>
        <v>#NAME?</v>
      </c>
      <c r="C2707">
        <v>2664</v>
      </c>
      <c r="D2707" t="e">
        <f t="shared" ca="1" si="84"/>
        <v>#NAME?</v>
      </c>
      <c r="E2707" s="115" t="e">
        <f t="array" aca="1" ref="E2707" ca="1">IF(OR(C2706=0,AND(B2708=0,C2708=0)),"",IFERROR(INDEX($F$27:$F$36,MATCH(C2707,($F$27:$F$36)*($D$27:$D$36&lt;&gt;0),0)),IF(OR(AND(D2707=0,B2707=0,B2708&lt;&gt;0),AND(D2707*D2706&lt;0,B2707&lt;&gt;0)),IF(D2707=0,C2707,C2707*(1-ABS(D2707)/(ABS(D2707)+ABS(D2706)))+C2706*(1-ABS(D2706)/(ABS(D2707)+ABS(D2706)))),"")))</f>
        <v>#NAME?</v>
      </c>
    </row>
    <row r="2708" spans="2:5" x14ac:dyDescent="0.25">
      <c r="B2708" t="e">
        <f t="shared" ca="1" si="85"/>
        <v>#NAME?</v>
      </c>
      <c r="C2708">
        <v>2665</v>
      </c>
      <c r="D2708" t="e">
        <f t="shared" ca="1" si="84"/>
        <v>#NAME?</v>
      </c>
      <c r="E2708" s="115" t="e">
        <f t="array" aca="1" ref="E2708" ca="1">IF(OR(C2707=0,AND(B2709=0,C2709=0)),"",IFERROR(INDEX($F$27:$F$36,MATCH(C2708,($F$27:$F$36)*($D$27:$D$36&lt;&gt;0),0)),IF(OR(AND(D2708=0,B2708=0,B2709&lt;&gt;0),AND(D2708*D2707&lt;0,B2708&lt;&gt;0)),IF(D2708=0,C2708,C2708*(1-ABS(D2708)/(ABS(D2708)+ABS(D2707)))+C2707*(1-ABS(D2707)/(ABS(D2708)+ABS(D2707)))),"")))</f>
        <v>#NAME?</v>
      </c>
    </row>
    <row r="2709" spans="2:5" x14ac:dyDescent="0.25">
      <c r="B2709" t="e">
        <f t="shared" ca="1" si="85"/>
        <v>#NAME?</v>
      </c>
      <c r="C2709">
        <v>2666</v>
      </c>
      <c r="D2709" t="e">
        <f t="shared" ca="1" si="84"/>
        <v>#NAME?</v>
      </c>
      <c r="E2709" s="115" t="e">
        <f t="array" aca="1" ref="E2709" ca="1">IF(OR(C2708=0,AND(B2710=0,C2710=0)),"",IFERROR(INDEX($F$27:$F$36,MATCH(C2709,($F$27:$F$36)*($D$27:$D$36&lt;&gt;0),0)),IF(OR(AND(D2709=0,B2709=0,B2710&lt;&gt;0),AND(D2709*D2708&lt;0,B2709&lt;&gt;0)),IF(D2709=0,C2709,C2709*(1-ABS(D2709)/(ABS(D2709)+ABS(D2708)))+C2708*(1-ABS(D2708)/(ABS(D2709)+ABS(D2708)))),"")))</f>
        <v>#NAME?</v>
      </c>
    </row>
    <row r="2710" spans="2:5" x14ac:dyDescent="0.25">
      <c r="B2710" t="e">
        <f t="shared" ca="1" si="85"/>
        <v>#NAME?</v>
      </c>
      <c r="C2710">
        <v>2667</v>
      </c>
      <c r="D2710" t="e">
        <f t="shared" ca="1" si="84"/>
        <v>#NAME?</v>
      </c>
      <c r="E2710" s="115" t="e">
        <f t="array" aca="1" ref="E2710" ca="1">IF(OR(C2709=0,AND(B2711=0,C2711=0)),"",IFERROR(INDEX($F$27:$F$36,MATCH(C2710,($F$27:$F$36)*($D$27:$D$36&lt;&gt;0),0)),IF(OR(AND(D2710=0,B2710=0,B2711&lt;&gt;0),AND(D2710*D2709&lt;0,B2710&lt;&gt;0)),IF(D2710=0,C2710,C2710*(1-ABS(D2710)/(ABS(D2710)+ABS(D2709)))+C2709*(1-ABS(D2709)/(ABS(D2710)+ABS(D2709)))),"")))</f>
        <v>#NAME?</v>
      </c>
    </row>
    <row r="2711" spans="2:5" x14ac:dyDescent="0.25">
      <c r="B2711" t="e">
        <f t="shared" ca="1" si="85"/>
        <v>#NAME?</v>
      </c>
      <c r="C2711">
        <v>2668</v>
      </c>
      <c r="D2711" t="e">
        <f t="shared" ca="1" si="84"/>
        <v>#NAME?</v>
      </c>
      <c r="E2711" s="115" t="e">
        <f t="array" aca="1" ref="E2711" ca="1">IF(OR(C2710=0,AND(B2712=0,C2712=0)),"",IFERROR(INDEX($F$27:$F$36,MATCH(C2711,($F$27:$F$36)*($D$27:$D$36&lt;&gt;0),0)),IF(OR(AND(D2711=0,B2711=0,B2712&lt;&gt;0),AND(D2711*D2710&lt;0,B2711&lt;&gt;0)),IF(D2711=0,C2711,C2711*(1-ABS(D2711)/(ABS(D2711)+ABS(D2710)))+C2710*(1-ABS(D2710)/(ABS(D2711)+ABS(D2710)))),"")))</f>
        <v>#NAME?</v>
      </c>
    </row>
    <row r="2712" spans="2:5" x14ac:dyDescent="0.25">
      <c r="B2712" t="e">
        <f t="shared" ca="1" si="85"/>
        <v>#NAME?</v>
      </c>
      <c r="C2712">
        <v>2669</v>
      </c>
      <c r="D2712" t="e">
        <f t="shared" ca="1" si="84"/>
        <v>#NAME?</v>
      </c>
      <c r="E2712" s="115" t="e">
        <f t="array" aca="1" ref="E2712" ca="1">IF(OR(C2711=0,AND(B2713=0,C2713=0)),"",IFERROR(INDEX($F$27:$F$36,MATCH(C2712,($F$27:$F$36)*($D$27:$D$36&lt;&gt;0),0)),IF(OR(AND(D2712=0,B2712=0,B2713&lt;&gt;0),AND(D2712*D2711&lt;0,B2712&lt;&gt;0)),IF(D2712=0,C2712,C2712*(1-ABS(D2712)/(ABS(D2712)+ABS(D2711)))+C2711*(1-ABS(D2711)/(ABS(D2712)+ABS(D2711)))),"")))</f>
        <v>#NAME?</v>
      </c>
    </row>
    <row r="2713" spans="2:5" x14ac:dyDescent="0.25">
      <c r="B2713" t="e">
        <f t="shared" ca="1" si="85"/>
        <v>#NAME?</v>
      </c>
      <c r="C2713">
        <v>2670</v>
      </c>
      <c r="D2713" t="e">
        <f t="shared" ca="1" si="84"/>
        <v>#NAME?</v>
      </c>
      <c r="E2713" s="115" t="e">
        <f t="array" aca="1" ref="E2713" ca="1">IF(OR(C2712=0,AND(B2714=0,C2714=0)),"",IFERROR(INDEX($F$27:$F$36,MATCH(C2713,($F$27:$F$36)*($D$27:$D$36&lt;&gt;0),0)),IF(OR(AND(D2713=0,B2713=0,B2714&lt;&gt;0),AND(D2713*D2712&lt;0,B2713&lt;&gt;0)),IF(D2713=0,C2713,C2713*(1-ABS(D2713)/(ABS(D2713)+ABS(D2712)))+C2712*(1-ABS(D2712)/(ABS(D2713)+ABS(D2712)))),"")))</f>
        <v>#NAME?</v>
      </c>
    </row>
    <row r="2714" spans="2:5" x14ac:dyDescent="0.25">
      <c r="B2714" t="e">
        <f t="shared" ca="1" si="85"/>
        <v>#NAME?</v>
      </c>
      <c r="C2714">
        <v>2671</v>
      </c>
      <c r="D2714" t="e">
        <f t="shared" ca="1" si="84"/>
        <v>#NAME?</v>
      </c>
      <c r="E2714" s="115" t="e">
        <f t="array" aca="1" ref="E2714" ca="1">IF(OR(C2713=0,AND(B2715=0,C2715=0)),"",IFERROR(INDEX($F$27:$F$36,MATCH(C2714,($F$27:$F$36)*($D$27:$D$36&lt;&gt;0),0)),IF(OR(AND(D2714=0,B2714=0,B2715&lt;&gt;0),AND(D2714*D2713&lt;0,B2714&lt;&gt;0)),IF(D2714=0,C2714,C2714*(1-ABS(D2714)/(ABS(D2714)+ABS(D2713)))+C2713*(1-ABS(D2713)/(ABS(D2714)+ABS(D2713)))),"")))</f>
        <v>#NAME?</v>
      </c>
    </row>
    <row r="2715" spans="2:5" x14ac:dyDescent="0.25">
      <c r="B2715" t="e">
        <f t="shared" ca="1" si="85"/>
        <v>#NAME?</v>
      </c>
      <c r="C2715">
        <v>2672</v>
      </c>
      <c r="D2715" t="e">
        <f t="shared" ca="1" si="84"/>
        <v>#NAME?</v>
      </c>
      <c r="E2715" s="115" t="e">
        <f t="array" aca="1" ref="E2715" ca="1">IF(OR(C2714=0,AND(B2716=0,C2716=0)),"",IFERROR(INDEX($F$27:$F$36,MATCH(C2715,($F$27:$F$36)*($D$27:$D$36&lt;&gt;0),0)),IF(OR(AND(D2715=0,B2715=0,B2716&lt;&gt;0),AND(D2715*D2714&lt;0,B2715&lt;&gt;0)),IF(D2715=0,C2715,C2715*(1-ABS(D2715)/(ABS(D2715)+ABS(D2714)))+C2714*(1-ABS(D2714)/(ABS(D2715)+ABS(D2714)))),"")))</f>
        <v>#NAME?</v>
      </c>
    </row>
    <row r="2716" spans="2:5" x14ac:dyDescent="0.25">
      <c r="B2716" t="e">
        <f t="shared" ca="1" si="85"/>
        <v>#NAME?</v>
      </c>
      <c r="C2716">
        <v>2673</v>
      </c>
      <c r="D2716" t="e">
        <f t="shared" ca="1" si="84"/>
        <v>#NAME?</v>
      </c>
      <c r="E2716" s="115" t="e">
        <f t="array" aca="1" ref="E2716" ca="1">IF(OR(C2715=0,AND(B2717=0,C2717=0)),"",IFERROR(INDEX($F$27:$F$36,MATCH(C2716,($F$27:$F$36)*($D$27:$D$36&lt;&gt;0),0)),IF(OR(AND(D2716=0,B2716=0,B2717&lt;&gt;0),AND(D2716*D2715&lt;0,B2716&lt;&gt;0)),IF(D2716=0,C2716,C2716*(1-ABS(D2716)/(ABS(D2716)+ABS(D2715)))+C2715*(1-ABS(D2715)/(ABS(D2716)+ABS(D2715)))),"")))</f>
        <v>#NAME?</v>
      </c>
    </row>
    <row r="2717" spans="2:5" x14ac:dyDescent="0.25">
      <c r="B2717" t="e">
        <f t="shared" ca="1" si="85"/>
        <v>#NAME?</v>
      </c>
      <c r="C2717">
        <v>2674</v>
      </c>
      <c r="D2717" t="e">
        <f t="shared" ca="1" si="84"/>
        <v>#NAME?</v>
      </c>
      <c r="E2717" s="115" t="e">
        <f t="array" aca="1" ref="E2717" ca="1">IF(OR(C2716=0,AND(B2718=0,C2718=0)),"",IFERROR(INDEX($F$27:$F$36,MATCH(C2717,($F$27:$F$36)*($D$27:$D$36&lt;&gt;0),0)),IF(OR(AND(D2717=0,B2717=0,B2718&lt;&gt;0),AND(D2717*D2716&lt;0,B2717&lt;&gt;0)),IF(D2717=0,C2717,C2717*(1-ABS(D2717)/(ABS(D2717)+ABS(D2716)))+C2716*(1-ABS(D2716)/(ABS(D2717)+ABS(D2716)))),"")))</f>
        <v>#NAME?</v>
      </c>
    </row>
    <row r="2718" spans="2:5" x14ac:dyDescent="0.25">
      <c r="B2718" t="e">
        <f t="shared" ca="1" si="85"/>
        <v>#NAME?</v>
      </c>
      <c r="C2718">
        <v>2675</v>
      </c>
      <c r="D2718" t="e">
        <f t="shared" ca="1" si="84"/>
        <v>#NAME?</v>
      </c>
      <c r="E2718" s="115" t="e">
        <f t="array" aca="1" ref="E2718" ca="1">IF(OR(C2717=0,AND(B2719=0,C2719=0)),"",IFERROR(INDEX($F$27:$F$36,MATCH(C2718,($F$27:$F$36)*($D$27:$D$36&lt;&gt;0),0)),IF(OR(AND(D2718=0,B2718=0,B2719&lt;&gt;0),AND(D2718*D2717&lt;0,B2718&lt;&gt;0)),IF(D2718=0,C2718,C2718*(1-ABS(D2718)/(ABS(D2718)+ABS(D2717)))+C2717*(1-ABS(D2717)/(ABS(D2718)+ABS(D2717)))),"")))</f>
        <v>#NAME?</v>
      </c>
    </row>
    <row r="2719" spans="2:5" x14ac:dyDescent="0.25">
      <c r="B2719" t="e">
        <f t="shared" ca="1" si="85"/>
        <v>#NAME?</v>
      </c>
      <c r="C2719">
        <v>2676</v>
      </c>
      <c r="D2719" t="e">
        <f t="shared" ca="1" si="84"/>
        <v>#NAME?</v>
      </c>
      <c r="E2719" s="115" t="e">
        <f t="array" aca="1" ref="E2719" ca="1">IF(OR(C2718=0,AND(B2720=0,C2720=0)),"",IFERROR(INDEX($F$27:$F$36,MATCH(C2719,($F$27:$F$36)*($D$27:$D$36&lt;&gt;0),0)),IF(OR(AND(D2719=0,B2719=0,B2720&lt;&gt;0),AND(D2719*D2718&lt;0,B2719&lt;&gt;0)),IF(D2719=0,C2719,C2719*(1-ABS(D2719)/(ABS(D2719)+ABS(D2718)))+C2718*(1-ABS(D2718)/(ABS(D2719)+ABS(D2718)))),"")))</f>
        <v>#NAME?</v>
      </c>
    </row>
    <row r="2720" spans="2:5" x14ac:dyDescent="0.25">
      <c r="B2720" t="e">
        <f t="shared" ca="1" si="85"/>
        <v>#NAME?</v>
      </c>
      <c r="C2720">
        <v>2677</v>
      </c>
      <c r="D2720" t="e">
        <f t="shared" ca="1" si="84"/>
        <v>#NAME?</v>
      </c>
      <c r="E2720" s="115" t="e">
        <f t="array" aca="1" ref="E2720" ca="1">IF(OR(C2719=0,AND(B2721=0,C2721=0)),"",IFERROR(INDEX($F$27:$F$36,MATCH(C2720,($F$27:$F$36)*($D$27:$D$36&lt;&gt;0),0)),IF(OR(AND(D2720=0,B2720=0,B2721&lt;&gt;0),AND(D2720*D2719&lt;0,B2720&lt;&gt;0)),IF(D2720=0,C2720,C2720*(1-ABS(D2720)/(ABS(D2720)+ABS(D2719)))+C2719*(1-ABS(D2719)/(ABS(D2720)+ABS(D2719)))),"")))</f>
        <v>#NAME?</v>
      </c>
    </row>
    <row r="2721" spans="2:5" x14ac:dyDescent="0.25">
      <c r="B2721" t="e">
        <f t="shared" ca="1" si="85"/>
        <v>#NAME?</v>
      </c>
      <c r="C2721">
        <v>2678</v>
      </c>
      <c r="D2721" t="e">
        <f t="shared" ca="1" si="84"/>
        <v>#NAME?</v>
      </c>
      <c r="E2721" s="115" t="e">
        <f t="array" aca="1" ref="E2721" ca="1">IF(OR(C2720=0,AND(B2722=0,C2722=0)),"",IFERROR(INDEX($F$27:$F$36,MATCH(C2721,($F$27:$F$36)*($D$27:$D$36&lt;&gt;0),0)),IF(OR(AND(D2721=0,B2721=0,B2722&lt;&gt;0),AND(D2721*D2720&lt;0,B2721&lt;&gt;0)),IF(D2721=0,C2721,C2721*(1-ABS(D2721)/(ABS(D2721)+ABS(D2720)))+C2720*(1-ABS(D2720)/(ABS(D2721)+ABS(D2720)))),"")))</f>
        <v>#NAME?</v>
      </c>
    </row>
    <row r="2722" spans="2:5" x14ac:dyDescent="0.25">
      <c r="B2722" t="e">
        <f t="shared" ca="1" si="85"/>
        <v>#NAME?</v>
      </c>
      <c r="C2722">
        <v>2679</v>
      </c>
      <c r="D2722" t="e">
        <f t="shared" ca="1" si="84"/>
        <v>#NAME?</v>
      </c>
      <c r="E2722" s="115" t="e">
        <f t="array" aca="1" ref="E2722" ca="1">IF(OR(C2721=0,AND(B2723=0,C2723=0)),"",IFERROR(INDEX($F$27:$F$36,MATCH(C2722,($F$27:$F$36)*($D$27:$D$36&lt;&gt;0),0)),IF(OR(AND(D2722=0,B2722=0,B2723&lt;&gt;0),AND(D2722*D2721&lt;0,B2722&lt;&gt;0)),IF(D2722=0,C2722,C2722*(1-ABS(D2722)/(ABS(D2722)+ABS(D2721)))+C2721*(1-ABS(D2721)/(ABS(D2722)+ABS(D2721)))),"")))</f>
        <v>#NAME?</v>
      </c>
    </row>
    <row r="2723" spans="2:5" x14ac:dyDescent="0.25">
      <c r="B2723" t="e">
        <f t="shared" ca="1" si="85"/>
        <v>#NAME?</v>
      </c>
      <c r="C2723">
        <v>2680</v>
      </c>
      <c r="D2723" t="e">
        <f t="shared" ca="1" si="84"/>
        <v>#NAME?</v>
      </c>
      <c r="E2723" s="115" t="e">
        <f t="array" aca="1" ref="E2723" ca="1">IF(OR(C2722=0,AND(B2724=0,C2724=0)),"",IFERROR(INDEX($F$27:$F$36,MATCH(C2723,($F$27:$F$36)*($D$27:$D$36&lt;&gt;0),0)),IF(OR(AND(D2723=0,B2723=0,B2724&lt;&gt;0),AND(D2723*D2722&lt;0,B2723&lt;&gt;0)),IF(D2723=0,C2723,C2723*(1-ABS(D2723)/(ABS(D2723)+ABS(D2722)))+C2722*(1-ABS(D2722)/(ABS(D2723)+ABS(D2722)))),"")))</f>
        <v>#NAME?</v>
      </c>
    </row>
    <row r="2724" spans="2:5" x14ac:dyDescent="0.25">
      <c r="B2724" t="e">
        <f t="shared" ca="1" si="85"/>
        <v>#NAME?</v>
      </c>
      <c r="C2724">
        <v>2681</v>
      </c>
      <c r="D2724" t="e">
        <f t="shared" ca="1" si="84"/>
        <v>#NAME?</v>
      </c>
      <c r="E2724" s="115" t="e">
        <f t="array" aca="1" ref="E2724" ca="1">IF(OR(C2723=0,AND(B2725=0,C2725=0)),"",IFERROR(INDEX($F$27:$F$36,MATCH(C2724,($F$27:$F$36)*($D$27:$D$36&lt;&gt;0),0)),IF(OR(AND(D2724=0,B2724=0,B2725&lt;&gt;0),AND(D2724*D2723&lt;0,B2724&lt;&gt;0)),IF(D2724=0,C2724,C2724*(1-ABS(D2724)/(ABS(D2724)+ABS(D2723)))+C2723*(1-ABS(D2723)/(ABS(D2724)+ABS(D2723)))),"")))</f>
        <v>#NAME?</v>
      </c>
    </row>
    <row r="2725" spans="2:5" x14ac:dyDescent="0.25">
      <c r="B2725" t="e">
        <f t="shared" ca="1" si="85"/>
        <v>#NAME?</v>
      </c>
      <c r="C2725">
        <v>2682</v>
      </c>
      <c r="D2725" t="e">
        <f t="shared" ca="1" si="84"/>
        <v>#NAME?</v>
      </c>
      <c r="E2725" s="115" t="e">
        <f t="array" aca="1" ref="E2725" ca="1">IF(OR(C2724=0,AND(B2726=0,C2726=0)),"",IFERROR(INDEX($F$27:$F$36,MATCH(C2725,($F$27:$F$36)*($D$27:$D$36&lt;&gt;0),0)),IF(OR(AND(D2725=0,B2725=0,B2726&lt;&gt;0),AND(D2725*D2724&lt;0,B2725&lt;&gt;0)),IF(D2725=0,C2725,C2725*(1-ABS(D2725)/(ABS(D2725)+ABS(D2724)))+C2724*(1-ABS(D2724)/(ABS(D2725)+ABS(D2724)))),"")))</f>
        <v>#NAME?</v>
      </c>
    </row>
    <row r="2726" spans="2:5" x14ac:dyDescent="0.25">
      <c r="B2726" t="e">
        <f t="shared" ca="1" si="85"/>
        <v>#NAME?</v>
      </c>
      <c r="C2726">
        <v>2683</v>
      </c>
      <c r="D2726" t="e">
        <f t="shared" ca="1" si="84"/>
        <v>#NAME?</v>
      </c>
      <c r="E2726" s="115" t="e">
        <f t="array" aca="1" ref="E2726" ca="1">IF(OR(C2725=0,AND(B2727=0,C2727=0)),"",IFERROR(INDEX($F$27:$F$36,MATCH(C2726,($F$27:$F$36)*($D$27:$D$36&lt;&gt;0),0)),IF(OR(AND(D2726=0,B2726=0,B2727&lt;&gt;0),AND(D2726*D2725&lt;0,B2726&lt;&gt;0)),IF(D2726=0,C2726,C2726*(1-ABS(D2726)/(ABS(D2726)+ABS(D2725)))+C2725*(1-ABS(D2725)/(ABS(D2726)+ABS(D2725)))),"")))</f>
        <v>#NAME?</v>
      </c>
    </row>
    <row r="2727" spans="2:5" x14ac:dyDescent="0.25">
      <c r="B2727" t="e">
        <f t="shared" ca="1" si="85"/>
        <v>#NAME?</v>
      </c>
      <c r="C2727">
        <v>2684</v>
      </c>
      <c r="D2727" t="e">
        <f t="shared" ca="1" si="84"/>
        <v>#NAME?</v>
      </c>
      <c r="E2727" s="115" t="e">
        <f t="array" aca="1" ref="E2727" ca="1">IF(OR(C2726=0,AND(B2728=0,C2728=0)),"",IFERROR(INDEX($F$27:$F$36,MATCH(C2727,($F$27:$F$36)*($D$27:$D$36&lt;&gt;0),0)),IF(OR(AND(D2727=0,B2727=0,B2728&lt;&gt;0),AND(D2727*D2726&lt;0,B2727&lt;&gt;0)),IF(D2727=0,C2727,C2727*(1-ABS(D2727)/(ABS(D2727)+ABS(D2726)))+C2726*(1-ABS(D2726)/(ABS(D2727)+ABS(D2726)))),"")))</f>
        <v>#NAME?</v>
      </c>
    </row>
    <row r="2728" spans="2:5" x14ac:dyDescent="0.25">
      <c r="B2728" t="e">
        <f t="shared" ca="1" si="85"/>
        <v>#NAME?</v>
      </c>
      <c r="C2728">
        <v>2685</v>
      </c>
      <c r="D2728" t="e">
        <f t="shared" ca="1" si="84"/>
        <v>#NAME?</v>
      </c>
      <c r="E2728" s="115" t="e">
        <f t="array" aca="1" ref="E2728" ca="1">IF(OR(C2727=0,AND(B2729=0,C2729=0)),"",IFERROR(INDEX($F$27:$F$36,MATCH(C2728,($F$27:$F$36)*($D$27:$D$36&lt;&gt;0),0)),IF(OR(AND(D2728=0,B2728=0,B2729&lt;&gt;0),AND(D2728*D2727&lt;0,B2728&lt;&gt;0)),IF(D2728=0,C2728,C2728*(1-ABS(D2728)/(ABS(D2728)+ABS(D2727)))+C2727*(1-ABS(D2727)/(ABS(D2728)+ABS(D2727)))),"")))</f>
        <v>#NAME?</v>
      </c>
    </row>
    <row r="2729" spans="2:5" x14ac:dyDescent="0.25">
      <c r="B2729" t="e">
        <f t="shared" ca="1" si="85"/>
        <v>#NAME?</v>
      </c>
      <c r="C2729">
        <v>2686</v>
      </c>
      <c r="D2729" t="e">
        <f t="shared" ca="1" si="84"/>
        <v>#NAME?</v>
      </c>
      <c r="E2729" s="115" t="e">
        <f t="array" aca="1" ref="E2729" ca="1">IF(OR(C2728=0,AND(B2730=0,C2730=0)),"",IFERROR(INDEX($F$27:$F$36,MATCH(C2729,($F$27:$F$36)*($D$27:$D$36&lt;&gt;0),0)),IF(OR(AND(D2729=0,B2729=0,B2730&lt;&gt;0),AND(D2729*D2728&lt;0,B2729&lt;&gt;0)),IF(D2729=0,C2729,C2729*(1-ABS(D2729)/(ABS(D2729)+ABS(D2728)))+C2728*(1-ABS(D2728)/(ABS(D2729)+ABS(D2728)))),"")))</f>
        <v>#NAME?</v>
      </c>
    </row>
    <row r="2730" spans="2:5" x14ac:dyDescent="0.25">
      <c r="B2730" t="e">
        <f t="shared" ca="1" si="85"/>
        <v>#NAME?</v>
      </c>
      <c r="C2730">
        <v>2687</v>
      </c>
      <c r="D2730" t="e">
        <f t="shared" ca="1" si="84"/>
        <v>#NAME?</v>
      </c>
      <c r="E2730" s="115" t="e">
        <f t="array" aca="1" ref="E2730" ca="1">IF(OR(C2729=0,AND(B2731=0,C2731=0)),"",IFERROR(INDEX($F$27:$F$36,MATCH(C2730,($F$27:$F$36)*($D$27:$D$36&lt;&gt;0),0)),IF(OR(AND(D2730=0,B2730=0,B2731&lt;&gt;0),AND(D2730*D2729&lt;0,B2730&lt;&gt;0)),IF(D2730=0,C2730,C2730*(1-ABS(D2730)/(ABS(D2730)+ABS(D2729)))+C2729*(1-ABS(D2729)/(ABS(D2730)+ABS(D2729)))),"")))</f>
        <v>#NAME?</v>
      </c>
    </row>
    <row r="2731" spans="2:5" x14ac:dyDescent="0.25">
      <c r="B2731" t="e">
        <f t="shared" ca="1" si="85"/>
        <v>#NAME?</v>
      </c>
      <c r="C2731">
        <v>2688</v>
      </c>
      <c r="D2731" t="e">
        <f t="shared" ref="D2731:D2794" ca="1" si="86">SUMPRODUCT(--($J$27:$J$37&gt;0),--($C2731-$F$27:$F$37&gt;0),($D$27:$D$37),($C2731-$F$27:$F$37))+SUMPRODUCT(--($J$27:$J$37&lt;0),--($F$27:$F$37-$C2731&gt;0),($D$27:$D$37),($F$27:$F$37-$C2731))-SUMPRODUCT($D$27:$D$37,$E$27:$E$37)</f>
        <v>#NAME?</v>
      </c>
      <c r="E2731" s="115" t="e">
        <f t="array" aca="1" ref="E2731" ca="1">IF(OR(C2730=0,AND(B2732=0,C2732=0)),"",IFERROR(INDEX($F$27:$F$36,MATCH(C2731,($F$27:$F$36)*($D$27:$D$36&lt;&gt;0),0)),IF(OR(AND(D2731=0,B2731=0,B2732&lt;&gt;0),AND(D2731*D2730&lt;0,B2731&lt;&gt;0)),IF(D2731=0,C2731,C2731*(1-ABS(D2731)/(ABS(D2731)+ABS(D2730)))+C2730*(1-ABS(D2730)/(ABS(D2731)+ABS(D2730)))),"")))</f>
        <v>#NAME?</v>
      </c>
    </row>
    <row r="2732" spans="2:5" x14ac:dyDescent="0.25">
      <c r="B2732" t="e">
        <f t="shared" ref="B2732:B2795" ca="1" si="87">ROUND((D2732-D2731)/(C2732-C2731),12)</f>
        <v>#NAME?</v>
      </c>
      <c r="C2732">
        <v>2689</v>
      </c>
      <c r="D2732" t="e">
        <f t="shared" ca="1" si="86"/>
        <v>#NAME?</v>
      </c>
      <c r="E2732" s="115" t="e">
        <f t="array" aca="1" ref="E2732" ca="1">IF(OR(C2731=0,AND(B2733=0,C2733=0)),"",IFERROR(INDEX($F$27:$F$36,MATCH(C2732,($F$27:$F$36)*($D$27:$D$36&lt;&gt;0),0)),IF(OR(AND(D2732=0,B2732=0,B2733&lt;&gt;0),AND(D2732*D2731&lt;0,B2732&lt;&gt;0)),IF(D2732=0,C2732,C2732*(1-ABS(D2732)/(ABS(D2732)+ABS(D2731)))+C2731*(1-ABS(D2731)/(ABS(D2732)+ABS(D2731)))),"")))</f>
        <v>#NAME?</v>
      </c>
    </row>
    <row r="2733" spans="2:5" x14ac:dyDescent="0.25">
      <c r="B2733" t="e">
        <f t="shared" ca="1" si="87"/>
        <v>#NAME?</v>
      </c>
      <c r="C2733">
        <v>2690</v>
      </c>
      <c r="D2733" t="e">
        <f t="shared" ca="1" si="86"/>
        <v>#NAME?</v>
      </c>
      <c r="E2733" s="115" t="e">
        <f t="array" aca="1" ref="E2733" ca="1">IF(OR(C2732=0,AND(B2734=0,C2734=0)),"",IFERROR(INDEX($F$27:$F$36,MATCH(C2733,($F$27:$F$36)*($D$27:$D$36&lt;&gt;0),0)),IF(OR(AND(D2733=0,B2733=0,B2734&lt;&gt;0),AND(D2733*D2732&lt;0,B2733&lt;&gt;0)),IF(D2733=0,C2733,C2733*(1-ABS(D2733)/(ABS(D2733)+ABS(D2732)))+C2732*(1-ABS(D2732)/(ABS(D2733)+ABS(D2732)))),"")))</f>
        <v>#NAME?</v>
      </c>
    </row>
    <row r="2734" spans="2:5" x14ac:dyDescent="0.25">
      <c r="B2734" t="e">
        <f t="shared" ca="1" si="87"/>
        <v>#NAME?</v>
      </c>
      <c r="C2734">
        <v>2691</v>
      </c>
      <c r="D2734" t="e">
        <f t="shared" ca="1" si="86"/>
        <v>#NAME?</v>
      </c>
      <c r="E2734" s="115" t="e">
        <f t="array" aca="1" ref="E2734" ca="1">IF(OR(C2733=0,AND(B2735=0,C2735=0)),"",IFERROR(INDEX($F$27:$F$36,MATCH(C2734,($F$27:$F$36)*($D$27:$D$36&lt;&gt;0),0)),IF(OR(AND(D2734=0,B2734=0,B2735&lt;&gt;0),AND(D2734*D2733&lt;0,B2734&lt;&gt;0)),IF(D2734=0,C2734,C2734*(1-ABS(D2734)/(ABS(D2734)+ABS(D2733)))+C2733*(1-ABS(D2733)/(ABS(D2734)+ABS(D2733)))),"")))</f>
        <v>#NAME?</v>
      </c>
    </row>
    <row r="2735" spans="2:5" x14ac:dyDescent="0.25">
      <c r="B2735" t="e">
        <f t="shared" ca="1" si="87"/>
        <v>#NAME?</v>
      </c>
      <c r="C2735">
        <v>2692</v>
      </c>
      <c r="D2735" t="e">
        <f t="shared" ca="1" si="86"/>
        <v>#NAME?</v>
      </c>
      <c r="E2735" s="115" t="e">
        <f t="array" aca="1" ref="E2735" ca="1">IF(OR(C2734=0,AND(B2736=0,C2736=0)),"",IFERROR(INDEX($F$27:$F$36,MATCH(C2735,($F$27:$F$36)*($D$27:$D$36&lt;&gt;0),0)),IF(OR(AND(D2735=0,B2735=0,B2736&lt;&gt;0),AND(D2735*D2734&lt;0,B2735&lt;&gt;0)),IF(D2735=0,C2735,C2735*(1-ABS(D2735)/(ABS(D2735)+ABS(D2734)))+C2734*(1-ABS(D2734)/(ABS(D2735)+ABS(D2734)))),"")))</f>
        <v>#NAME?</v>
      </c>
    </row>
    <row r="2736" spans="2:5" x14ac:dyDescent="0.25">
      <c r="B2736" t="e">
        <f t="shared" ca="1" si="87"/>
        <v>#NAME?</v>
      </c>
      <c r="C2736">
        <v>2693</v>
      </c>
      <c r="D2736" t="e">
        <f t="shared" ca="1" si="86"/>
        <v>#NAME?</v>
      </c>
      <c r="E2736" s="115" t="e">
        <f t="array" aca="1" ref="E2736" ca="1">IF(OR(C2735=0,AND(B2737=0,C2737=0)),"",IFERROR(INDEX($F$27:$F$36,MATCH(C2736,($F$27:$F$36)*($D$27:$D$36&lt;&gt;0),0)),IF(OR(AND(D2736=0,B2736=0,B2737&lt;&gt;0),AND(D2736*D2735&lt;0,B2736&lt;&gt;0)),IF(D2736=0,C2736,C2736*(1-ABS(D2736)/(ABS(D2736)+ABS(D2735)))+C2735*(1-ABS(D2735)/(ABS(D2736)+ABS(D2735)))),"")))</f>
        <v>#NAME?</v>
      </c>
    </row>
    <row r="2737" spans="2:5" x14ac:dyDescent="0.25">
      <c r="B2737" t="e">
        <f t="shared" ca="1" si="87"/>
        <v>#NAME?</v>
      </c>
      <c r="C2737">
        <v>2694</v>
      </c>
      <c r="D2737" t="e">
        <f t="shared" ca="1" si="86"/>
        <v>#NAME?</v>
      </c>
      <c r="E2737" s="115" t="e">
        <f t="array" aca="1" ref="E2737" ca="1">IF(OR(C2736=0,AND(B2738=0,C2738=0)),"",IFERROR(INDEX($F$27:$F$36,MATCH(C2737,($F$27:$F$36)*($D$27:$D$36&lt;&gt;0),0)),IF(OR(AND(D2737=0,B2737=0,B2738&lt;&gt;0),AND(D2737*D2736&lt;0,B2737&lt;&gt;0)),IF(D2737=0,C2737,C2737*(1-ABS(D2737)/(ABS(D2737)+ABS(D2736)))+C2736*(1-ABS(D2736)/(ABS(D2737)+ABS(D2736)))),"")))</f>
        <v>#NAME?</v>
      </c>
    </row>
    <row r="2738" spans="2:5" x14ac:dyDescent="0.25">
      <c r="B2738" t="e">
        <f t="shared" ca="1" si="87"/>
        <v>#NAME?</v>
      </c>
      <c r="C2738">
        <v>2695</v>
      </c>
      <c r="D2738" t="e">
        <f t="shared" ca="1" si="86"/>
        <v>#NAME?</v>
      </c>
      <c r="E2738" s="115" t="e">
        <f t="array" aca="1" ref="E2738" ca="1">IF(OR(C2737=0,AND(B2739=0,C2739=0)),"",IFERROR(INDEX($F$27:$F$36,MATCH(C2738,($F$27:$F$36)*($D$27:$D$36&lt;&gt;0),0)),IF(OR(AND(D2738=0,B2738=0,B2739&lt;&gt;0),AND(D2738*D2737&lt;0,B2738&lt;&gt;0)),IF(D2738=0,C2738,C2738*(1-ABS(D2738)/(ABS(D2738)+ABS(D2737)))+C2737*(1-ABS(D2737)/(ABS(D2738)+ABS(D2737)))),"")))</f>
        <v>#NAME?</v>
      </c>
    </row>
    <row r="2739" spans="2:5" x14ac:dyDescent="0.25">
      <c r="B2739" t="e">
        <f t="shared" ca="1" si="87"/>
        <v>#NAME?</v>
      </c>
      <c r="C2739">
        <v>2696</v>
      </c>
      <c r="D2739" t="e">
        <f t="shared" ca="1" si="86"/>
        <v>#NAME?</v>
      </c>
      <c r="E2739" s="115" t="e">
        <f t="array" aca="1" ref="E2739" ca="1">IF(OR(C2738=0,AND(B2740=0,C2740=0)),"",IFERROR(INDEX($F$27:$F$36,MATCH(C2739,($F$27:$F$36)*($D$27:$D$36&lt;&gt;0),0)),IF(OR(AND(D2739=0,B2739=0,B2740&lt;&gt;0),AND(D2739*D2738&lt;0,B2739&lt;&gt;0)),IF(D2739=0,C2739,C2739*(1-ABS(D2739)/(ABS(D2739)+ABS(D2738)))+C2738*(1-ABS(D2738)/(ABS(D2739)+ABS(D2738)))),"")))</f>
        <v>#NAME?</v>
      </c>
    </row>
    <row r="2740" spans="2:5" x14ac:dyDescent="0.25">
      <c r="B2740" t="e">
        <f t="shared" ca="1" si="87"/>
        <v>#NAME?</v>
      </c>
      <c r="C2740">
        <v>2697</v>
      </c>
      <c r="D2740" t="e">
        <f t="shared" ca="1" si="86"/>
        <v>#NAME?</v>
      </c>
      <c r="E2740" s="115" t="e">
        <f t="array" aca="1" ref="E2740" ca="1">IF(OR(C2739=0,AND(B2741=0,C2741=0)),"",IFERROR(INDEX($F$27:$F$36,MATCH(C2740,($F$27:$F$36)*($D$27:$D$36&lt;&gt;0),0)),IF(OR(AND(D2740=0,B2740=0,B2741&lt;&gt;0),AND(D2740*D2739&lt;0,B2740&lt;&gt;0)),IF(D2740=0,C2740,C2740*(1-ABS(D2740)/(ABS(D2740)+ABS(D2739)))+C2739*(1-ABS(D2739)/(ABS(D2740)+ABS(D2739)))),"")))</f>
        <v>#NAME?</v>
      </c>
    </row>
    <row r="2741" spans="2:5" x14ac:dyDescent="0.25">
      <c r="B2741" t="e">
        <f t="shared" ca="1" si="87"/>
        <v>#NAME?</v>
      </c>
      <c r="C2741">
        <v>2698</v>
      </c>
      <c r="D2741" t="e">
        <f t="shared" ca="1" si="86"/>
        <v>#NAME?</v>
      </c>
      <c r="E2741" s="115" t="e">
        <f t="array" aca="1" ref="E2741" ca="1">IF(OR(C2740=0,AND(B2742=0,C2742=0)),"",IFERROR(INDEX($F$27:$F$36,MATCH(C2741,($F$27:$F$36)*($D$27:$D$36&lt;&gt;0),0)),IF(OR(AND(D2741=0,B2741=0,B2742&lt;&gt;0),AND(D2741*D2740&lt;0,B2741&lt;&gt;0)),IF(D2741=0,C2741,C2741*(1-ABS(D2741)/(ABS(D2741)+ABS(D2740)))+C2740*(1-ABS(D2740)/(ABS(D2741)+ABS(D2740)))),"")))</f>
        <v>#NAME?</v>
      </c>
    </row>
    <row r="2742" spans="2:5" x14ac:dyDescent="0.25">
      <c r="B2742" t="e">
        <f t="shared" ca="1" si="87"/>
        <v>#NAME?</v>
      </c>
      <c r="C2742">
        <v>2699</v>
      </c>
      <c r="D2742" t="e">
        <f t="shared" ca="1" si="86"/>
        <v>#NAME?</v>
      </c>
      <c r="E2742" s="115" t="e">
        <f t="array" aca="1" ref="E2742" ca="1">IF(OR(C2741=0,AND(B2743=0,C2743=0)),"",IFERROR(INDEX($F$27:$F$36,MATCH(C2742,($F$27:$F$36)*($D$27:$D$36&lt;&gt;0),0)),IF(OR(AND(D2742=0,B2742=0,B2743&lt;&gt;0),AND(D2742*D2741&lt;0,B2742&lt;&gt;0)),IF(D2742=0,C2742,C2742*(1-ABS(D2742)/(ABS(D2742)+ABS(D2741)))+C2741*(1-ABS(D2741)/(ABS(D2742)+ABS(D2741)))),"")))</f>
        <v>#NAME?</v>
      </c>
    </row>
    <row r="2743" spans="2:5" x14ac:dyDescent="0.25">
      <c r="B2743" t="e">
        <f t="shared" ca="1" si="87"/>
        <v>#NAME?</v>
      </c>
      <c r="C2743">
        <v>2700</v>
      </c>
      <c r="D2743" t="e">
        <f t="shared" ca="1" si="86"/>
        <v>#NAME?</v>
      </c>
      <c r="E2743" s="115" t="e">
        <f t="array" aca="1" ref="E2743" ca="1">IF(OR(C2742=0,AND(B2744=0,C2744=0)),"",IFERROR(INDEX($F$27:$F$36,MATCH(C2743,($F$27:$F$36)*($D$27:$D$36&lt;&gt;0),0)),IF(OR(AND(D2743=0,B2743=0,B2744&lt;&gt;0),AND(D2743*D2742&lt;0,B2743&lt;&gt;0)),IF(D2743=0,C2743,C2743*(1-ABS(D2743)/(ABS(D2743)+ABS(D2742)))+C2742*(1-ABS(D2742)/(ABS(D2743)+ABS(D2742)))),"")))</f>
        <v>#NAME?</v>
      </c>
    </row>
    <row r="2744" spans="2:5" x14ac:dyDescent="0.25">
      <c r="B2744" t="e">
        <f t="shared" ca="1" si="87"/>
        <v>#NAME?</v>
      </c>
      <c r="C2744">
        <v>2701</v>
      </c>
      <c r="D2744" t="e">
        <f t="shared" ca="1" si="86"/>
        <v>#NAME?</v>
      </c>
      <c r="E2744" s="115" t="e">
        <f t="array" aca="1" ref="E2744" ca="1">IF(OR(C2743=0,AND(B2745=0,C2745=0)),"",IFERROR(INDEX($F$27:$F$36,MATCH(C2744,($F$27:$F$36)*($D$27:$D$36&lt;&gt;0),0)),IF(OR(AND(D2744=0,B2744=0,B2745&lt;&gt;0),AND(D2744*D2743&lt;0,B2744&lt;&gt;0)),IF(D2744=0,C2744,C2744*(1-ABS(D2744)/(ABS(D2744)+ABS(D2743)))+C2743*(1-ABS(D2743)/(ABS(D2744)+ABS(D2743)))),"")))</f>
        <v>#NAME?</v>
      </c>
    </row>
    <row r="2745" spans="2:5" x14ac:dyDescent="0.25">
      <c r="B2745" t="e">
        <f t="shared" ca="1" si="87"/>
        <v>#NAME?</v>
      </c>
      <c r="C2745">
        <v>2702</v>
      </c>
      <c r="D2745" t="e">
        <f t="shared" ca="1" si="86"/>
        <v>#NAME?</v>
      </c>
      <c r="E2745" s="115" t="e">
        <f t="array" aca="1" ref="E2745" ca="1">IF(OR(C2744=0,AND(B2746=0,C2746=0)),"",IFERROR(INDEX($F$27:$F$36,MATCH(C2745,($F$27:$F$36)*($D$27:$D$36&lt;&gt;0),0)),IF(OR(AND(D2745=0,B2745=0,B2746&lt;&gt;0),AND(D2745*D2744&lt;0,B2745&lt;&gt;0)),IF(D2745=0,C2745,C2745*(1-ABS(D2745)/(ABS(D2745)+ABS(D2744)))+C2744*(1-ABS(D2744)/(ABS(D2745)+ABS(D2744)))),"")))</f>
        <v>#NAME?</v>
      </c>
    </row>
    <row r="2746" spans="2:5" x14ac:dyDescent="0.25">
      <c r="B2746" t="e">
        <f t="shared" ca="1" si="87"/>
        <v>#NAME?</v>
      </c>
      <c r="C2746">
        <v>2703</v>
      </c>
      <c r="D2746" t="e">
        <f t="shared" ca="1" si="86"/>
        <v>#NAME?</v>
      </c>
      <c r="E2746" s="115" t="e">
        <f t="array" aca="1" ref="E2746" ca="1">IF(OR(C2745=0,AND(B2747=0,C2747=0)),"",IFERROR(INDEX($F$27:$F$36,MATCH(C2746,($F$27:$F$36)*($D$27:$D$36&lt;&gt;0),0)),IF(OR(AND(D2746=0,B2746=0,B2747&lt;&gt;0),AND(D2746*D2745&lt;0,B2746&lt;&gt;0)),IF(D2746=0,C2746,C2746*(1-ABS(D2746)/(ABS(D2746)+ABS(D2745)))+C2745*(1-ABS(D2745)/(ABS(D2746)+ABS(D2745)))),"")))</f>
        <v>#NAME?</v>
      </c>
    </row>
    <row r="2747" spans="2:5" x14ac:dyDescent="0.25">
      <c r="B2747" t="e">
        <f t="shared" ca="1" si="87"/>
        <v>#NAME?</v>
      </c>
      <c r="C2747">
        <v>2704</v>
      </c>
      <c r="D2747" t="e">
        <f t="shared" ca="1" si="86"/>
        <v>#NAME?</v>
      </c>
      <c r="E2747" s="115" t="e">
        <f t="array" aca="1" ref="E2747" ca="1">IF(OR(C2746=0,AND(B2748=0,C2748=0)),"",IFERROR(INDEX($F$27:$F$36,MATCH(C2747,($F$27:$F$36)*($D$27:$D$36&lt;&gt;0),0)),IF(OR(AND(D2747=0,B2747=0,B2748&lt;&gt;0),AND(D2747*D2746&lt;0,B2747&lt;&gt;0)),IF(D2747=0,C2747,C2747*(1-ABS(D2747)/(ABS(D2747)+ABS(D2746)))+C2746*(1-ABS(D2746)/(ABS(D2747)+ABS(D2746)))),"")))</f>
        <v>#NAME?</v>
      </c>
    </row>
    <row r="2748" spans="2:5" x14ac:dyDescent="0.25">
      <c r="B2748" t="e">
        <f t="shared" ca="1" si="87"/>
        <v>#NAME?</v>
      </c>
      <c r="C2748">
        <v>2705</v>
      </c>
      <c r="D2748" t="e">
        <f t="shared" ca="1" si="86"/>
        <v>#NAME?</v>
      </c>
      <c r="E2748" s="115" t="e">
        <f t="array" aca="1" ref="E2748" ca="1">IF(OR(C2747=0,AND(B2749=0,C2749=0)),"",IFERROR(INDEX($F$27:$F$36,MATCH(C2748,($F$27:$F$36)*($D$27:$D$36&lt;&gt;0),0)),IF(OR(AND(D2748=0,B2748=0,B2749&lt;&gt;0),AND(D2748*D2747&lt;0,B2748&lt;&gt;0)),IF(D2748=0,C2748,C2748*(1-ABS(D2748)/(ABS(D2748)+ABS(D2747)))+C2747*(1-ABS(D2747)/(ABS(D2748)+ABS(D2747)))),"")))</f>
        <v>#NAME?</v>
      </c>
    </row>
    <row r="2749" spans="2:5" x14ac:dyDescent="0.25">
      <c r="B2749" t="e">
        <f t="shared" ca="1" si="87"/>
        <v>#NAME?</v>
      </c>
      <c r="C2749">
        <v>2706</v>
      </c>
      <c r="D2749" t="e">
        <f t="shared" ca="1" si="86"/>
        <v>#NAME?</v>
      </c>
      <c r="E2749" s="115" t="e">
        <f t="array" aca="1" ref="E2749" ca="1">IF(OR(C2748=0,AND(B2750=0,C2750=0)),"",IFERROR(INDEX($F$27:$F$36,MATCH(C2749,($F$27:$F$36)*($D$27:$D$36&lt;&gt;0),0)),IF(OR(AND(D2749=0,B2749=0,B2750&lt;&gt;0),AND(D2749*D2748&lt;0,B2749&lt;&gt;0)),IF(D2749=0,C2749,C2749*(1-ABS(D2749)/(ABS(D2749)+ABS(D2748)))+C2748*(1-ABS(D2748)/(ABS(D2749)+ABS(D2748)))),"")))</f>
        <v>#NAME?</v>
      </c>
    </row>
    <row r="2750" spans="2:5" x14ac:dyDescent="0.25">
      <c r="B2750" t="e">
        <f t="shared" ca="1" si="87"/>
        <v>#NAME?</v>
      </c>
      <c r="C2750">
        <v>2707</v>
      </c>
      <c r="D2750" t="e">
        <f t="shared" ca="1" si="86"/>
        <v>#NAME?</v>
      </c>
      <c r="E2750" s="115" t="e">
        <f t="array" aca="1" ref="E2750" ca="1">IF(OR(C2749=0,AND(B2751=0,C2751=0)),"",IFERROR(INDEX($F$27:$F$36,MATCH(C2750,($F$27:$F$36)*($D$27:$D$36&lt;&gt;0),0)),IF(OR(AND(D2750=0,B2750=0,B2751&lt;&gt;0),AND(D2750*D2749&lt;0,B2750&lt;&gt;0)),IF(D2750=0,C2750,C2750*(1-ABS(D2750)/(ABS(D2750)+ABS(D2749)))+C2749*(1-ABS(D2749)/(ABS(D2750)+ABS(D2749)))),"")))</f>
        <v>#NAME?</v>
      </c>
    </row>
    <row r="2751" spans="2:5" x14ac:dyDescent="0.25">
      <c r="B2751" t="e">
        <f t="shared" ca="1" si="87"/>
        <v>#NAME?</v>
      </c>
      <c r="C2751">
        <v>2708</v>
      </c>
      <c r="D2751" t="e">
        <f t="shared" ca="1" si="86"/>
        <v>#NAME?</v>
      </c>
      <c r="E2751" s="115" t="e">
        <f t="array" aca="1" ref="E2751" ca="1">IF(OR(C2750=0,AND(B2752=0,C2752=0)),"",IFERROR(INDEX($F$27:$F$36,MATCH(C2751,($F$27:$F$36)*($D$27:$D$36&lt;&gt;0),0)),IF(OR(AND(D2751=0,B2751=0,B2752&lt;&gt;0),AND(D2751*D2750&lt;0,B2751&lt;&gt;0)),IF(D2751=0,C2751,C2751*(1-ABS(D2751)/(ABS(D2751)+ABS(D2750)))+C2750*(1-ABS(D2750)/(ABS(D2751)+ABS(D2750)))),"")))</f>
        <v>#NAME?</v>
      </c>
    </row>
    <row r="2752" spans="2:5" x14ac:dyDescent="0.25">
      <c r="B2752" t="e">
        <f t="shared" ca="1" si="87"/>
        <v>#NAME?</v>
      </c>
      <c r="C2752">
        <v>2709</v>
      </c>
      <c r="D2752" t="e">
        <f t="shared" ca="1" si="86"/>
        <v>#NAME?</v>
      </c>
      <c r="E2752" s="115" t="e">
        <f t="array" aca="1" ref="E2752" ca="1">IF(OR(C2751=0,AND(B2753=0,C2753=0)),"",IFERROR(INDEX($F$27:$F$36,MATCH(C2752,($F$27:$F$36)*($D$27:$D$36&lt;&gt;0),0)),IF(OR(AND(D2752=0,B2752=0,B2753&lt;&gt;0),AND(D2752*D2751&lt;0,B2752&lt;&gt;0)),IF(D2752=0,C2752,C2752*(1-ABS(D2752)/(ABS(D2752)+ABS(D2751)))+C2751*(1-ABS(D2751)/(ABS(D2752)+ABS(D2751)))),"")))</f>
        <v>#NAME?</v>
      </c>
    </row>
    <row r="2753" spans="2:5" x14ac:dyDescent="0.25">
      <c r="B2753" t="e">
        <f t="shared" ca="1" si="87"/>
        <v>#NAME?</v>
      </c>
      <c r="C2753">
        <v>2710</v>
      </c>
      <c r="D2753" t="e">
        <f t="shared" ca="1" si="86"/>
        <v>#NAME?</v>
      </c>
      <c r="E2753" s="115" t="e">
        <f t="array" aca="1" ref="E2753" ca="1">IF(OR(C2752=0,AND(B2754=0,C2754=0)),"",IFERROR(INDEX($F$27:$F$36,MATCH(C2753,($F$27:$F$36)*($D$27:$D$36&lt;&gt;0),0)),IF(OR(AND(D2753=0,B2753=0,B2754&lt;&gt;0),AND(D2753*D2752&lt;0,B2753&lt;&gt;0)),IF(D2753=0,C2753,C2753*(1-ABS(D2753)/(ABS(D2753)+ABS(D2752)))+C2752*(1-ABS(D2752)/(ABS(D2753)+ABS(D2752)))),"")))</f>
        <v>#NAME?</v>
      </c>
    </row>
    <row r="2754" spans="2:5" x14ac:dyDescent="0.25">
      <c r="B2754" t="e">
        <f t="shared" ca="1" si="87"/>
        <v>#NAME?</v>
      </c>
      <c r="C2754">
        <v>2711</v>
      </c>
      <c r="D2754" t="e">
        <f t="shared" ca="1" si="86"/>
        <v>#NAME?</v>
      </c>
      <c r="E2754" s="115" t="e">
        <f t="array" aca="1" ref="E2754" ca="1">IF(OR(C2753=0,AND(B2755=0,C2755=0)),"",IFERROR(INDEX($F$27:$F$36,MATCH(C2754,($F$27:$F$36)*($D$27:$D$36&lt;&gt;0),0)),IF(OR(AND(D2754=0,B2754=0,B2755&lt;&gt;0),AND(D2754*D2753&lt;0,B2754&lt;&gt;0)),IF(D2754=0,C2754,C2754*(1-ABS(D2754)/(ABS(D2754)+ABS(D2753)))+C2753*(1-ABS(D2753)/(ABS(D2754)+ABS(D2753)))),"")))</f>
        <v>#NAME?</v>
      </c>
    </row>
    <row r="2755" spans="2:5" x14ac:dyDescent="0.25">
      <c r="B2755" t="e">
        <f t="shared" ca="1" si="87"/>
        <v>#NAME?</v>
      </c>
      <c r="C2755">
        <v>2712</v>
      </c>
      <c r="D2755" t="e">
        <f t="shared" ca="1" si="86"/>
        <v>#NAME?</v>
      </c>
      <c r="E2755" s="115" t="e">
        <f t="array" aca="1" ref="E2755" ca="1">IF(OR(C2754=0,AND(B2756=0,C2756=0)),"",IFERROR(INDEX($F$27:$F$36,MATCH(C2755,($F$27:$F$36)*($D$27:$D$36&lt;&gt;0),0)),IF(OR(AND(D2755=0,B2755=0,B2756&lt;&gt;0),AND(D2755*D2754&lt;0,B2755&lt;&gt;0)),IF(D2755=0,C2755,C2755*(1-ABS(D2755)/(ABS(D2755)+ABS(D2754)))+C2754*(1-ABS(D2754)/(ABS(D2755)+ABS(D2754)))),"")))</f>
        <v>#NAME?</v>
      </c>
    </row>
    <row r="2756" spans="2:5" x14ac:dyDescent="0.25">
      <c r="B2756" t="e">
        <f t="shared" ca="1" si="87"/>
        <v>#NAME?</v>
      </c>
      <c r="C2756">
        <v>2713</v>
      </c>
      <c r="D2756" t="e">
        <f t="shared" ca="1" si="86"/>
        <v>#NAME?</v>
      </c>
      <c r="E2756" s="115" t="e">
        <f t="array" aca="1" ref="E2756" ca="1">IF(OR(C2755=0,AND(B2757=0,C2757=0)),"",IFERROR(INDEX($F$27:$F$36,MATCH(C2756,($F$27:$F$36)*($D$27:$D$36&lt;&gt;0),0)),IF(OR(AND(D2756=0,B2756=0,B2757&lt;&gt;0),AND(D2756*D2755&lt;0,B2756&lt;&gt;0)),IF(D2756=0,C2756,C2756*(1-ABS(D2756)/(ABS(D2756)+ABS(D2755)))+C2755*(1-ABS(D2755)/(ABS(D2756)+ABS(D2755)))),"")))</f>
        <v>#NAME?</v>
      </c>
    </row>
    <row r="2757" spans="2:5" x14ac:dyDescent="0.25">
      <c r="B2757" t="e">
        <f t="shared" ca="1" si="87"/>
        <v>#NAME?</v>
      </c>
      <c r="C2757">
        <v>2714</v>
      </c>
      <c r="D2757" t="e">
        <f t="shared" ca="1" si="86"/>
        <v>#NAME?</v>
      </c>
      <c r="E2757" s="115" t="e">
        <f t="array" aca="1" ref="E2757" ca="1">IF(OR(C2756=0,AND(B2758=0,C2758=0)),"",IFERROR(INDEX($F$27:$F$36,MATCH(C2757,($F$27:$F$36)*($D$27:$D$36&lt;&gt;0),0)),IF(OR(AND(D2757=0,B2757=0,B2758&lt;&gt;0),AND(D2757*D2756&lt;0,B2757&lt;&gt;0)),IF(D2757=0,C2757,C2757*(1-ABS(D2757)/(ABS(D2757)+ABS(D2756)))+C2756*(1-ABS(D2756)/(ABS(D2757)+ABS(D2756)))),"")))</f>
        <v>#NAME?</v>
      </c>
    </row>
    <row r="2758" spans="2:5" x14ac:dyDescent="0.25">
      <c r="B2758" t="e">
        <f t="shared" ca="1" si="87"/>
        <v>#NAME?</v>
      </c>
      <c r="C2758">
        <v>2715</v>
      </c>
      <c r="D2758" t="e">
        <f t="shared" ca="1" si="86"/>
        <v>#NAME?</v>
      </c>
      <c r="E2758" s="115" t="e">
        <f t="array" aca="1" ref="E2758" ca="1">IF(OR(C2757=0,AND(B2759=0,C2759=0)),"",IFERROR(INDEX($F$27:$F$36,MATCH(C2758,($F$27:$F$36)*($D$27:$D$36&lt;&gt;0),0)),IF(OR(AND(D2758=0,B2758=0,B2759&lt;&gt;0),AND(D2758*D2757&lt;0,B2758&lt;&gt;0)),IF(D2758=0,C2758,C2758*(1-ABS(D2758)/(ABS(D2758)+ABS(D2757)))+C2757*(1-ABS(D2757)/(ABS(D2758)+ABS(D2757)))),"")))</f>
        <v>#NAME?</v>
      </c>
    </row>
    <row r="2759" spans="2:5" x14ac:dyDescent="0.25">
      <c r="B2759" t="e">
        <f t="shared" ca="1" si="87"/>
        <v>#NAME?</v>
      </c>
      <c r="C2759">
        <v>2716</v>
      </c>
      <c r="D2759" t="e">
        <f t="shared" ca="1" si="86"/>
        <v>#NAME?</v>
      </c>
      <c r="E2759" s="115" t="e">
        <f t="array" aca="1" ref="E2759" ca="1">IF(OR(C2758=0,AND(B2760=0,C2760=0)),"",IFERROR(INDEX($F$27:$F$36,MATCH(C2759,($F$27:$F$36)*($D$27:$D$36&lt;&gt;0),0)),IF(OR(AND(D2759=0,B2759=0,B2760&lt;&gt;0),AND(D2759*D2758&lt;0,B2759&lt;&gt;0)),IF(D2759=0,C2759,C2759*(1-ABS(D2759)/(ABS(D2759)+ABS(D2758)))+C2758*(1-ABS(D2758)/(ABS(D2759)+ABS(D2758)))),"")))</f>
        <v>#NAME?</v>
      </c>
    </row>
    <row r="2760" spans="2:5" x14ac:dyDescent="0.25">
      <c r="B2760" t="e">
        <f t="shared" ca="1" si="87"/>
        <v>#NAME?</v>
      </c>
      <c r="C2760">
        <v>2717</v>
      </c>
      <c r="D2760" t="e">
        <f t="shared" ca="1" si="86"/>
        <v>#NAME?</v>
      </c>
      <c r="E2760" s="115" t="e">
        <f t="array" aca="1" ref="E2760" ca="1">IF(OR(C2759=0,AND(B2761=0,C2761=0)),"",IFERROR(INDEX($F$27:$F$36,MATCH(C2760,($F$27:$F$36)*($D$27:$D$36&lt;&gt;0),0)),IF(OR(AND(D2760=0,B2760=0,B2761&lt;&gt;0),AND(D2760*D2759&lt;0,B2760&lt;&gt;0)),IF(D2760=0,C2760,C2760*(1-ABS(D2760)/(ABS(D2760)+ABS(D2759)))+C2759*(1-ABS(D2759)/(ABS(D2760)+ABS(D2759)))),"")))</f>
        <v>#NAME?</v>
      </c>
    </row>
    <row r="2761" spans="2:5" x14ac:dyDescent="0.25">
      <c r="B2761" t="e">
        <f t="shared" ca="1" si="87"/>
        <v>#NAME?</v>
      </c>
      <c r="C2761">
        <v>2718</v>
      </c>
      <c r="D2761" t="e">
        <f t="shared" ca="1" si="86"/>
        <v>#NAME?</v>
      </c>
      <c r="E2761" s="115" t="e">
        <f t="array" aca="1" ref="E2761" ca="1">IF(OR(C2760=0,AND(B2762=0,C2762=0)),"",IFERROR(INDEX($F$27:$F$36,MATCH(C2761,($F$27:$F$36)*($D$27:$D$36&lt;&gt;0),0)),IF(OR(AND(D2761=0,B2761=0,B2762&lt;&gt;0),AND(D2761*D2760&lt;0,B2761&lt;&gt;0)),IF(D2761=0,C2761,C2761*(1-ABS(D2761)/(ABS(D2761)+ABS(D2760)))+C2760*(1-ABS(D2760)/(ABS(D2761)+ABS(D2760)))),"")))</f>
        <v>#NAME?</v>
      </c>
    </row>
    <row r="2762" spans="2:5" x14ac:dyDescent="0.25">
      <c r="B2762" t="e">
        <f t="shared" ca="1" si="87"/>
        <v>#NAME?</v>
      </c>
      <c r="C2762">
        <v>2719</v>
      </c>
      <c r="D2762" t="e">
        <f t="shared" ca="1" si="86"/>
        <v>#NAME?</v>
      </c>
      <c r="E2762" s="115" t="e">
        <f t="array" aca="1" ref="E2762" ca="1">IF(OR(C2761=0,AND(B2763=0,C2763=0)),"",IFERROR(INDEX($F$27:$F$36,MATCH(C2762,($F$27:$F$36)*($D$27:$D$36&lt;&gt;0),0)),IF(OR(AND(D2762=0,B2762=0,B2763&lt;&gt;0),AND(D2762*D2761&lt;0,B2762&lt;&gt;0)),IF(D2762=0,C2762,C2762*(1-ABS(D2762)/(ABS(D2762)+ABS(D2761)))+C2761*(1-ABS(D2761)/(ABS(D2762)+ABS(D2761)))),"")))</f>
        <v>#NAME?</v>
      </c>
    </row>
    <row r="2763" spans="2:5" x14ac:dyDescent="0.25">
      <c r="B2763" t="e">
        <f t="shared" ca="1" si="87"/>
        <v>#NAME?</v>
      </c>
      <c r="C2763">
        <v>2720</v>
      </c>
      <c r="D2763" t="e">
        <f t="shared" ca="1" si="86"/>
        <v>#NAME?</v>
      </c>
      <c r="E2763" s="115" t="e">
        <f t="array" aca="1" ref="E2763" ca="1">IF(OR(C2762=0,AND(B2764=0,C2764=0)),"",IFERROR(INDEX($F$27:$F$36,MATCH(C2763,($F$27:$F$36)*($D$27:$D$36&lt;&gt;0),0)),IF(OR(AND(D2763=0,B2763=0,B2764&lt;&gt;0),AND(D2763*D2762&lt;0,B2763&lt;&gt;0)),IF(D2763=0,C2763,C2763*(1-ABS(D2763)/(ABS(D2763)+ABS(D2762)))+C2762*(1-ABS(D2762)/(ABS(D2763)+ABS(D2762)))),"")))</f>
        <v>#NAME?</v>
      </c>
    </row>
    <row r="2764" spans="2:5" x14ac:dyDescent="0.25">
      <c r="B2764" t="e">
        <f t="shared" ca="1" si="87"/>
        <v>#NAME?</v>
      </c>
      <c r="C2764">
        <v>2721</v>
      </c>
      <c r="D2764" t="e">
        <f t="shared" ca="1" si="86"/>
        <v>#NAME?</v>
      </c>
      <c r="E2764" s="115" t="e">
        <f t="array" aca="1" ref="E2764" ca="1">IF(OR(C2763=0,AND(B2765=0,C2765=0)),"",IFERROR(INDEX($F$27:$F$36,MATCH(C2764,($F$27:$F$36)*($D$27:$D$36&lt;&gt;0),0)),IF(OR(AND(D2764=0,B2764=0,B2765&lt;&gt;0),AND(D2764*D2763&lt;0,B2764&lt;&gt;0)),IF(D2764=0,C2764,C2764*(1-ABS(D2764)/(ABS(D2764)+ABS(D2763)))+C2763*(1-ABS(D2763)/(ABS(D2764)+ABS(D2763)))),"")))</f>
        <v>#NAME?</v>
      </c>
    </row>
    <row r="2765" spans="2:5" x14ac:dyDescent="0.25">
      <c r="B2765" t="e">
        <f t="shared" ca="1" si="87"/>
        <v>#NAME?</v>
      </c>
      <c r="C2765">
        <v>2722</v>
      </c>
      <c r="D2765" t="e">
        <f t="shared" ca="1" si="86"/>
        <v>#NAME?</v>
      </c>
      <c r="E2765" s="115" t="e">
        <f t="array" aca="1" ref="E2765" ca="1">IF(OR(C2764=0,AND(B2766=0,C2766=0)),"",IFERROR(INDEX($F$27:$F$36,MATCH(C2765,($F$27:$F$36)*($D$27:$D$36&lt;&gt;0),0)),IF(OR(AND(D2765=0,B2765=0,B2766&lt;&gt;0),AND(D2765*D2764&lt;0,B2765&lt;&gt;0)),IF(D2765=0,C2765,C2765*(1-ABS(D2765)/(ABS(D2765)+ABS(D2764)))+C2764*(1-ABS(D2764)/(ABS(D2765)+ABS(D2764)))),"")))</f>
        <v>#NAME?</v>
      </c>
    </row>
    <row r="2766" spans="2:5" x14ac:dyDescent="0.25">
      <c r="B2766" t="e">
        <f t="shared" ca="1" si="87"/>
        <v>#NAME?</v>
      </c>
      <c r="C2766">
        <v>2723</v>
      </c>
      <c r="D2766" t="e">
        <f t="shared" ca="1" si="86"/>
        <v>#NAME?</v>
      </c>
      <c r="E2766" s="115" t="e">
        <f t="array" aca="1" ref="E2766" ca="1">IF(OR(C2765=0,AND(B2767=0,C2767=0)),"",IFERROR(INDEX($F$27:$F$36,MATCH(C2766,($F$27:$F$36)*($D$27:$D$36&lt;&gt;0),0)),IF(OR(AND(D2766=0,B2766=0,B2767&lt;&gt;0),AND(D2766*D2765&lt;0,B2766&lt;&gt;0)),IF(D2766=0,C2766,C2766*(1-ABS(D2766)/(ABS(D2766)+ABS(D2765)))+C2765*(1-ABS(D2765)/(ABS(D2766)+ABS(D2765)))),"")))</f>
        <v>#NAME?</v>
      </c>
    </row>
    <row r="2767" spans="2:5" x14ac:dyDescent="0.25">
      <c r="B2767" t="e">
        <f t="shared" ca="1" si="87"/>
        <v>#NAME?</v>
      </c>
      <c r="C2767">
        <v>2724</v>
      </c>
      <c r="D2767" t="e">
        <f t="shared" ca="1" si="86"/>
        <v>#NAME?</v>
      </c>
      <c r="E2767" s="115" t="e">
        <f t="array" aca="1" ref="E2767" ca="1">IF(OR(C2766=0,AND(B2768=0,C2768=0)),"",IFERROR(INDEX($F$27:$F$36,MATCH(C2767,($F$27:$F$36)*($D$27:$D$36&lt;&gt;0),0)),IF(OR(AND(D2767=0,B2767=0,B2768&lt;&gt;0),AND(D2767*D2766&lt;0,B2767&lt;&gt;0)),IF(D2767=0,C2767,C2767*(1-ABS(D2767)/(ABS(D2767)+ABS(D2766)))+C2766*(1-ABS(D2766)/(ABS(D2767)+ABS(D2766)))),"")))</f>
        <v>#NAME?</v>
      </c>
    </row>
    <row r="2768" spans="2:5" x14ac:dyDescent="0.25">
      <c r="B2768" t="e">
        <f t="shared" ca="1" si="87"/>
        <v>#NAME?</v>
      </c>
      <c r="C2768">
        <v>2725</v>
      </c>
      <c r="D2768" t="e">
        <f t="shared" ca="1" si="86"/>
        <v>#NAME?</v>
      </c>
      <c r="E2768" s="115" t="e">
        <f t="array" aca="1" ref="E2768" ca="1">IF(OR(C2767=0,AND(B2769=0,C2769=0)),"",IFERROR(INDEX($F$27:$F$36,MATCH(C2768,($F$27:$F$36)*($D$27:$D$36&lt;&gt;0),0)),IF(OR(AND(D2768=0,B2768=0,B2769&lt;&gt;0),AND(D2768*D2767&lt;0,B2768&lt;&gt;0)),IF(D2768=0,C2768,C2768*(1-ABS(D2768)/(ABS(D2768)+ABS(D2767)))+C2767*(1-ABS(D2767)/(ABS(D2768)+ABS(D2767)))),"")))</f>
        <v>#NAME?</v>
      </c>
    </row>
    <row r="2769" spans="2:5" x14ac:dyDescent="0.25">
      <c r="B2769" t="e">
        <f t="shared" ca="1" si="87"/>
        <v>#NAME?</v>
      </c>
      <c r="C2769">
        <v>2726</v>
      </c>
      <c r="D2769" t="e">
        <f t="shared" ca="1" si="86"/>
        <v>#NAME?</v>
      </c>
      <c r="E2769" s="115" t="e">
        <f t="array" aca="1" ref="E2769" ca="1">IF(OR(C2768=0,AND(B2770=0,C2770=0)),"",IFERROR(INDEX($F$27:$F$36,MATCH(C2769,($F$27:$F$36)*($D$27:$D$36&lt;&gt;0),0)),IF(OR(AND(D2769=0,B2769=0,B2770&lt;&gt;0),AND(D2769*D2768&lt;0,B2769&lt;&gt;0)),IF(D2769=0,C2769,C2769*(1-ABS(D2769)/(ABS(D2769)+ABS(D2768)))+C2768*(1-ABS(D2768)/(ABS(D2769)+ABS(D2768)))),"")))</f>
        <v>#NAME?</v>
      </c>
    </row>
    <row r="2770" spans="2:5" x14ac:dyDescent="0.25">
      <c r="B2770" t="e">
        <f t="shared" ca="1" si="87"/>
        <v>#NAME?</v>
      </c>
      <c r="C2770">
        <v>2727</v>
      </c>
      <c r="D2770" t="e">
        <f t="shared" ca="1" si="86"/>
        <v>#NAME?</v>
      </c>
      <c r="E2770" s="115" t="e">
        <f t="array" aca="1" ref="E2770" ca="1">IF(OR(C2769=0,AND(B2771=0,C2771=0)),"",IFERROR(INDEX($F$27:$F$36,MATCH(C2770,($F$27:$F$36)*($D$27:$D$36&lt;&gt;0),0)),IF(OR(AND(D2770=0,B2770=0,B2771&lt;&gt;0),AND(D2770*D2769&lt;0,B2770&lt;&gt;0)),IF(D2770=0,C2770,C2770*(1-ABS(D2770)/(ABS(D2770)+ABS(D2769)))+C2769*(1-ABS(D2769)/(ABS(D2770)+ABS(D2769)))),"")))</f>
        <v>#NAME?</v>
      </c>
    </row>
    <row r="2771" spans="2:5" x14ac:dyDescent="0.25">
      <c r="B2771" t="e">
        <f t="shared" ca="1" si="87"/>
        <v>#NAME?</v>
      </c>
      <c r="C2771">
        <v>2728</v>
      </c>
      <c r="D2771" t="e">
        <f t="shared" ca="1" si="86"/>
        <v>#NAME?</v>
      </c>
      <c r="E2771" s="115" t="e">
        <f t="array" aca="1" ref="E2771" ca="1">IF(OR(C2770=0,AND(B2772=0,C2772=0)),"",IFERROR(INDEX($F$27:$F$36,MATCH(C2771,($F$27:$F$36)*($D$27:$D$36&lt;&gt;0),0)),IF(OR(AND(D2771=0,B2771=0,B2772&lt;&gt;0),AND(D2771*D2770&lt;0,B2771&lt;&gt;0)),IF(D2771=0,C2771,C2771*(1-ABS(D2771)/(ABS(D2771)+ABS(D2770)))+C2770*(1-ABS(D2770)/(ABS(D2771)+ABS(D2770)))),"")))</f>
        <v>#NAME?</v>
      </c>
    </row>
    <row r="2772" spans="2:5" x14ac:dyDescent="0.25">
      <c r="B2772" t="e">
        <f t="shared" ca="1" si="87"/>
        <v>#NAME?</v>
      </c>
      <c r="C2772">
        <v>2729</v>
      </c>
      <c r="D2772" t="e">
        <f t="shared" ca="1" si="86"/>
        <v>#NAME?</v>
      </c>
      <c r="E2772" s="115" t="e">
        <f t="array" aca="1" ref="E2772" ca="1">IF(OR(C2771=0,AND(B2773=0,C2773=0)),"",IFERROR(INDEX($F$27:$F$36,MATCH(C2772,($F$27:$F$36)*($D$27:$D$36&lt;&gt;0),0)),IF(OR(AND(D2772=0,B2772=0,B2773&lt;&gt;0),AND(D2772*D2771&lt;0,B2772&lt;&gt;0)),IF(D2772=0,C2772,C2772*(1-ABS(D2772)/(ABS(D2772)+ABS(D2771)))+C2771*(1-ABS(D2771)/(ABS(D2772)+ABS(D2771)))),"")))</f>
        <v>#NAME?</v>
      </c>
    </row>
    <row r="2773" spans="2:5" x14ac:dyDescent="0.25">
      <c r="B2773" t="e">
        <f t="shared" ca="1" si="87"/>
        <v>#NAME?</v>
      </c>
      <c r="C2773">
        <v>2730</v>
      </c>
      <c r="D2773" t="e">
        <f t="shared" ca="1" si="86"/>
        <v>#NAME?</v>
      </c>
      <c r="E2773" s="115" t="e">
        <f t="array" aca="1" ref="E2773" ca="1">IF(OR(C2772=0,AND(B2774=0,C2774=0)),"",IFERROR(INDEX($F$27:$F$36,MATCH(C2773,($F$27:$F$36)*($D$27:$D$36&lt;&gt;0),0)),IF(OR(AND(D2773=0,B2773=0,B2774&lt;&gt;0),AND(D2773*D2772&lt;0,B2773&lt;&gt;0)),IF(D2773=0,C2773,C2773*(1-ABS(D2773)/(ABS(D2773)+ABS(D2772)))+C2772*(1-ABS(D2772)/(ABS(D2773)+ABS(D2772)))),"")))</f>
        <v>#NAME?</v>
      </c>
    </row>
    <row r="2774" spans="2:5" x14ac:dyDescent="0.25">
      <c r="B2774" t="e">
        <f t="shared" ca="1" si="87"/>
        <v>#NAME?</v>
      </c>
      <c r="C2774">
        <v>2731</v>
      </c>
      <c r="D2774" t="e">
        <f t="shared" ca="1" si="86"/>
        <v>#NAME?</v>
      </c>
      <c r="E2774" s="115" t="e">
        <f t="array" aca="1" ref="E2774" ca="1">IF(OR(C2773=0,AND(B2775=0,C2775=0)),"",IFERROR(INDEX($F$27:$F$36,MATCH(C2774,($F$27:$F$36)*($D$27:$D$36&lt;&gt;0),0)),IF(OR(AND(D2774=0,B2774=0,B2775&lt;&gt;0),AND(D2774*D2773&lt;0,B2774&lt;&gt;0)),IF(D2774=0,C2774,C2774*(1-ABS(D2774)/(ABS(D2774)+ABS(D2773)))+C2773*(1-ABS(D2773)/(ABS(D2774)+ABS(D2773)))),"")))</f>
        <v>#NAME?</v>
      </c>
    </row>
    <row r="2775" spans="2:5" x14ac:dyDescent="0.25">
      <c r="B2775" t="e">
        <f t="shared" ca="1" si="87"/>
        <v>#NAME?</v>
      </c>
      <c r="C2775">
        <v>2732</v>
      </c>
      <c r="D2775" t="e">
        <f t="shared" ca="1" si="86"/>
        <v>#NAME?</v>
      </c>
      <c r="E2775" s="115" t="e">
        <f t="array" aca="1" ref="E2775" ca="1">IF(OR(C2774=0,AND(B2776=0,C2776=0)),"",IFERROR(INDEX($F$27:$F$36,MATCH(C2775,($F$27:$F$36)*($D$27:$D$36&lt;&gt;0),0)),IF(OR(AND(D2775=0,B2775=0,B2776&lt;&gt;0),AND(D2775*D2774&lt;0,B2775&lt;&gt;0)),IF(D2775=0,C2775,C2775*(1-ABS(D2775)/(ABS(D2775)+ABS(D2774)))+C2774*(1-ABS(D2774)/(ABS(D2775)+ABS(D2774)))),"")))</f>
        <v>#NAME?</v>
      </c>
    </row>
    <row r="2776" spans="2:5" x14ac:dyDescent="0.25">
      <c r="B2776" t="e">
        <f t="shared" ca="1" si="87"/>
        <v>#NAME?</v>
      </c>
      <c r="C2776">
        <v>2733</v>
      </c>
      <c r="D2776" t="e">
        <f t="shared" ca="1" si="86"/>
        <v>#NAME?</v>
      </c>
      <c r="E2776" s="115" t="e">
        <f t="array" aca="1" ref="E2776" ca="1">IF(OR(C2775=0,AND(B2777=0,C2777=0)),"",IFERROR(INDEX($F$27:$F$36,MATCH(C2776,($F$27:$F$36)*($D$27:$D$36&lt;&gt;0),0)),IF(OR(AND(D2776=0,B2776=0,B2777&lt;&gt;0),AND(D2776*D2775&lt;0,B2776&lt;&gt;0)),IF(D2776=0,C2776,C2776*(1-ABS(D2776)/(ABS(D2776)+ABS(D2775)))+C2775*(1-ABS(D2775)/(ABS(D2776)+ABS(D2775)))),"")))</f>
        <v>#NAME?</v>
      </c>
    </row>
    <row r="2777" spans="2:5" x14ac:dyDescent="0.25">
      <c r="B2777" t="e">
        <f t="shared" ca="1" si="87"/>
        <v>#NAME?</v>
      </c>
      <c r="C2777">
        <v>2734</v>
      </c>
      <c r="D2777" t="e">
        <f t="shared" ca="1" si="86"/>
        <v>#NAME?</v>
      </c>
      <c r="E2777" s="115" t="e">
        <f t="array" aca="1" ref="E2777" ca="1">IF(OR(C2776=0,AND(B2778=0,C2778=0)),"",IFERROR(INDEX($F$27:$F$36,MATCH(C2777,($F$27:$F$36)*($D$27:$D$36&lt;&gt;0),0)),IF(OR(AND(D2777=0,B2777=0,B2778&lt;&gt;0),AND(D2777*D2776&lt;0,B2777&lt;&gt;0)),IF(D2777=0,C2777,C2777*(1-ABS(D2777)/(ABS(D2777)+ABS(D2776)))+C2776*(1-ABS(D2776)/(ABS(D2777)+ABS(D2776)))),"")))</f>
        <v>#NAME?</v>
      </c>
    </row>
    <row r="2778" spans="2:5" x14ac:dyDescent="0.25">
      <c r="B2778" t="e">
        <f t="shared" ca="1" si="87"/>
        <v>#NAME?</v>
      </c>
      <c r="C2778">
        <v>2735</v>
      </c>
      <c r="D2778" t="e">
        <f t="shared" ca="1" si="86"/>
        <v>#NAME?</v>
      </c>
      <c r="E2778" s="115" t="e">
        <f t="array" aca="1" ref="E2778" ca="1">IF(OR(C2777=0,AND(B2779=0,C2779=0)),"",IFERROR(INDEX($F$27:$F$36,MATCH(C2778,($F$27:$F$36)*($D$27:$D$36&lt;&gt;0),0)),IF(OR(AND(D2778=0,B2778=0,B2779&lt;&gt;0),AND(D2778*D2777&lt;0,B2778&lt;&gt;0)),IF(D2778=0,C2778,C2778*(1-ABS(D2778)/(ABS(D2778)+ABS(D2777)))+C2777*(1-ABS(D2777)/(ABS(D2778)+ABS(D2777)))),"")))</f>
        <v>#NAME?</v>
      </c>
    </row>
    <row r="2779" spans="2:5" x14ac:dyDescent="0.25">
      <c r="B2779" t="e">
        <f t="shared" ca="1" si="87"/>
        <v>#NAME?</v>
      </c>
      <c r="C2779">
        <v>2736</v>
      </c>
      <c r="D2779" t="e">
        <f t="shared" ca="1" si="86"/>
        <v>#NAME?</v>
      </c>
      <c r="E2779" s="115" t="e">
        <f t="array" aca="1" ref="E2779" ca="1">IF(OR(C2778=0,AND(B2780=0,C2780=0)),"",IFERROR(INDEX($F$27:$F$36,MATCH(C2779,($F$27:$F$36)*($D$27:$D$36&lt;&gt;0),0)),IF(OR(AND(D2779=0,B2779=0,B2780&lt;&gt;0),AND(D2779*D2778&lt;0,B2779&lt;&gt;0)),IF(D2779=0,C2779,C2779*(1-ABS(D2779)/(ABS(D2779)+ABS(D2778)))+C2778*(1-ABS(D2778)/(ABS(D2779)+ABS(D2778)))),"")))</f>
        <v>#NAME?</v>
      </c>
    </row>
    <row r="2780" spans="2:5" x14ac:dyDescent="0.25">
      <c r="B2780" t="e">
        <f t="shared" ca="1" si="87"/>
        <v>#NAME?</v>
      </c>
      <c r="C2780">
        <v>2737</v>
      </c>
      <c r="D2780" t="e">
        <f t="shared" ca="1" si="86"/>
        <v>#NAME?</v>
      </c>
      <c r="E2780" s="115" t="e">
        <f t="array" aca="1" ref="E2780" ca="1">IF(OR(C2779=0,AND(B2781=0,C2781=0)),"",IFERROR(INDEX($F$27:$F$36,MATCH(C2780,($F$27:$F$36)*($D$27:$D$36&lt;&gt;0),0)),IF(OR(AND(D2780=0,B2780=0,B2781&lt;&gt;0),AND(D2780*D2779&lt;0,B2780&lt;&gt;0)),IF(D2780=0,C2780,C2780*(1-ABS(D2780)/(ABS(D2780)+ABS(D2779)))+C2779*(1-ABS(D2779)/(ABS(D2780)+ABS(D2779)))),"")))</f>
        <v>#NAME?</v>
      </c>
    </row>
    <row r="2781" spans="2:5" x14ac:dyDescent="0.25">
      <c r="B2781" t="e">
        <f t="shared" ca="1" si="87"/>
        <v>#NAME?</v>
      </c>
      <c r="C2781">
        <v>2738</v>
      </c>
      <c r="D2781" t="e">
        <f t="shared" ca="1" si="86"/>
        <v>#NAME?</v>
      </c>
      <c r="E2781" s="115" t="e">
        <f t="array" aca="1" ref="E2781" ca="1">IF(OR(C2780=0,AND(B2782=0,C2782=0)),"",IFERROR(INDEX($F$27:$F$36,MATCH(C2781,($F$27:$F$36)*($D$27:$D$36&lt;&gt;0),0)),IF(OR(AND(D2781=0,B2781=0,B2782&lt;&gt;0),AND(D2781*D2780&lt;0,B2781&lt;&gt;0)),IF(D2781=0,C2781,C2781*(1-ABS(D2781)/(ABS(D2781)+ABS(D2780)))+C2780*(1-ABS(D2780)/(ABS(D2781)+ABS(D2780)))),"")))</f>
        <v>#NAME?</v>
      </c>
    </row>
    <row r="2782" spans="2:5" x14ac:dyDescent="0.25">
      <c r="B2782" t="e">
        <f t="shared" ca="1" si="87"/>
        <v>#NAME?</v>
      </c>
      <c r="C2782">
        <v>2739</v>
      </c>
      <c r="D2782" t="e">
        <f t="shared" ca="1" si="86"/>
        <v>#NAME?</v>
      </c>
      <c r="E2782" s="115" t="e">
        <f t="array" aca="1" ref="E2782" ca="1">IF(OR(C2781=0,AND(B2783=0,C2783=0)),"",IFERROR(INDEX($F$27:$F$36,MATCH(C2782,($F$27:$F$36)*($D$27:$D$36&lt;&gt;0),0)),IF(OR(AND(D2782=0,B2782=0,B2783&lt;&gt;0),AND(D2782*D2781&lt;0,B2782&lt;&gt;0)),IF(D2782=0,C2782,C2782*(1-ABS(D2782)/(ABS(D2782)+ABS(D2781)))+C2781*(1-ABS(D2781)/(ABS(D2782)+ABS(D2781)))),"")))</f>
        <v>#NAME?</v>
      </c>
    </row>
    <row r="2783" spans="2:5" x14ac:dyDescent="0.25">
      <c r="B2783" t="e">
        <f t="shared" ca="1" si="87"/>
        <v>#NAME?</v>
      </c>
      <c r="C2783">
        <v>2740</v>
      </c>
      <c r="D2783" t="e">
        <f t="shared" ca="1" si="86"/>
        <v>#NAME?</v>
      </c>
      <c r="E2783" s="115" t="e">
        <f t="array" aca="1" ref="E2783" ca="1">IF(OR(C2782=0,AND(B2784=0,C2784=0)),"",IFERROR(INDEX($F$27:$F$36,MATCH(C2783,($F$27:$F$36)*($D$27:$D$36&lt;&gt;0),0)),IF(OR(AND(D2783=0,B2783=0,B2784&lt;&gt;0),AND(D2783*D2782&lt;0,B2783&lt;&gt;0)),IF(D2783=0,C2783,C2783*(1-ABS(D2783)/(ABS(D2783)+ABS(D2782)))+C2782*(1-ABS(D2782)/(ABS(D2783)+ABS(D2782)))),"")))</f>
        <v>#NAME?</v>
      </c>
    </row>
    <row r="2784" spans="2:5" x14ac:dyDescent="0.25">
      <c r="B2784" t="e">
        <f t="shared" ca="1" si="87"/>
        <v>#NAME?</v>
      </c>
      <c r="C2784">
        <v>2741</v>
      </c>
      <c r="D2784" t="e">
        <f t="shared" ca="1" si="86"/>
        <v>#NAME?</v>
      </c>
      <c r="E2784" s="115" t="e">
        <f t="array" aca="1" ref="E2784" ca="1">IF(OR(C2783=0,AND(B2785=0,C2785=0)),"",IFERROR(INDEX($F$27:$F$36,MATCH(C2784,($F$27:$F$36)*($D$27:$D$36&lt;&gt;0),0)),IF(OR(AND(D2784=0,B2784=0,B2785&lt;&gt;0),AND(D2784*D2783&lt;0,B2784&lt;&gt;0)),IF(D2784=0,C2784,C2784*(1-ABS(D2784)/(ABS(D2784)+ABS(D2783)))+C2783*(1-ABS(D2783)/(ABS(D2784)+ABS(D2783)))),"")))</f>
        <v>#NAME?</v>
      </c>
    </row>
    <row r="2785" spans="2:5" x14ac:dyDescent="0.25">
      <c r="B2785" t="e">
        <f t="shared" ca="1" si="87"/>
        <v>#NAME?</v>
      </c>
      <c r="C2785">
        <v>2742</v>
      </c>
      <c r="D2785" t="e">
        <f t="shared" ca="1" si="86"/>
        <v>#NAME?</v>
      </c>
      <c r="E2785" s="115" t="e">
        <f t="array" aca="1" ref="E2785" ca="1">IF(OR(C2784=0,AND(B2786=0,C2786=0)),"",IFERROR(INDEX($F$27:$F$36,MATCH(C2785,($F$27:$F$36)*($D$27:$D$36&lt;&gt;0),0)),IF(OR(AND(D2785=0,B2785=0,B2786&lt;&gt;0),AND(D2785*D2784&lt;0,B2785&lt;&gt;0)),IF(D2785=0,C2785,C2785*(1-ABS(D2785)/(ABS(D2785)+ABS(D2784)))+C2784*(1-ABS(D2784)/(ABS(D2785)+ABS(D2784)))),"")))</f>
        <v>#NAME?</v>
      </c>
    </row>
    <row r="2786" spans="2:5" x14ac:dyDescent="0.25">
      <c r="B2786" t="e">
        <f t="shared" ca="1" si="87"/>
        <v>#NAME?</v>
      </c>
      <c r="C2786">
        <v>2743</v>
      </c>
      <c r="D2786" t="e">
        <f t="shared" ca="1" si="86"/>
        <v>#NAME?</v>
      </c>
      <c r="E2786" s="115" t="e">
        <f t="array" aca="1" ref="E2786" ca="1">IF(OR(C2785=0,AND(B2787=0,C2787=0)),"",IFERROR(INDEX($F$27:$F$36,MATCH(C2786,($F$27:$F$36)*($D$27:$D$36&lt;&gt;0),0)),IF(OR(AND(D2786=0,B2786=0,B2787&lt;&gt;0),AND(D2786*D2785&lt;0,B2786&lt;&gt;0)),IF(D2786=0,C2786,C2786*(1-ABS(D2786)/(ABS(D2786)+ABS(D2785)))+C2785*(1-ABS(D2785)/(ABS(D2786)+ABS(D2785)))),"")))</f>
        <v>#NAME?</v>
      </c>
    </row>
    <row r="2787" spans="2:5" x14ac:dyDescent="0.25">
      <c r="B2787" t="e">
        <f t="shared" ca="1" si="87"/>
        <v>#NAME?</v>
      </c>
      <c r="C2787">
        <v>2744</v>
      </c>
      <c r="D2787" t="e">
        <f t="shared" ca="1" si="86"/>
        <v>#NAME?</v>
      </c>
      <c r="E2787" s="115" t="e">
        <f t="array" aca="1" ref="E2787" ca="1">IF(OR(C2786=0,AND(B2788=0,C2788=0)),"",IFERROR(INDEX($F$27:$F$36,MATCH(C2787,($F$27:$F$36)*($D$27:$D$36&lt;&gt;0),0)),IF(OR(AND(D2787=0,B2787=0,B2788&lt;&gt;0),AND(D2787*D2786&lt;0,B2787&lt;&gt;0)),IF(D2787=0,C2787,C2787*(1-ABS(D2787)/(ABS(D2787)+ABS(D2786)))+C2786*(1-ABS(D2786)/(ABS(D2787)+ABS(D2786)))),"")))</f>
        <v>#NAME?</v>
      </c>
    </row>
    <row r="2788" spans="2:5" x14ac:dyDescent="0.25">
      <c r="B2788" t="e">
        <f t="shared" ca="1" si="87"/>
        <v>#NAME?</v>
      </c>
      <c r="C2788">
        <v>2745</v>
      </c>
      <c r="D2788" t="e">
        <f t="shared" ca="1" si="86"/>
        <v>#NAME?</v>
      </c>
      <c r="E2788" s="115" t="e">
        <f t="array" aca="1" ref="E2788" ca="1">IF(OR(C2787=0,AND(B2789=0,C2789=0)),"",IFERROR(INDEX($F$27:$F$36,MATCH(C2788,($F$27:$F$36)*($D$27:$D$36&lt;&gt;0),0)),IF(OR(AND(D2788=0,B2788=0,B2789&lt;&gt;0),AND(D2788*D2787&lt;0,B2788&lt;&gt;0)),IF(D2788=0,C2788,C2788*(1-ABS(D2788)/(ABS(D2788)+ABS(D2787)))+C2787*(1-ABS(D2787)/(ABS(D2788)+ABS(D2787)))),"")))</f>
        <v>#NAME?</v>
      </c>
    </row>
    <row r="2789" spans="2:5" x14ac:dyDescent="0.25">
      <c r="B2789" t="e">
        <f t="shared" ca="1" si="87"/>
        <v>#NAME?</v>
      </c>
      <c r="C2789">
        <v>2746</v>
      </c>
      <c r="D2789" t="e">
        <f t="shared" ca="1" si="86"/>
        <v>#NAME?</v>
      </c>
      <c r="E2789" s="115" t="e">
        <f t="array" aca="1" ref="E2789" ca="1">IF(OR(C2788=0,AND(B2790=0,C2790=0)),"",IFERROR(INDEX($F$27:$F$36,MATCH(C2789,($F$27:$F$36)*($D$27:$D$36&lt;&gt;0),0)),IF(OR(AND(D2789=0,B2789=0,B2790&lt;&gt;0),AND(D2789*D2788&lt;0,B2789&lt;&gt;0)),IF(D2789=0,C2789,C2789*(1-ABS(D2789)/(ABS(D2789)+ABS(D2788)))+C2788*(1-ABS(D2788)/(ABS(D2789)+ABS(D2788)))),"")))</f>
        <v>#NAME?</v>
      </c>
    </row>
    <row r="2790" spans="2:5" x14ac:dyDescent="0.25">
      <c r="B2790" t="e">
        <f t="shared" ca="1" si="87"/>
        <v>#NAME?</v>
      </c>
      <c r="C2790">
        <v>2747</v>
      </c>
      <c r="D2790" t="e">
        <f t="shared" ca="1" si="86"/>
        <v>#NAME?</v>
      </c>
      <c r="E2790" s="115" t="e">
        <f t="array" aca="1" ref="E2790" ca="1">IF(OR(C2789=0,AND(B2791=0,C2791=0)),"",IFERROR(INDEX($F$27:$F$36,MATCH(C2790,($F$27:$F$36)*($D$27:$D$36&lt;&gt;0),0)),IF(OR(AND(D2790=0,B2790=0,B2791&lt;&gt;0),AND(D2790*D2789&lt;0,B2790&lt;&gt;0)),IF(D2790=0,C2790,C2790*(1-ABS(D2790)/(ABS(D2790)+ABS(D2789)))+C2789*(1-ABS(D2789)/(ABS(D2790)+ABS(D2789)))),"")))</f>
        <v>#NAME?</v>
      </c>
    </row>
    <row r="2791" spans="2:5" x14ac:dyDescent="0.25">
      <c r="B2791" t="e">
        <f t="shared" ca="1" si="87"/>
        <v>#NAME?</v>
      </c>
      <c r="C2791">
        <v>2748</v>
      </c>
      <c r="D2791" t="e">
        <f t="shared" ca="1" si="86"/>
        <v>#NAME?</v>
      </c>
      <c r="E2791" s="115" t="e">
        <f t="array" aca="1" ref="E2791" ca="1">IF(OR(C2790=0,AND(B2792=0,C2792=0)),"",IFERROR(INDEX($F$27:$F$36,MATCH(C2791,($F$27:$F$36)*($D$27:$D$36&lt;&gt;0),0)),IF(OR(AND(D2791=0,B2791=0,B2792&lt;&gt;0),AND(D2791*D2790&lt;0,B2791&lt;&gt;0)),IF(D2791=0,C2791,C2791*(1-ABS(D2791)/(ABS(D2791)+ABS(D2790)))+C2790*(1-ABS(D2790)/(ABS(D2791)+ABS(D2790)))),"")))</f>
        <v>#NAME?</v>
      </c>
    </row>
    <row r="2792" spans="2:5" x14ac:dyDescent="0.25">
      <c r="B2792" t="e">
        <f t="shared" ca="1" si="87"/>
        <v>#NAME?</v>
      </c>
      <c r="C2792">
        <v>2749</v>
      </c>
      <c r="D2792" t="e">
        <f t="shared" ca="1" si="86"/>
        <v>#NAME?</v>
      </c>
      <c r="E2792" s="115" t="e">
        <f t="array" aca="1" ref="E2792" ca="1">IF(OR(C2791=0,AND(B2793=0,C2793=0)),"",IFERROR(INDEX($F$27:$F$36,MATCH(C2792,($F$27:$F$36)*($D$27:$D$36&lt;&gt;0),0)),IF(OR(AND(D2792=0,B2792=0,B2793&lt;&gt;0),AND(D2792*D2791&lt;0,B2792&lt;&gt;0)),IF(D2792=0,C2792,C2792*(1-ABS(D2792)/(ABS(D2792)+ABS(D2791)))+C2791*(1-ABS(D2791)/(ABS(D2792)+ABS(D2791)))),"")))</f>
        <v>#NAME?</v>
      </c>
    </row>
    <row r="2793" spans="2:5" x14ac:dyDescent="0.25">
      <c r="B2793" t="e">
        <f t="shared" ca="1" si="87"/>
        <v>#NAME?</v>
      </c>
      <c r="C2793">
        <v>2750</v>
      </c>
      <c r="D2793" t="e">
        <f t="shared" ca="1" si="86"/>
        <v>#NAME?</v>
      </c>
      <c r="E2793" s="115" t="e">
        <f t="array" aca="1" ref="E2793" ca="1">IF(OR(C2792=0,AND(B2794=0,C2794=0)),"",IFERROR(INDEX($F$27:$F$36,MATCH(C2793,($F$27:$F$36)*($D$27:$D$36&lt;&gt;0),0)),IF(OR(AND(D2793=0,B2793=0,B2794&lt;&gt;0),AND(D2793*D2792&lt;0,B2793&lt;&gt;0)),IF(D2793=0,C2793,C2793*(1-ABS(D2793)/(ABS(D2793)+ABS(D2792)))+C2792*(1-ABS(D2792)/(ABS(D2793)+ABS(D2792)))),"")))</f>
        <v>#NAME?</v>
      </c>
    </row>
    <row r="2794" spans="2:5" x14ac:dyDescent="0.25">
      <c r="B2794" t="e">
        <f t="shared" ca="1" si="87"/>
        <v>#NAME?</v>
      </c>
      <c r="C2794">
        <v>2751</v>
      </c>
      <c r="D2794" t="e">
        <f t="shared" ca="1" si="86"/>
        <v>#NAME?</v>
      </c>
      <c r="E2794" s="115" t="e">
        <f t="array" aca="1" ref="E2794" ca="1">IF(OR(C2793=0,AND(B2795=0,C2795=0)),"",IFERROR(INDEX($F$27:$F$36,MATCH(C2794,($F$27:$F$36)*($D$27:$D$36&lt;&gt;0),0)),IF(OR(AND(D2794=0,B2794=0,B2795&lt;&gt;0),AND(D2794*D2793&lt;0,B2794&lt;&gt;0)),IF(D2794=0,C2794,C2794*(1-ABS(D2794)/(ABS(D2794)+ABS(D2793)))+C2793*(1-ABS(D2793)/(ABS(D2794)+ABS(D2793)))),"")))</f>
        <v>#NAME?</v>
      </c>
    </row>
    <row r="2795" spans="2:5" x14ac:dyDescent="0.25">
      <c r="B2795" t="e">
        <f t="shared" ca="1" si="87"/>
        <v>#NAME?</v>
      </c>
      <c r="C2795">
        <v>2752</v>
      </c>
      <c r="D2795" t="e">
        <f t="shared" ref="D2795:D2858" ca="1" si="88">SUMPRODUCT(--($J$27:$J$37&gt;0),--($C2795-$F$27:$F$37&gt;0),($D$27:$D$37),($C2795-$F$27:$F$37))+SUMPRODUCT(--($J$27:$J$37&lt;0),--($F$27:$F$37-$C2795&gt;0),($D$27:$D$37),($F$27:$F$37-$C2795))-SUMPRODUCT($D$27:$D$37,$E$27:$E$37)</f>
        <v>#NAME?</v>
      </c>
      <c r="E2795" s="115" t="e">
        <f t="array" aca="1" ref="E2795" ca="1">IF(OR(C2794=0,AND(B2796=0,C2796=0)),"",IFERROR(INDEX($F$27:$F$36,MATCH(C2795,($F$27:$F$36)*($D$27:$D$36&lt;&gt;0),0)),IF(OR(AND(D2795=0,B2795=0,B2796&lt;&gt;0),AND(D2795*D2794&lt;0,B2795&lt;&gt;0)),IF(D2795=0,C2795,C2795*(1-ABS(D2795)/(ABS(D2795)+ABS(D2794)))+C2794*(1-ABS(D2794)/(ABS(D2795)+ABS(D2794)))),"")))</f>
        <v>#NAME?</v>
      </c>
    </row>
    <row r="2796" spans="2:5" x14ac:dyDescent="0.25">
      <c r="B2796" t="e">
        <f t="shared" ref="B2796:B2859" ca="1" si="89">ROUND((D2796-D2795)/(C2796-C2795),12)</f>
        <v>#NAME?</v>
      </c>
      <c r="C2796">
        <v>2753</v>
      </c>
      <c r="D2796" t="e">
        <f t="shared" ca="1" si="88"/>
        <v>#NAME?</v>
      </c>
      <c r="E2796" s="115" t="e">
        <f t="array" aca="1" ref="E2796" ca="1">IF(OR(C2795=0,AND(B2797=0,C2797=0)),"",IFERROR(INDEX($F$27:$F$36,MATCH(C2796,($F$27:$F$36)*($D$27:$D$36&lt;&gt;0),0)),IF(OR(AND(D2796=0,B2796=0,B2797&lt;&gt;0),AND(D2796*D2795&lt;0,B2796&lt;&gt;0)),IF(D2796=0,C2796,C2796*(1-ABS(D2796)/(ABS(D2796)+ABS(D2795)))+C2795*(1-ABS(D2795)/(ABS(D2796)+ABS(D2795)))),"")))</f>
        <v>#NAME?</v>
      </c>
    </row>
    <row r="2797" spans="2:5" x14ac:dyDescent="0.25">
      <c r="B2797" t="e">
        <f t="shared" ca="1" si="89"/>
        <v>#NAME?</v>
      </c>
      <c r="C2797">
        <v>2754</v>
      </c>
      <c r="D2797" t="e">
        <f t="shared" ca="1" si="88"/>
        <v>#NAME?</v>
      </c>
      <c r="E2797" s="115" t="e">
        <f t="array" aca="1" ref="E2797" ca="1">IF(OR(C2796=0,AND(B2798=0,C2798=0)),"",IFERROR(INDEX($F$27:$F$36,MATCH(C2797,($F$27:$F$36)*($D$27:$D$36&lt;&gt;0),0)),IF(OR(AND(D2797=0,B2797=0,B2798&lt;&gt;0),AND(D2797*D2796&lt;0,B2797&lt;&gt;0)),IF(D2797=0,C2797,C2797*(1-ABS(D2797)/(ABS(D2797)+ABS(D2796)))+C2796*(1-ABS(D2796)/(ABS(D2797)+ABS(D2796)))),"")))</f>
        <v>#NAME?</v>
      </c>
    </row>
    <row r="2798" spans="2:5" x14ac:dyDescent="0.25">
      <c r="B2798" t="e">
        <f t="shared" ca="1" si="89"/>
        <v>#NAME?</v>
      </c>
      <c r="C2798">
        <v>2755</v>
      </c>
      <c r="D2798" t="e">
        <f t="shared" ca="1" si="88"/>
        <v>#NAME?</v>
      </c>
      <c r="E2798" s="115" t="e">
        <f t="array" aca="1" ref="E2798" ca="1">IF(OR(C2797=0,AND(B2799=0,C2799=0)),"",IFERROR(INDEX($F$27:$F$36,MATCH(C2798,($F$27:$F$36)*($D$27:$D$36&lt;&gt;0),0)),IF(OR(AND(D2798=0,B2798=0,B2799&lt;&gt;0),AND(D2798*D2797&lt;0,B2798&lt;&gt;0)),IF(D2798=0,C2798,C2798*(1-ABS(D2798)/(ABS(D2798)+ABS(D2797)))+C2797*(1-ABS(D2797)/(ABS(D2798)+ABS(D2797)))),"")))</f>
        <v>#NAME?</v>
      </c>
    </row>
    <row r="2799" spans="2:5" x14ac:dyDescent="0.25">
      <c r="B2799" t="e">
        <f t="shared" ca="1" si="89"/>
        <v>#NAME?</v>
      </c>
      <c r="C2799">
        <v>2756</v>
      </c>
      <c r="D2799" t="e">
        <f t="shared" ca="1" si="88"/>
        <v>#NAME?</v>
      </c>
      <c r="E2799" s="115" t="e">
        <f t="array" aca="1" ref="E2799" ca="1">IF(OR(C2798=0,AND(B2800=0,C2800=0)),"",IFERROR(INDEX($F$27:$F$36,MATCH(C2799,($F$27:$F$36)*($D$27:$D$36&lt;&gt;0),0)),IF(OR(AND(D2799=0,B2799=0,B2800&lt;&gt;0),AND(D2799*D2798&lt;0,B2799&lt;&gt;0)),IF(D2799=0,C2799,C2799*(1-ABS(D2799)/(ABS(D2799)+ABS(D2798)))+C2798*(1-ABS(D2798)/(ABS(D2799)+ABS(D2798)))),"")))</f>
        <v>#NAME?</v>
      </c>
    </row>
    <row r="2800" spans="2:5" x14ac:dyDescent="0.25">
      <c r="B2800" t="e">
        <f t="shared" ca="1" si="89"/>
        <v>#NAME?</v>
      </c>
      <c r="C2800">
        <v>2757</v>
      </c>
      <c r="D2800" t="e">
        <f t="shared" ca="1" si="88"/>
        <v>#NAME?</v>
      </c>
      <c r="E2800" s="115" t="e">
        <f t="array" aca="1" ref="E2800" ca="1">IF(OR(C2799=0,AND(B2801=0,C2801=0)),"",IFERROR(INDEX($F$27:$F$36,MATCH(C2800,($F$27:$F$36)*($D$27:$D$36&lt;&gt;0),0)),IF(OR(AND(D2800=0,B2800=0,B2801&lt;&gt;0),AND(D2800*D2799&lt;0,B2800&lt;&gt;0)),IF(D2800=0,C2800,C2800*(1-ABS(D2800)/(ABS(D2800)+ABS(D2799)))+C2799*(1-ABS(D2799)/(ABS(D2800)+ABS(D2799)))),"")))</f>
        <v>#NAME?</v>
      </c>
    </row>
    <row r="2801" spans="2:5" x14ac:dyDescent="0.25">
      <c r="B2801" t="e">
        <f t="shared" ca="1" si="89"/>
        <v>#NAME?</v>
      </c>
      <c r="C2801">
        <v>2758</v>
      </c>
      <c r="D2801" t="e">
        <f t="shared" ca="1" si="88"/>
        <v>#NAME?</v>
      </c>
      <c r="E2801" s="115" t="e">
        <f t="array" aca="1" ref="E2801" ca="1">IF(OR(C2800=0,AND(B2802=0,C2802=0)),"",IFERROR(INDEX($F$27:$F$36,MATCH(C2801,($F$27:$F$36)*($D$27:$D$36&lt;&gt;0),0)),IF(OR(AND(D2801=0,B2801=0,B2802&lt;&gt;0),AND(D2801*D2800&lt;0,B2801&lt;&gt;0)),IF(D2801=0,C2801,C2801*(1-ABS(D2801)/(ABS(D2801)+ABS(D2800)))+C2800*(1-ABS(D2800)/(ABS(D2801)+ABS(D2800)))),"")))</f>
        <v>#NAME?</v>
      </c>
    </row>
    <row r="2802" spans="2:5" x14ac:dyDescent="0.25">
      <c r="B2802" t="e">
        <f t="shared" ca="1" si="89"/>
        <v>#NAME?</v>
      </c>
      <c r="C2802">
        <v>2759</v>
      </c>
      <c r="D2802" t="e">
        <f t="shared" ca="1" si="88"/>
        <v>#NAME?</v>
      </c>
      <c r="E2802" s="115" t="e">
        <f t="array" aca="1" ref="E2802" ca="1">IF(OR(C2801=0,AND(B2803=0,C2803=0)),"",IFERROR(INDEX($F$27:$F$36,MATCH(C2802,($F$27:$F$36)*($D$27:$D$36&lt;&gt;0),0)),IF(OR(AND(D2802=0,B2802=0,B2803&lt;&gt;0),AND(D2802*D2801&lt;0,B2802&lt;&gt;0)),IF(D2802=0,C2802,C2802*(1-ABS(D2802)/(ABS(D2802)+ABS(D2801)))+C2801*(1-ABS(D2801)/(ABS(D2802)+ABS(D2801)))),"")))</f>
        <v>#NAME?</v>
      </c>
    </row>
    <row r="2803" spans="2:5" x14ac:dyDescent="0.25">
      <c r="B2803" t="e">
        <f t="shared" ca="1" si="89"/>
        <v>#NAME?</v>
      </c>
      <c r="C2803">
        <v>2760</v>
      </c>
      <c r="D2803" t="e">
        <f t="shared" ca="1" si="88"/>
        <v>#NAME?</v>
      </c>
      <c r="E2803" s="115" t="e">
        <f t="array" aca="1" ref="E2803" ca="1">IF(OR(C2802=0,AND(B2804=0,C2804=0)),"",IFERROR(INDEX($F$27:$F$36,MATCH(C2803,($F$27:$F$36)*($D$27:$D$36&lt;&gt;0),0)),IF(OR(AND(D2803=0,B2803=0,B2804&lt;&gt;0),AND(D2803*D2802&lt;0,B2803&lt;&gt;0)),IF(D2803=0,C2803,C2803*(1-ABS(D2803)/(ABS(D2803)+ABS(D2802)))+C2802*(1-ABS(D2802)/(ABS(D2803)+ABS(D2802)))),"")))</f>
        <v>#NAME?</v>
      </c>
    </row>
    <row r="2804" spans="2:5" x14ac:dyDescent="0.25">
      <c r="B2804" t="e">
        <f t="shared" ca="1" si="89"/>
        <v>#NAME?</v>
      </c>
      <c r="C2804">
        <v>2761</v>
      </c>
      <c r="D2804" t="e">
        <f t="shared" ca="1" si="88"/>
        <v>#NAME?</v>
      </c>
      <c r="E2804" s="115" t="e">
        <f t="array" aca="1" ref="E2804" ca="1">IF(OR(C2803=0,AND(B2805=0,C2805=0)),"",IFERROR(INDEX($F$27:$F$36,MATCH(C2804,($F$27:$F$36)*($D$27:$D$36&lt;&gt;0),0)),IF(OR(AND(D2804=0,B2804=0,B2805&lt;&gt;0),AND(D2804*D2803&lt;0,B2804&lt;&gt;0)),IF(D2804=0,C2804,C2804*(1-ABS(D2804)/(ABS(D2804)+ABS(D2803)))+C2803*(1-ABS(D2803)/(ABS(D2804)+ABS(D2803)))),"")))</f>
        <v>#NAME?</v>
      </c>
    </row>
    <row r="2805" spans="2:5" x14ac:dyDescent="0.25">
      <c r="B2805" t="e">
        <f t="shared" ca="1" si="89"/>
        <v>#NAME?</v>
      </c>
      <c r="C2805">
        <v>2762</v>
      </c>
      <c r="D2805" t="e">
        <f t="shared" ca="1" si="88"/>
        <v>#NAME?</v>
      </c>
      <c r="E2805" s="115" t="e">
        <f t="array" aca="1" ref="E2805" ca="1">IF(OR(C2804=0,AND(B2806=0,C2806=0)),"",IFERROR(INDEX($F$27:$F$36,MATCH(C2805,($F$27:$F$36)*($D$27:$D$36&lt;&gt;0),0)),IF(OR(AND(D2805=0,B2805=0,B2806&lt;&gt;0),AND(D2805*D2804&lt;0,B2805&lt;&gt;0)),IF(D2805=0,C2805,C2805*(1-ABS(D2805)/(ABS(D2805)+ABS(D2804)))+C2804*(1-ABS(D2804)/(ABS(D2805)+ABS(D2804)))),"")))</f>
        <v>#NAME?</v>
      </c>
    </row>
    <row r="2806" spans="2:5" x14ac:dyDescent="0.25">
      <c r="B2806" t="e">
        <f t="shared" ca="1" si="89"/>
        <v>#NAME?</v>
      </c>
      <c r="C2806">
        <v>2763</v>
      </c>
      <c r="D2806" t="e">
        <f t="shared" ca="1" si="88"/>
        <v>#NAME?</v>
      </c>
      <c r="E2806" s="115" t="e">
        <f t="array" aca="1" ref="E2806" ca="1">IF(OR(C2805=0,AND(B2807=0,C2807=0)),"",IFERROR(INDEX($F$27:$F$36,MATCH(C2806,($F$27:$F$36)*($D$27:$D$36&lt;&gt;0),0)),IF(OR(AND(D2806=0,B2806=0,B2807&lt;&gt;0),AND(D2806*D2805&lt;0,B2806&lt;&gt;0)),IF(D2806=0,C2806,C2806*(1-ABS(D2806)/(ABS(D2806)+ABS(D2805)))+C2805*(1-ABS(D2805)/(ABS(D2806)+ABS(D2805)))),"")))</f>
        <v>#NAME?</v>
      </c>
    </row>
    <row r="2807" spans="2:5" x14ac:dyDescent="0.25">
      <c r="B2807" t="e">
        <f t="shared" ca="1" si="89"/>
        <v>#NAME?</v>
      </c>
      <c r="C2807">
        <v>2764</v>
      </c>
      <c r="D2807" t="e">
        <f t="shared" ca="1" si="88"/>
        <v>#NAME?</v>
      </c>
      <c r="E2807" s="115" t="e">
        <f t="array" aca="1" ref="E2807" ca="1">IF(OR(C2806=0,AND(B2808=0,C2808=0)),"",IFERROR(INDEX($F$27:$F$36,MATCH(C2807,($F$27:$F$36)*($D$27:$D$36&lt;&gt;0),0)),IF(OR(AND(D2807=0,B2807=0,B2808&lt;&gt;0),AND(D2807*D2806&lt;0,B2807&lt;&gt;0)),IF(D2807=0,C2807,C2807*(1-ABS(D2807)/(ABS(D2807)+ABS(D2806)))+C2806*(1-ABS(D2806)/(ABS(D2807)+ABS(D2806)))),"")))</f>
        <v>#NAME?</v>
      </c>
    </row>
    <row r="2808" spans="2:5" x14ac:dyDescent="0.25">
      <c r="B2808" t="e">
        <f t="shared" ca="1" si="89"/>
        <v>#NAME?</v>
      </c>
      <c r="C2808">
        <v>2765</v>
      </c>
      <c r="D2808" t="e">
        <f t="shared" ca="1" si="88"/>
        <v>#NAME?</v>
      </c>
      <c r="E2808" s="115" t="e">
        <f t="array" aca="1" ref="E2808" ca="1">IF(OR(C2807=0,AND(B2809=0,C2809=0)),"",IFERROR(INDEX($F$27:$F$36,MATCH(C2808,($F$27:$F$36)*($D$27:$D$36&lt;&gt;0),0)),IF(OR(AND(D2808=0,B2808=0,B2809&lt;&gt;0),AND(D2808*D2807&lt;0,B2808&lt;&gt;0)),IF(D2808=0,C2808,C2808*(1-ABS(D2808)/(ABS(D2808)+ABS(D2807)))+C2807*(1-ABS(D2807)/(ABS(D2808)+ABS(D2807)))),"")))</f>
        <v>#NAME?</v>
      </c>
    </row>
    <row r="2809" spans="2:5" x14ac:dyDescent="0.25">
      <c r="B2809" t="e">
        <f t="shared" ca="1" si="89"/>
        <v>#NAME?</v>
      </c>
      <c r="C2809">
        <v>2766</v>
      </c>
      <c r="D2809" t="e">
        <f t="shared" ca="1" si="88"/>
        <v>#NAME?</v>
      </c>
      <c r="E2809" s="115" t="e">
        <f t="array" aca="1" ref="E2809" ca="1">IF(OR(C2808=0,AND(B2810=0,C2810=0)),"",IFERROR(INDEX($F$27:$F$36,MATCH(C2809,($F$27:$F$36)*($D$27:$D$36&lt;&gt;0),0)),IF(OR(AND(D2809=0,B2809=0,B2810&lt;&gt;0),AND(D2809*D2808&lt;0,B2809&lt;&gt;0)),IF(D2809=0,C2809,C2809*(1-ABS(D2809)/(ABS(D2809)+ABS(D2808)))+C2808*(1-ABS(D2808)/(ABS(D2809)+ABS(D2808)))),"")))</f>
        <v>#NAME?</v>
      </c>
    </row>
    <row r="2810" spans="2:5" x14ac:dyDescent="0.25">
      <c r="B2810" t="e">
        <f t="shared" ca="1" si="89"/>
        <v>#NAME?</v>
      </c>
      <c r="C2810">
        <v>2767</v>
      </c>
      <c r="D2810" t="e">
        <f t="shared" ca="1" si="88"/>
        <v>#NAME?</v>
      </c>
      <c r="E2810" s="115" t="e">
        <f t="array" aca="1" ref="E2810" ca="1">IF(OR(C2809=0,AND(B2811=0,C2811=0)),"",IFERROR(INDEX($F$27:$F$36,MATCH(C2810,($F$27:$F$36)*($D$27:$D$36&lt;&gt;0),0)),IF(OR(AND(D2810=0,B2810=0,B2811&lt;&gt;0),AND(D2810*D2809&lt;0,B2810&lt;&gt;0)),IF(D2810=0,C2810,C2810*(1-ABS(D2810)/(ABS(D2810)+ABS(D2809)))+C2809*(1-ABS(D2809)/(ABS(D2810)+ABS(D2809)))),"")))</f>
        <v>#NAME?</v>
      </c>
    </row>
    <row r="2811" spans="2:5" x14ac:dyDescent="0.25">
      <c r="B2811" t="e">
        <f t="shared" ca="1" si="89"/>
        <v>#NAME?</v>
      </c>
      <c r="C2811">
        <v>2768</v>
      </c>
      <c r="D2811" t="e">
        <f t="shared" ca="1" si="88"/>
        <v>#NAME?</v>
      </c>
      <c r="E2811" s="115" t="e">
        <f t="array" aca="1" ref="E2811" ca="1">IF(OR(C2810=0,AND(B2812=0,C2812=0)),"",IFERROR(INDEX($F$27:$F$36,MATCH(C2811,($F$27:$F$36)*($D$27:$D$36&lt;&gt;0),0)),IF(OR(AND(D2811=0,B2811=0,B2812&lt;&gt;0),AND(D2811*D2810&lt;0,B2811&lt;&gt;0)),IF(D2811=0,C2811,C2811*(1-ABS(D2811)/(ABS(D2811)+ABS(D2810)))+C2810*(1-ABS(D2810)/(ABS(D2811)+ABS(D2810)))),"")))</f>
        <v>#NAME?</v>
      </c>
    </row>
    <row r="2812" spans="2:5" x14ac:dyDescent="0.25">
      <c r="B2812" t="e">
        <f t="shared" ca="1" si="89"/>
        <v>#NAME?</v>
      </c>
      <c r="C2812">
        <v>2769</v>
      </c>
      <c r="D2812" t="e">
        <f t="shared" ca="1" si="88"/>
        <v>#NAME?</v>
      </c>
      <c r="E2812" s="115" t="e">
        <f t="array" aca="1" ref="E2812" ca="1">IF(OR(C2811=0,AND(B2813=0,C2813=0)),"",IFERROR(INDEX($F$27:$F$36,MATCH(C2812,($F$27:$F$36)*($D$27:$D$36&lt;&gt;0),0)),IF(OR(AND(D2812=0,B2812=0,B2813&lt;&gt;0),AND(D2812*D2811&lt;0,B2812&lt;&gt;0)),IF(D2812=0,C2812,C2812*(1-ABS(D2812)/(ABS(D2812)+ABS(D2811)))+C2811*(1-ABS(D2811)/(ABS(D2812)+ABS(D2811)))),"")))</f>
        <v>#NAME?</v>
      </c>
    </row>
    <row r="2813" spans="2:5" x14ac:dyDescent="0.25">
      <c r="B2813" t="e">
        <f t="shared" ca="1" si="89"/>
        <v>#NAME?</v>
      </c>
      <c r="C2813">
        <v>2770</v>
      </c>
      <c r="D2813" t="e">
        <f t="shared" ca="1" si="88"/>
        <v>#NAME?</v>
      </c>
      <c r="E2813" s="115" t="e">
        <f t="array" aca="1" ref="E2813" ca="1">IF(OR(C2812=0,AND(B2814=0,C2814=0)),"",IFERROR(INDEX($F$27:$F$36,MATCH(C2813,($F$27:$F$36)*($D$27:$D$36&lt;&gt;0),0)),IF(OR(AND(D2813=0,B2813=0,B2814&lt;&gt;0),AND(D2813*D2812&lt;0,B2813&lt;&gt;0)),IF(D2813=0,C2813,C2813*(1-ABS(D2813)/(ABS(D2813)+ABS(D2812)))+C2812*(1-ABS(D2812)/(ABS(D2813)+ABS(D2812)))),"")))</f>
        <v>#NAME?</v>
      </c>
    </row>
    <row r="2814" spans="2:5" x14ac:dyDescent="0.25">
      <c r="B2814" t="e">
        <f t="shared" ca="1" si="89"/>
        <v>#NAME?</v>
      </c>
      <c r="C2814">
        <v>2771</v>
      </c>
      <c r="D2814" t="e">
        <f t="shared" ca="1" si="88"/>
        <v>#NAME?</v>
      </c>
      <c r="E2814" s="115" t="e">
        <f t="array" aca="1" ref="E2814" ca="1">IF(OR(C2813=0,AND(B2815=0,C2815=0)),"",IFERROR(INDEX($F$27:$F$36,MATCH(C2814,($F$27:$F$36)*($D$27:$D$36&lt;&gt;0),0)),IF(OR(AND(D2814=0,B2814=0,B2815&lt;&gt;0),AND(D2814*D2813&lt;0,B2814&lt;&gt;0)),IF(D2814=0,C2814,C2814*(1-ABS(D2814)/(ABS(D2814)+ABS(D2813)))+C2813*(1-ABS(D2813)/(ABS(D2814)+ABS(D2813)))),"")))</f>
        <v>#NAME?</v>
      </c>
    </row>
    <row r="2815" spans="2:5" x14ac:dyDescent="0.25">
      <c r="B2815" t="e">
        <f t="shared" ca="1" si="89"/>
        <v>#NAME?</v>
      </c>
      <c r="C2815">
        <v>2772</v>
      </c>
      <c r="D2815" t="e">
        <f t="shared" ca="1" si="88"/>
        <v>#NAME?</v>
      </c>
      <c r="E2815" s="115" t="e">
        <f t="array" aca="1" ref="E2815" ca="1">IF(OR(C2814=0,AND(B2816=0,C2816=0)),"",IFERROR(INDEX($F$27:$F$36,MATCH(C2815,($F$27:$F$36)*($D$27:$D$36&lt;&gt;0),0)),IF(OR(AND(D2815=0,B2815=0,B2816&lt;&gt;0),AND(D2815*D2814&lt;0,B2815&lt;&gt;0)),IF(D2815=0,C2815,C2815*(1-ABS(D2815)/(ABS(D2815)+ABS(D2814)))+C2814*(1-ABS(D2814)/(ABS(D2815)+ABS(D2814)))),"")))</f>
        <v>#NAME?</v>
      </c>
    </row>
    <row r="2816" spans="2:5" x14ac:dyDescent="0.25">
      <c r="B2816" t="e">
        <f t="shared" ca="1" si="89"/>
        <v>#NAME?</v>
      </c>
      <c r="C2816">
        <v>2773</v>
      </c>
      <c r="D2816" t="e">
        <f t="shared" ca="1" si="88"/>
        <v>#NAME?</v>
      </c>
      <c r="E2816" s="115" t="e">
        <f t="array" aca="1" ref="E2816" ca="1">IF(OR(C2815=0,AND(B2817=0,C2817=0)),"",IFERROR(INDEX($F$27:$F$36,MATCH(C2816,($F$27:$F$36)*($D$27:$D$36&lt;&gt;0),0)),IF(OR(AND(D2816=0,B2816=0,B2817&lt;&gt;0),AND(D2816*D2815&lt;0,B2816&lt;&gt;0)),IF(D2816=0,C2816,C2816*(1-ABS(D2816)/(ABS(D2816)+ABS(D2815)))+C2815*(1-ABS(D2815)/(ABS(D2816)+ABS(D2815)))),"")))</f>
        <v>#NAME?</v>
      </c>
    </row>
    <row r="2817" spans="2:5" x14ac:dyDescent="0.25">
      <c r="B2817" t="e">
        <f t="shared" ca="1" si="89"/>
        <v>#NAME?</v>
      </c>
      <c r="C2817">
        <v>2774</v>
      </c>
      <c r="D2817" t="e">
        <f t="shared" ca="1" si="88"/>
        <v>#NAME?</v>
      </c>
      <c r="E2817" s="115" t="e">
        <f t="array" aca="1" ref="E2817" ca="1">IF(OR(C2816=0,AND(B2818=0,C2818=0)),"",IFERROR(INDEX($F$27:$F$36,MATCH(C2817,($F$27:$F$36)*($D$27:$D$36&lt;&gt;0),0)),IF(OR(AND(D2817=0,B2817=0,B2818&lt;&gt;0),AND(D2817*D2816&lt;0,B2817&lt;&gt;0)),IF(D2817=0,C2817,C2817*(1-ABS(D2817)/(ABS(D2817)+ABS(D2816)))+C2816*(1-ABS(D2816)/(ABS(D2817)+ABS(D2816)))),"")))</f>
        <v>#NAME?</v>
      </c>
    </row>
    <row r="2818" spans="2:5" x14ac:dyDescent="0.25">
      <c r="B2818" t="e">
        <f t="shared" ca="1" si="89"/>
        <v>#NAME?</v>
      </c>
      <c r="C2818">
        <v>2775</v>
      </c>
      <c r="D2818" t="e">
        <f t="shared" ca="1" si="88"/>
        <v>#NAME?</v>
      </c>
      <c r="E2818" s="115" t="e">
        <f t="array" aca="1" ref="E2818" ca="1">IF(OR(C2817=0,AND(B2819=0,C2819=0)),"",IFERROR(INDEX($F$27:$F$36,MATCH(C2818,($F$27:$F$36)*($D$27:$D$36&lt;&gt;0),0)),IF(OR(AND(D2818=0,B2818=0,B2819&lt;&gt;0),AND(D2818*D2817&lt;0,B2818&lt;&gt;0)),IF(D2818=0,C2818,C2818*(1-ABS(D2818)/(ABS(D2818)+ABS(D2817)))+C2817*(1-ABS(D2817)/(ABS(D2818)+ABS(D2817)))),"")))</f>
        <v>#NAME?</v>
      </c>
    </row>
    <row r="2819" spans="2:5" x14ac:dyDescent="0.25">
      <c r="B2819" t="e">
        <f t="shared" ca="1" si="89"/>
        <v>#NAME?</v>
      </c>
      <c r="C2819">
        <v>2776</v>
      </c>
      <c r="D2819" t="e">
        <f t="shared" ca="1" si="88"/>
        <v>#NAME?</v>
      </c>
      <c r="E2819" s="115" t="e">
        <f t="array" aca="1" ref="E2819" ca="1">IF(OR(C2818=0,AND(B2820=0,C2820=0)),"",IFERROR(INDEX($F$27:$F$36,MATCH(C2819,($F$27:$F$36)*($D$27:$D$36&lt;&gt;0),0)),IF(OR(AND(D2819=0,B2819=0,B2820&lt;&gt;0),AND(D2819*D2818&lt;0,B2819&lt;&gt;0)),IF(D2819=0,C2819,C2819*(1-ABS(D2819)/(ABS(D2819)+ABS(D2818)))+C2818*(1-ABS(D2818)/(ABS(D2819)+ABS(D2818)))),"")))</f>
        <v>#NAME?</v>
      </c>
    </row>
    <row r="2820" spans="2:5" x14ac:dyDescent="0.25">
      <c r="B2820" t="e">
        <f t="shared" ca="1" si="89"/>
        <v>#NAME?</v>
      </c>
      <c r="C2820">
        <v>2777</v>
      </c>
      <c r="D2820" t="e">
        <f t="shared" ca="1" si="88"/>
        <v>#NAME?</v>
      </c>
      <c r="E2820" s="115" t="e">
        <f t="array" aca="1" ref="E2820" ca="1">IF(OR(C2819=0,AND(B2821=0,C2821=0)),"",IFERROR(INDEX($F$27:$F$36,MATCH(C2820,($F$27:$F$36)*($D$27:$D$36&lt;&gt;0),0)),IF(OR(AND(D2820=0,B2820=0,B2821&lt;&gt;0),AND(D2820*D2819&lt;0,B2820&lt;&gt;0)),IF(D2820=0,C2820,C2820*(1-ABS(D2820)/(ABS(D2820)+ABS(D2819)))+C2819*(1-ABS(D2819)/(ABS(D2820)+ABS(D2819)))),"")))</f>
        <v>#NAME?</v>
      </c>
    </row>
    <row r="2821" spans="2:5" x14ac:dyDescent="0.25">
      <c r="B2821" t="e">
        <f t="shared" ca="1" si="89"/>
        <v>#NAME?</v>
      </c>
      <c r="C2821">
        <v>2778</v>
      </c>
      <c r="D2821" t="e">
        <f t="shared" ca="1" si="88"/>
        <v>#NAME?</v>
      </c>
      <c r="E2821" s="115" t="e">
        <f t="array" aca="1" ref="E2821" ca="1">IF(OR(C2820=0,AND(B2822=0,C2822=0)),"",IFERROR(INDEX($F$27:$F$36,MATCH(C2821,($F$27:$F$36)*($D$27:$D$36&lt;&gt;0),0)),IF(OR(AND(D2821=0,B2821=0,B2822&lt;&gt;0),AND(D2821*D2820&lt;0,B2821&lt;&gt;0)),IF(D2821=0,C2821,C2821*(1-ABS(D2821)/(ABS(D2821)+ABS(D2820)))+C2820*(1-ABS(D2820)/(ABS(D2821)+ABS(D2820)))),"")))</f>
        <v>#NAME?</v>
      </c>
    </row>
    <row r="2822" spans="2:5" x14ac:dyDescent="0.25">
      <c r="B2822" t="e">
        <f t="shared" ca="1" si="89"/>
        <v>#NAME?</v>
      </c>
      <c r="C2822">
        <v>2779</v>
      </c>
      <c r="D2822" t="e">
        <f t="shared" ca="1" si="88"/>
        <v>#NAME?</v>
      </c>
      <c r="E2822" s="115" t="e">
        <f t="array" aca="1" ref="E2822" ca="1">IF(OR(C2821=0,AND(B2823=0,C2823=0)),"",IFERROR(INDEX($F$27:$F$36,MATCH(C2822,($F$27:$F$36)*($D$27:$D$36&lt;&gt;0),0)),IF(OR(AND(D2822=0,B2822=0,B2823&lt;&gt;0),AND(D2822*D2821&lt;0,B2822&lt;&gt;0)),IF(D2822=0,C2822,C2822*(1-ABS(D2822)/(ABS(D2822)+ABS(D2821)))+C2821*(1-ABS(D2821)/(ABS(D2822)+ABS(D2821)))),"")))</f>
        <v>#NAME?</v>
      </c>
    </row>
    <row r="2823" spans="2:5" x14ac:dyDescent="0.25">
      <c r="B2823" t="e">
        <f t="shared" ca="1" si="89"/>
        <v>#NAME?</v>
      </c>
      <c r="C2823">
        <v>2780</v>
      </c>
      <c r="D2823" t="e">
        <f t="shared" ca="1" si="88"/>
        <v>#NAME?</v>
      </c>
      <c r="E2823" s="115" t="e">
        <f t="array" aca="1" ref="E2823" ca="1">IF(OR(C2822=0,AND(B2824=0,C2824=0)),"",IFERROR(INDEX($F$27:$F$36,MATCH(C2823,($F$27:$F$36)*($D$27:$D$36&lt;&gt;0),0)),IF(OR(AND(D2823=0,B2823=0,B2824&lt;&gt;0),AND(D2823*D2822&lt;0,B2823&lt;&gt;0)),IF(D2823=0,C2823,C2823*(1-ABS(D2823)/(ABS(D2823)+ABS(D2822)))+C2822*(1-ABS(D2822)/(ABS(D2823)+ABS(D2822)))),"")))</f>
        <v>#NAME?</v>
      </c>
    </row>
    <row r="2824" spans="2:5" x14ac:dyDescent="0.25">
      <c r="B2824" t="e">
        <f t="shared" ca="1" si="89"/>
        <v>#NAME?</v>
      </c>
      <c r="C2824">
        <v>2781</v>
      </c>
      <c r="D2824" t="e">
        <f t="shared" ca="1" si="88"/>
        <v>#NAME?</v>
      </c>
      <c r="E2824" s="115" t="e">
        <f t="array" aca="1" ref="E2824" ca="1">IF(OR(C2823=0,AND(B2825=0,C2825=0)),"",IFERROR(INDEX($F$27:$F$36,MATCH(C2824,($F$27:$F$36)*($D$27:$D$36&lt;&gt;0),0)),IF(OR(AND(D2824=0,B2824=0,B2825&lt;&gt;0),AND(D2824*D2823&lt;0,B2824&lt;&gt;0)),IF(D2824=0,C2824,C2824*(1-ABS(D2824)/(ABS(D2824)+ABS(D2823)))+C2823*(1-ABS(D2823)/(ABS(D2824)+ABS(D2823)))),"")))</f>
        <v>#NAME?</v>
      </c>
    </row>
    <row r="2825" spans="2:5" x14ac:dyDescent="0.25">
      <c r="B2825" t="e">
        <f t="shared" ca="1" si="89"/>
        <v>#NAME?</v>
      </c>
      <c r="C2825">
        <v>2782</v>
      </c>
      <c r="D2825" t="e">
        <f t="shared" ca="1" si="88"/>
        <v>#NAME?</v>
      </c>
      <c r="E2825" s="115" t="e">
        <f t="array" aca="1" ref="E2825" ca="1">IF(OR(C2824=0,AND(B2826=0,C2826=0)),"",IFERROR(INDEX($F$27:$F$36,MATCH(C2825,($F$27:$F$36)*($D$27:$D$36&lt;&gt;0),0)),IF(OR(AND(D2825=0,B2825=0,B2826&lt;&gt;0),AND(D2825*D2824&lt;0,B2825&lt;&gt;0)),IF(D2825=0,C2825,C2825*(1-ABS(D2825)/(ABS(D2825)+ABS(D2824)))+C2824*(1-ABS(D2824)/(ABS(D2825)+ABS(D2824)))),"")))</f>
        <v>#NAME?</v>
      </c>
    </row>
    <row r="2826" spans="2:5" x14ac:dyDescent="0.25">
      <c r="B2826" t="e">
        <f t="shared" ca="1" si="89"/>
        <v>#NAME?</v>
      </c>
      <c r="C2826">
        <v>2783</v>
      </c>
      <c r="D2826" t="e">
        <f t="shared" ca="1" si="88"/>
        <v>#NAME?</v>
      </c>
      <c r="E2826" s="115" t="e">
        <f t="array" aca="1" ref="E2826" ca="1">IF(OR(C2825=0,AND(B2827=0,C2827=0)),"",IFERROR(INDEX($F$27:$F$36,MATCH(C2826,($F$27:$F$36)*($D$27:$D$36&lt;&gt;0),0)),IF(OR(AND(D2826=0,B2826=0,B2827&lt;&gt;0),AND(D2826*D2825&lt;0,B2826&lt;&gt;0)),IF(D2826=0,C2826,C2826*(1-ABS(D2826)/(ABS(D2826)+ABS(D2825)))+C2825*(1-ABS(D2825)/(ABS(D2826)+ABS(D2825)))),"")))</f>
        <v>#NAME?</v>
      </c>
    </row>
    <row r="2827" spans="2:5" x14ac:dyDescent="0.25">
      <c r="B2827" t="e">
        <f t="shared" ca="1" si="89"/>
        <v>#NAME?</v>
      </c>
      <c r="C2827">
        <v>2784</v>
      </c>
      <c r="D2827" t="e">
        <f t="shared" ca="1" si="88"/>
        <v>#NAME?</v>
      </c>
      <c r="E2827" s="115" t="e">
        <f t="array" aca="1" ref="E2827" ca="1">IF(OR(C2826=0,AND(B2828=0,C2828=0)),"",IFERROR(INDEX($F$27:$F$36,MATCH(C2827,($F$27:$F$36)*($D$27:$D$36&lt;&gt;0),0)),IF(OR(AND(D2827=0,B2827=0,B2828&lt;&gt;0),AND(D2827*D2826&lt;0,B2827&lt;&gt;0)),IF(D2827=0,C2827,C2827*(1-ABS(D2827)/(ABS(D2827)+ABS(D2826)))+C2826*(1-ABS(D2826)/(ABS(D2827)+ABS(D2826)))),"")))</f>
        <v>#NAME?</v>
      </c>
    </row>
    <row r="2828" spans="2:5" x14ac:dyDescent="0.25">
      <c r="B2828" t="e">
        <f t="shared" ca="1" si="89"/>
        <v>#NAME?</v>
      </c>
      <c r="C2828">
        <v>2785</v>
      </c>
      <c r="D2828" t="e">
        <f t="shared" ca="1" si="88"/>
        <v>#NAME?</v>
      </c>
      <c r="E2828" s="115" t="e">
        <f t="array" aca="1" ref="E2828" ca="1">IF(OR(C2827=0,AND(B2829=0,C2829=0)),"",IFERROR(INDEX($F$27:$F$36,MATCH(C2828,($F$27:$F$36)*($D$27:$D$36&lt;&gt;0),0)),IF(OR(AND(D2828=0,B2828=0,B2829&lt;&gt;0),AND(D2828*D2827&lt;0,B2828&lt;&gt;0)),IF(D2828=0,C2828,C2828*(1-ABS(D2828)/(ABS(D2828)+ABS(D2827)))+C2827*(1-ABS(D2827)/(ABS(D2828)+ABS(D2827)))),"")))</f>
        <v>#NAME?</v>
      </c>
    </row>
    <row r="2829" spans="2:5" x14ac:dyDescent="0.25">
      <c r="B2829" t="e">
        <f t="shared" ca="1" si="89"/>
        <v>#NAME?</v>
      </c>
      <c r="C2829">
        <v>2786</v>
      </c>
      <c r="D2829" t="e">
        <f t="shared" ca="1" si="88"/>
        <v>#NAME?</v>
      </c>
      <c r="E2829" s="115" t="e">
        <f t="array" aca="1" ref="E2829" ca="1">IF(OR(C2828=0,AND(B2830=0,C2830=0)),"",IFERROR(INDEX($F$27:$F$36,MATCH(C2829,($F$27:$F$36)*($D$27:$D$36&lt;&gt;0),0)),IF(OR(AND(D2829=0,B2829=0,B2830&lt;&gt;0),AND(D2829*D2828&lt;0,B2829&lt;&gt;0)),IF(D2829=0,C2829,C2829*(1-ABS(D2829)/(ABS(D2829)+ABS(D2828)))+C2828*(1-ABS(D2828)/(ABS(D2829)+ABS(D2828)))),"")))</f>
        <v>#NAME?</v>
      </c>
    </row>
    <row r="2830" spans="2:5" x14ac:dyDescent="0.25">
      <c r="B2830" t="e">
        <f t="shared" ca="1" si="89"/>
        <v>#NAME?</v>
      </c>
      <c r="C2830">
        <v>2787</v>
      </c>
      <c r="D2830" t="e">
        <f t="shared" ca="1" si="88"/>
        <v>#NAME?</v>
      </c>
      <c r="E2830" s="115" t="e">
        <f t="array" aca="1" ref="E2830" ca="1">IF(OR(C2829=0,AND(B2831=0,C2831=0)),"",IFERROR(INDEX($F$27:$F$36,MATCH(C2830,($F$27:$F$36)*($D$27:$D$36&lt;&gt;0),0)),IF(OR(AND(D2830=0,B2830=0,B2831&lt;&gt;0),AND(D2830*D2829&lt;0,B2830&lt;&gt;0)),IF(D2830=0,C2830,C2830*(1-ABS(D2830)/(ABS(D2830)+ABS(D2829)))+C2829*(1-ABS(D2829)/(ABS(D2830)+ABS(D2829)))),"")))</f>
        <v>#NAME?</v>
      </c>
    </row>
    <row r="2831" spans="2:5" x14ac:dyDescent="0.25">
      <c r="B2831" t="e">
        <f t="shared" ca="1" si="89"/>
        <v>#NAME?</v>
      </c>
      <c r="C2831">
        <v>2788</v>
      </c>
      <c r="D2831" t="e">
        <f t="shared" ca="1" si="88"/>
        <v>#NAME?</v>
      </c>
      <c r="E2831" s="115" t="e">
        <f t="array" aca="1" ref="E2831" ca="1">IF(OR(C2830=0,AND(B2832=0,C2832=0)),"",IFERROR(INDEX($F$27:$F$36,MATCH(C2831,($F$27:$F$36)*($D$27:$D$36&lt;&gt;0),0)),IF(OR(AND(D2831=0,B2831=0,B2832&lt;&gt;0),AND(D2831*D2830&lt;0,B2831&lt;&gt;0)),IF(D2831=0,C2831,C2831*(1-ABS(D2831)/(ABS(D2831)+ABS(D2830)))+C2830*(1-ABS(D2830)/(ABS(D2831)+ABS(D2830)))),"")))</f>
        <v>#NAME?</v>
      </c>
    </row>
    <row r="2832" spans="2:5" x14ac:dyDescent="0.25">
      <c r="B2832" t="e">
        <f t="shared" ca="1" si="89"/>
        <v>#NAME?</v>
      </c>
      <c r="C2832">
        <v>2789</v>
      </c>
      <c r="D2832" t="e">
        <f t="shared" ca="1" si="88"/>
        <v>#NAME?</v>
      </c>
      <c r="E2832" s="115" t="e">
        <f t="array" aca="1" ref="E2832" ca="1">IF(OR(C2831=0,AND(B2833=0,C2833=0)),"",IFERROR(INDEX($F$27:$F$36,MATCH(C2832,($F$27:$F$36)*($D$27:$D$36&lt;&gt;0),0)),IF(OR(AND(D2832=0,B2832=0,B2833&lt;&gt;0),AND(D2832*D2831&lt;0,B2832&lt;&gt;0)),IF(D2832=0,C2832,C2832*(1-ABS(D2832)/(ABS(D2832)+ABS(D2831)))+C2831*(1-ABS(D2831)/(ABS(D2832)+ABS(D2831)))),"")))</f>
        <v>#NAME?</v>
      </c>
    </row>
    <row r="2833" spans="2:5" x14ac:dyDescent="0.25">
      <c r="B2833" t="e">
        <f t="shared" ca="1" si="89"/>
        <v>#NAME?</v>
      </c>
      <c r="C2833">
        <v>2790</v>
      </c>
      <c r="D2833" t="e">
        <f t="shared" ca="1" si="88"/>
        <v>#NAME?</v>
      </c>
      <c r="E2833" s="115" t="e">
        <f t="array" aca="1" ref="E2833" ca="1">IF(OR(C2832=0,AND(B2834=0,C2834=0)),"",IFERROR(INDEX($F$27:$F$36,MATCH(C2833,($F$27:$F$36)*($D$27:$D$36&lt;&gt;0),0)),IF(OR(AND(D2833=0,B2833=0,B2834&lt;&gt;0),AND(D2833*D2832&lt;0,B2833&lt;&gt;0)),IF(D2833=0,C2833,C2833*(1-ABS(D2833)/(ABS(D2833)+ABS(D2832)))+C2832*(1-ABS(D2832)/(ABS(D2833)+ABS(D2832)))),"")))</f>
        <v>#NAME?</v>
      </c>
    </row>
    <row r="2834" spans="2:5" x14ac:dyDescent="0.25">
      <c r="B2834" t="e">
        <f t="shared" ca="1" si="89"/>
        <v>#NAME?</v>
      </c>
      <c r="C2834">
        <v>2791</v>
      </c>
      <c r="D2834" t="e">
        <f t="shared" ca="1" si="88"/>
        <v>#NAME?</v>
      </c>
      <c r="E2834" s="115" t="e">
        <f t="array" aca="1" ref="E2834" ca="1">IF(OR(C2833=0,AND(B2835=0,C2835=0)),"",IFERROR(INDEX($F$27:$F$36,MATCH(C2834,($F$27:$F$36)*($D$27:$D$36&lt;&gt;0),0)),IF(OR(AND(D2834=0,B2834=0,B2835&lt;&gt;0),AND(D2834*D2833&lt;0,B2834&lt;&gt;0)),IF(D2834=0,C2834,C2834*(1-ABS(D2834)/(ABS(D2834)+ABS(D2833)))+C2833*(1-ABS(D2833)/(ABS(D2834)+ABS(D2833)))),"")))</f>
        <v>#NAME?</v>
      </c>
    </row>
    <row r="2835" spans="2:5" x14ac:dyDescent="0.25">
      <c r="B2835" t="e">
        <f t="shared" ca="1" si="89"/>
        <v>#NAME?</v>
      </c>
      <c r="C2835">
        <v>2792</v>
      </c>
      <c r="D2835" t="e">
        <f t="shared" ca="1" si="88"/>
        <v>#NAME?</v>
      </c>
      <c r="E2835" s="115" t="e">
        <f t="array" aca="1" ref="E2835" ca="1">IF(OR(C2834=0,AND(B2836=0,C2836=0)),"",IFERROR(INDEX($F$27:$F$36,MATCH(C2835,($F$27:$F$36)*($D$27:$D$36&lt;&gt;0),0)),IF(OR(AND(D2835=0,B2835=0,B2836&lt;&gt;0),AND(D2835*D2834&lt;0,B2835&lt;&gt;0)),IF(D2835=0,C2835,C2835*(1-ABS(D2835)/(ABS(D2835)+ABS(D2834)))+C2834*(1-ABS(D2834)/(ABS(D2835)+ABS(D2834)))),"")))</f>
        <v>#NAME?</v>
      </c>
    </row>
    <row r="2836" spans="2:5" x14ac:dyDescent="0.25">
      <c r="B2836" t="e">
        <f t="shared" ca="1" si="89"/>
        <v>#NAME?</v>
      </c>
      <c r="C2836">
        <v>2793</v>
      </c>
      <c r="D2836" t="e">
        <f t="shared" ca="1" si="88"/>
        <v>#NAME?</v>
      </c>
      <c r="E2836" s="115" t="e">
        <f t="array" aca="1" ref="E2836" ca="1">IF(OR(C2835=0,AND(B2837=0,C2837=0)),"",IFERROR(INDEX($F$27:$F$36,MATCH(C2836,($F$27:$F$36)*($D$27:$D$36&lt;&gt;0),0)),IF(OR(AND(D2836=0,B2836=0,B2837&lt;&gt;0),AND(D2836*D2835&lt;0,B2836&lt;&gt;0)),IF(D2836=0,C2836,C2836*(1-ABS(D2836)/(ABS(D2836)+ABS(D2835)))+C2835*(1-ABS(D2835)/(ABS(D2836)+ABS(D2835)))),"")))</f>
        <v>#NAME?</v>
      </c>
    </row>
    <row r="2837" spans="2:5" x14ac:dyDescent="0.25">
      <c r="B2837" t="e">
        <f t="shared" ca="1" si="89"/>
        <v>#NAME?</v>
      </c>
      <c r="C2837">
        <v>2794</v>
      </c>
      <c r="D2837" t="e">
        <f t="shared" ca="1" si="88"/>
        <v>#NAME?</v>
      </c>
      <c r="E2837" s="115" t="e">
        <f t="array" aca="1" ref="E2837" ca="1">IF(OR(C2836=0,AND(B2838=0,C2838=0)),"",IFERROR(INDEX($F$27:$F$36,MATCH(C2837,($F$27:$F$36)*($D$27:$D$36&lt;&gt;0),0)),IF(OR(AND(D2837=0,B2837=0,B2838&lt;&gt;0),AND(D2837*D2836&lt;0,B2837&lt;&gt;0)),IF(D2837=0,C2837,C2837*(1-ABS(D2837)/(ABS(D2837)+ABS(D2836)))+C2836*(1-ABS(D2836)/(ABS(D2837)+ABS(D2836)))),"")))</f>
        <v>#NAME?</v>
      </c>
    </row>
    <row r="2838" spans="2:5" x14ac:dyDescent="0.25">
      <c r="B2838" t="e">
        <f t="shared" ca="1" si="89"/>
        <v>#NAME?</v>
      </c>
      <c r="C2838">
        <v>2795</v>
      </c>
      <c r="D2838" t="e">
        <f t="shared" ca="1" si="88"/>
        <v>#NAME?</v>
      </c>
      <c r="E2838" s="115" t="e">
        <f t="array" aca="1" ref="E2838" ca="1">IF(OR(C2837=0,AND(B2839=0,C2839=0)),"",IFERROR(INDEX($F$27:$F$36,MATCH(C2838,($F$27:$F$36)*($D$27:$D$36&lt;&gt;0),0)),IF(OR(AND(D2838=0,B2838=0,B2839&lt;&gt;0),AND(D2838*D2837&lt;0,B2838&lt;&gt;0)),IF(D2838=0,C2838,C2838*(1-ABS(D2838)/(ABS(D2838)+ABS(D2837)))+C2837*(1-ABS(D2837)/(ABS(D2838)+ABS(D2837)))),"")))</f>
        <v>#NAME?</v>
      </c>
    </row>
    <row r="2839" spans="2:5" x14ac:dyDescent="0.25">
      <c r="B2839" t="e">
        <f t="shared" ca="1" si="89"/>
        <v>#NAME?</v>
      </c>
      <c r="C2839">
        <v>2796</v>
      </c>
      <c r="D2839" t="e">
        <f t="shared" ca="1" si="88"/>
        <v>#NAME?</v>
      </c>
      <c r="E2839" s="115" t="e">
        <f t="array" aca="1" ref="E2839" ca="1">IF(OR(C2838=0,AND(B2840=0,C2840=0)),"",IFERROR(INDEX($F$27:$F$36,MATCH(C2839,($F$27:$F$36)*($D$27:$D$36&lt;&gt;0),0)),IF(OR(AND(D2839=0,B2839=0,B2840&lt;&gt;0),AND(D2839*D2838&lt;0,B2839&lt;&gt;0)),IF(D2839=0,C2839,C2839*(1-ABS(D2839)/(ABS(D2839)+ABS(D2838)))+C2838*(1-ABS(D2838)/(ABS(D2839)+ABS(D2838)))),"")))</f>
        <v>#NAME?</v>
      </c>
    </row>
    <row r="2840" spans="2:5" x14ac:dyDescent="0.25">
      <c r="B2840" t="e">
        <f t="shared" ca="1" si="89"/>
        <v>#NAME?</v>
      </c>
      <c r="C2840">
        <v>2797</v>
      </c>
      <c r="D2840" t="e">
        <f t="shared" ca="1" si="88"/>
        <v>#NAME?</v>
      </c>
      <c r="E2840" s="115" t="e">
        <f t="array" aca="1" ref="E2840" ca="1">IF(OR(C2839=0,AND(B2841=0,C2841=0)),"",IFERROR(INDEX($F$27:$F$36,MATCH(C2840,($F$27:$F$36)*($D$27:$D$36&lt;&gt;0),0)),IF(OR(AND(D2840=0,B2840=0,B2841&lt;&gt;0),AND(D2840*D2839&lt;0,B2840&lt;&gt;0)),IF(D2840=0,C2840,C2840*(1-ABS(D2840)/(ABS(D2840)+ABS(D2839)))+C2839*(1-ABS(D2839)/(ABS(D2840)+ABS(D2839)))),"")))</f>
        <v>#NAME?</v>
      </c>
    </row>
    <row r="2841" spans="2:5" x14ac:dyDescent="0.25">
      <c r="B2841" t="e">
        <f t="shared" ca="1" si="89"/>
        <v>#NAME?</v>
      </c>
      <c r="C2841">
        <v>2798</v>
      </c>
      <c r="D2841" t="e">
        <f t="shared" ca="1" si="88"/>
        <v>#NAME?</v>
      </c>
      <c r="E2841" s="115" t="e">
        <f t="array" aca="1" ref="E2841" ca="1">IF(OR(C2840=0,AND(B2842=0,C2842=0)),"",IFERROR(INDEX($F$27:$F$36,MATCH(C2841,($F$27:$F$36)*($D$27:$D$36&lt;&gt;0),0)),IF(OR(AND(D2841=0,B2841=0,B2842&lt;&gt;0),AND(D2841*D2840&lt;0,B2841&lt;&gt;0)),IF(D2841=0,C2841,C2841*(1-ABS(D2841)/(ABS(D2841)+ABS(D2840)))+C2840*(1-ABS(D2840)/(ABS(D2841)+ABS(D2840)))),"")))</f>
        <v>#NAME?</v>
      </c>
    </row>
    <row r="2842" spans="2:5" x14ac:dyDescent="0.25">
      <c r="B2842" t="e">
        <f t="shared" ca="1" si="89"/>
        <v>#NAME?</v>
      </c>
      <c r="C2842">
        <v>2799</v>
      </c>
      <c r="D2842" t="e">
        <f t="shared" ca="1" si="88"/>
        <v>#NAME?</v>
      </c>
      <c r="E2842" s="115" t="e">
        <f t="array" aca="1" ref="E2842" ca="1">IF(OR(C2841=0,AND(B2843=0,C2843=0)),"",IFERROR(INDEX($F$27:$F$36,MATCH(C2842,($F$27:$F$36)*($D$27:$D$36&lt;&gt;0),0)),IF(OR(AND(D2842=0,B2842=0,B2843&lt;&gt;0),AND(D2842*D2841&lt;0,B2842&lt;&gt;0)),IF(D2842=0,C2842,C2842*(1-ABS(D2842)/(ABS(D2842)+ABS(D2841)))+C2841*(1-ABS(D2841)/(ABS(D2842)+ABS(D2841)))),"")))</f>
        <v>#NAME?</v>
      </c>
    </row>
    <row r="2843" spans="2:5" x14ac:dyDescent="0.25">
      <c r="B2843" t="e">
        <f t="shared" ca="1" si="89"/>
        <v>#NAME?</v>
      </c>
      <c r="C2843">
        <v>2800</v>
      </c>
      <c r="D2843" t="e">
        <f t="shared" ca="1" si="88"/>
        <v>#NAME?</v>
      </c>
      <c r="E2843" s="115" t="e">
        <f t="array" aca="1" ref="E2843" ca="1">IF(OR(C2842=0,AND(B2844=0,C2844=0)),"",IFERROR(INDEX($F$27:$F$36,MATCH(C2843,($F$27:$F$36)*($D$27:$D$36&lt;&gt;0),0)),IF(OR(AND(D2843=0,B2843=0,B2844&lt;&gt;0),AND(D2843*D2842&lt;0,B2843&lt;&gt;0)),IF(D2843=0,C2843,C2843*(1-ABS(D2843)/(ABS(D2843)+ABS(D2842)))+C2842*(1-ABS(D2842)/(ABS(D2843)+ABS(D2842)))),"")))</f>
        <v>#NAME?</v>
      </c>
    </row>
    <row r="2844" spans="2:5" x14ac:dyDescent="0.25">
      <c r="B2844" t="e">
        <f t="shared" ca="1" si="89"/>
        <v>#NAME?</v>
      </c>
      <c r="C2844">
        <v>2801</v>
      </c>
      <c r="D2844" t="e">
        <f t="shared" ca="1" si="88"/>
        <v>#NAME?</v>
      </c>
      <c r="E2844" s="115" t="e">
        <f t="array" aca="1" ref="E2844" ca="1">IF(OR(C2843=0,AND(B2845=0,C2845=0)),"",IFERROR(INDEX($F$27:$F$36,MATCH(C2844,($F$27:$F$36)*($D$27:$D$36&lt;&gt;0),0)),IF(OR(AND(D2844=0,B2844=0,B2845&lt;&gt;0),AND(D2844*D2843&lt;0,B2844&lt;&gt;0)),IF(D2844=0,C2844,C2844*(1-ABS(D2844)/(ABS(D2844)+ABS(D2843)))+C2843*(1-ABS(D2843)/(ABS(D2844)+ABS(D2843)))),"")))</f>
        <v>#NAME?</v>
      </c>
    </row>
    <row r="2845" spans="2:5" x14ac:dyDescent="0.25">
      <c r="B2845" t="e">
        <f t="shared" ca="1" si="89"/>
        <v>#NAME?</v>
      </c>
      <c r="C2845">
        <v>2802</v>
      </c>
      <c r="D2845" t="e">
        <f t="shared" ca="1" si="88"/>
        <v>#NAME?</v>
      </c>
      <c r="E2845" s="115" t="e">
        <f t="array" aca="1" ref="E2845" ca="1">IF(OR(C2844=0,AND(B2846=0,C2846=0)),"",IFERROR(INDEX($F$27:$F$36,MATCH(C2845,($F$27:$F$36)*($D$27:$D$36&lt;&gt;0),0)),IF(OR(AND(D2845=0,B2845=0,B2846&lt;&gt;0),AND(D2845*D2844&lt;0,B2845&lt;&gt;0)),IF(D2845=0,C2845,C2845*(1-ABS(D2845)/(ABS(D2845)+ABS(D2844)))+C2844*(1-ABS(D2844)/(ABS(D2845)+ABS(D2844)))),"")))</f>
        <v>#NAME?</v>
      </c>
    </row>
    <row r="2846" spans="2:5" x14ac:dyDescent="0.25">
      <c r="B2846" t="e">
        <f t="shared" ca="1" si="89"/>
        <v>#NAME?</v>
      </c>
      <c r="C2846">
        <v>2803</v>
      </c>
      <c r="D2846" t="e">
        <f t="shared" ca="1" si="88"/>
        <v>#NAME?</v>
      </c>
      <c r="E2846" s="115" t="e">
        <f t="array" aca="1" ref="E2846" ca="1">IF(OR(C2845=0,AND(B2847=0,C2847=0)),"",IFERROR(INDEX($F$27:$F$36,MATCH(C2846,($F$27:$F$36)*($D$27:$D$36&lt;&gt;0),0)),IF(OR(AND(D2846=0,B2846=0,B2847&lt;&gt;0),AND(D2846*D2845&lt;0,B2846&lt;&gt;0)),IF(D2846=0,C2846,C2846*(1-ABS(D2846)/(ABS(D2846)+ABS(D2845)))+C2845*(1-ABS(D2845)/(ABS(D2846)+ABS(D2845)))),"")))</f>
        <v>#NAME?</v>
      </c>
    </row>
    <row r="2847" spans="2:5" x14ac:dyDescent="0.25">
      <c r="B2847" t="e">
        <f t="shared" ca="1" si="89"/>
        <v>#NAME?</v>
      </c>
      <c r="C2847">
        <v>2804</v>
      </c>
      <c r="D2847" t="e">
        <f t="shared" ca="1" si="88"/>
        <v>#NAME?</v>
      </c>
      <c r="E2847" s="115" t="e">
        <f t="array" aca="1" ref="E2847" ca="1">IF(OR(C2846=0,AND(B2848=0,C2848=0)),"",IFERROR(INDEX($F$27:$F$36,MATCH(C2847,($F$27:$F$36)*($D$27:$D$36&lt;&gt;0),0)),IF(OR(AND(D2847=0,B2847=0,B2848&lt;&gt;0),AND(D2847*D2846&lt;0,B2847&lt;&gt;0)),IF(D2847=0,C2847,C2847*(1-ABS(D2847)/(ABS(D2847)+ABS(D2846)))+C2846*(1-ABS(D2846)/(ABS(D2847)+ABS(D2846)))),"")))</f>
        <v>#NAME?</v>
      </c>
    </row>
    <row r="2848" spans="2:5" x14ac:dyDescent="0.25">
      <c r="B2848" t="e">
        <f t="shared" ca="1" si="89"/>
        <v>#NAME?</v>
      </c>
      <c r="C2848">
        <v>2805</v>
      </c>
      <c r="D2848" t="e">
        <f t="shared" ca="1" si="88"/>
        <v>#NAME?</v>
      </c>
      <c r="E2848" s="115" t="e">
        <f t="array" aca="1" ref="E2848" ca="1">IF(OR(C2847=0,AND(B2849=0,C2849=0)),"",IFERROR(INDEX($F$27:$F$36,MATCH(C2848,($F$27:$F$36)*($D$27:$D$36&lt;&gt;0),0)),IF(OR(AND(D2848=0,B2848=0,B2849&lt;&gt;0),AND(D2848*D2847&lt;0,B2848&lt;&gt;0)),IF(D2848=0,C2848,C2848*(1-ABS(D2848)/(ABS(D2848)+ABS(D2847)))+C2847*(1-ABS(D2847)/(ABS(D2848)+ABS(D2847)))),"")))</f>
        <v>#NAME?</v>
      </c>
    </row>
    <row r="2849" spans="2:5" x14ac:dyDescent="0.25">
      <c r="B2849" t="e">
        <f t="shared" ca="1" si="89"/>
        <v>#NAME?</v>
      </c>
      <c r="C2849">
        <v>2806</v>
      </c>
      <c r="D2849" t="e">
        <f t="shared" ca="1" si="88"/>
        <v>#NAME?</v>
      </c>
      <c r="E2849" s="115" t="e">
        <f t="array" aca="1" ref="E2849" ca="1">IF(OR(C2848=0,AND(B2850=0,C2850=0)),"",IFERROR(INDEX($F$27:$F$36,MATCH(C2849,($F$27:$F$36)*($D$27:$D$36&lt;&gt;0),0)),IF(OR(AND(D2849=0,B2849=0,B2850&lt;&gt;0),AND(D2849*D2848&lt;0,B2849&lt;&gt;0)),IF(D2849=0,C2849,C2849*(1-ABS(D2849)/(ABS(D2849)+ABS(D2848)))+C2848*(1-ABS(D2848)/(ABS(D2849)+ABS(D2848)))),"")))</f>
        <v>#NAME?</v>
      </c>
    </row>
    <row r="2850" spans="2:5" x14ac:dyDescent="0.25">
      <c r="B2850" t="e">
        <f t="shared" ca="1" si="89"/>
        <v>#NAME?</v>
      </c>
      <c r="C2850">
        <v>2807</v>
      </c>
      <c r="D2850" t="e">
        <f t="shared" ca="1" si="88"/>
        <v>#NAME?</v>
      </c>
      <c r="E2850" s="115" t="e">
        <f t="array" aca="1" ref="E2850" ca="1">IF(OR(C2849=0,AND(B2851=0,C2851=0)),"",IFERROR(INDEX($F$27:$F$36,MATCH(C2850,($F$27:$F$36)*($D$27:$D$36&lt;&gt;0),0)),IF(OR(AND(D2850=0,B2850=0,B2851&lt;&gt;0),AND(D2850*D2849&lt;0,B2850&lt;&gt;0)),IF(D2850=0,C2850,C2850*(1-ABS(D2850)/(ABS(D2850)+ABS(D2849)))+C2849*(1-ABS(D2849)/(ABS(D2850)+ABS(D2849)))),"")))</f>
        <v>#NAME?</v>
      </c>
    </row>
    <row r="2851" spans="2:5" x14ac:dyDescent="0.25">
      <c r="B2851" t="e">
        <f t="shared" ca="1" si="89"/>
        <v>#NAME?</v>
      </c>
      <c r="C2851">
        <v>2808</v>
      </c>
      <c r="D2851" t="e">
        <f t="shared" ca="1" si="88"/>
        <v>#NAME?</v>
      </c>
      <c r="E2851" s="115" t="e">
        <f t="array" aca="1" ref="E2851" ca="1">IF(OR(C2850=0,AND(B2852=0,C2852=0)),"",IFERROR(INDEX($F$27:$F$36,MATCH(C2851,($F$27:$F$36)*($D$27:$D$36&lt;&gt;0),0)),IF(OR(AND(D2851=0,B2851=0,B2852&lt;&gt;0),AND(D2851*D2850&lt;0,B2851&lt;&gt;0)),IF(D2851=0,C2851,C2851*(1-ABS(D2851)/(ABS(D2851)+ABS(D2850)))+C2850*(1-ABS(D2850)/(ABS(D2851)+ABS(D2850)))),"")))</f>
        <v>#NAME?</v>
      </c>
    </row>
    <row r="2852" spans="2:5" x14ac:dyDescent="0.25">
      <c r="B2852" t="e">
        <f t="shared" ca="1" si="89"/>
        <v>#NAME?</v>
      </c>
      <c r="C2852">
        <v>2809</v>
      </c>
      <c r="D2852" t="e">
        <f t="shared" ca="1" si="88"/>
        <v>#NAME?</v>
      </c>
      <c r="E2852" s="115" t="e">
        <f t="array" aca="1" ref="E2852" ca="1">IF(OR(C2851=0,AND(B2853=0,C2853=0)),"",IFERROR(INDEX($F$27:$F$36,MATCH(C2852,($F$27:$F$36)*($D$27:$D$36&lt;&gt;0),0)),IF(OR(AND(D2852=0,B2852=0,B2853&lt;&gt;0),AND(D2852*D2851&lt;0,B2852&lt;&gt;0)),IF(D2852=0,C2852,C2852*(1-ABS(D2852)/(ABS(D2852)+ABS(D2851)))+C2851*(1-ABS(D2851)/(ABS(D2852)+ABS(D2851)))),"")))</f>
        <v>#NAME?</v>
      </c>
    </row>
    <row r="2853" spans="2:5" x14ac:dyDescent="0.25">
      <c r="B2853" t="e">
        <f t="shared" ca="1" si="89"/>
        <v>#NAME?</v>
      </c>
      <c r="C2853">
        <v>2810</v>
      </c>
      <c r="D2853" t="e">
        <f t="shared" ca="1" si="88"/>
        <v>#NAME?</v>
      </c>
      <c r="E2853" s="115" t="e">
        <f t="array" aca="1" ref="E2853" ca="1">IF(OR(C2852=0,AND(B2854=0,C2854=0)),"",IFERROR(INDEX($F$27:$F$36,MATCH(C2853,($F$27:$F$36)*($D$27:$D$36&lt;&gt;0),0)),IF(OR(AND(D2853=0,B2853=0,B2854&lt;&gt;0),AND(D2853*D2852&lt;0,B2853&lt;&gt;0)),IF(D2853=0,C2853,C2853*(1-ABS(D2853)/(ABS(D2853)+ABS(D2852)))+C2852*(1-ABS(D2852)/(ABS(D2853)+ABS(D2852)))),"")))</f>
        <v>#NAME?</v>
      </c>
    </row>
    <row r="2854" spans="2:5" x14ac:dyDescent="0.25">
      <c r="B2854" t="e">
        <f t="shared" ca="1" si="89"/>
        <v>#NAME?</v>
      </c>
      <c r="C2854">
        <v>2811</v>
      </c>
      <c r="D2854" t="e">
        <f t="shared" ca="1" si="88"/>
        <v>#NAME?</v>
      </c>
      <c r="E2854" s="115" t="e">
        <f t="array" aca="1" ref="E2854" ca="1">IF(OR(C2853=0,AND(B2855=0,C2855=0)),"",IFERROR(INDEX($F$27:$F$36,MATCH(C2854,($F$27:$F$36)*($D$27:$D$36&lt;&gt;0),0)),IF(OR(AND(D2854=0,B2854=0,B2855&lt;&gt;0),AND(D2854*D2853&lt;0,B2854&lt;&gt;0)),IF(D2854=0,C2854,C2854*(1-ABS(D2854)/(ABS(D2854)+ABS(D2853)))+C2853*(1-ABS(D2853)/(ABS(D2854)+ABS(D2853)))),"")))</f>
        <v>#NAME?</v>
      </c>
    </row>
    <row r="2855" spans="2:5" x14ac:dyDescent="0.25">
      <c r="B2855" t="e">
        <f t="shared" ca="1" si="89"/>
        <v>#NAME?</v>
      </c>
      <c r="C2855">
        <v>2812</v>
      </c>
      <c r="D2855" t="e">
        <f t="shared" ca="1" si="88"/>
        <v>#NAME?</v>
      </c>
      <c r="E2855" s="115" t="e">
        <f t="array" aca="1" ref="E2855" ca="1">IF(OR(C2854=0,AND(B2856=0,C2856=0)),"",IFERROR(INDEX($F$27:$F$36,MATCH(C2855,($F$27:$F$36)*($D$27:$D$36&lt;&gt;0),0)),IF(OR(AND(D2855=0,B2855=0,B2856&lt;&gt;0),AND(D2855*D2854&lt;0,B2855&lt;&gt;0)),IF(D2855=0,C2855,C2855*(1-ABS(D2855)/(ABS(D2855)+ABS(D2854)))+C2854*(1-ABS(D2854)/(ABS(D2855)+ABS(D2854)))),"")))</f>
        <v>#NAME?</v>
      </c>
    </row>
    <row r="2856" spans="2:5" x14ac:dyDescent="0.25">
      <c r="B2856" t="e">
        <f t="shared" ca="1" si="89"/>
        <v>#NAME?</v>
      </c>
      <c r="C2856">
        <v>2813</v>
      </c>
      <c r="D2856" t="e">
        <f t="shared" ca="1" si="88"/>
        <v>#NAME?</v>
      </c>
      <c r="E2856" s="115" t="e">
        <f t="array" aca="1" ref="E2856" ca="1">IF(OR(C2855=0,AND(B2857=0,C2857=0)),"",IFERROR(INDEX($F$27:$F$36,MATCH(C2856,($F$27:$F$36)*($D$27:$D$36&lt;&gt;0),0)),IF(OR(AND(D2856=0,B2856=0,B2857&lt;&gt;0),AND(D2856*D2855&lt;0,B2856&lt;&gt;0)),IF(D2856=0,C2856,C2856*(1-ABS(D2856)/(ABS(D2856)+ABS(D2855)))+C2855*(1-ABS(D2855)/(ABS(D2856)+ABS(D2855)))),"")))</f>
        <v>#NAME?</v>
      </c>
    </row>
    <row r="2857" spans="2:5" x14ac:dyDescent="0.25">
      <c r="B2857" t="e">
        <f t="shared" ca="1" si="89"/>
        <v>#NAME?</v>
      </c>
      <c r="C2857">
        <v>2814</v>
      </c>
      <c r="D2857" t="e">
        <f t="shared" ca="1" si="88"/>
        <v>#NAME?</v>
      </c>
      <c r="E2857" s="115" t="e">
        <f t="array" aca="1" ref="E2857" ca="1">IF(OR(C2856=0,AND(B2858=0,C2858=0)),"",IFERROR(INDEX($F$27:$F$36,MATCH(C2857,($F$27:$F$36)*($D$27:$D$36&lt;&gt;0),0)),IF(OR(AND(D2857=0,B2857=0,B2858&lt;&gt;0),AND(D2857*D2856&lt;0,B2857&lt;&gt;0)),IF(D2857=0,C2857,C2857*(1-ABS(D2857)/(ABS(D2857)+ABS(D2856)))+C2856*(1-ABS(D2856)/(ABS(D2857)+ABS(D2856)))),"")))</f>
        <v>#NAME?</v>
      </c>
    </row>
    <row r="2858" spans="2:5" x14ac:dyDescent="0.25">
      <c r="B2858" t="e">
        <f t="shared" ca="1" si="89"/>
        <v>#NAME?</v>
      </c>
      <c r="C2858">
        <v>2815</v>
      </c>
      <c r="D2858" t="e">
        <f t="shared" ca="1" si="88"/>
        <v>#NAME?</v>
      </c>
      <c r="E2858" s="115" t="e">
        <f t="array" aca="1" ref="E2858" ca="1">IF(OR(C2857=0,AND(B2859=0,C2859=0)),"",IFERROR(INDEX($F$27:$F$36,MATCH(C2858,($F$27:$F$36)*($D$27:$D$36&lt;&gt;0),0)),IF(OR(AND(D2858=0,B2858=0,B2859&lt;&gt;0),AND(D2858*D2857&lt;0,B2858&lt;&gt;0)),IF(D2858=0,C2858,C2858*(1-ABS(D2858)/(ABS(D2858)+ABS(D2857)))+C2857*(1-ABS(D2857)/(ABS(D2858)+ABS(D2857)))),"")))</f>
        <v>#NAME?</v>
      </c>
    </row>
    <row r="2859" spans="2:5" x14ac:dyDescent="0.25">
      <c r="B2859" t="e">
        <f t="shared" ca="1" si="89"/>
        <v>#NAME?</v>
      </c>
      <c r="C2859">
        <v>2816</v>
      </c>
      <c r="D2859" t="e">
        <f t="shared" ref="D2859:D2922" ca="1" si="90">SUMPRODUCT(--($J$27:$J$37&gt;0),--($C2859-$F$27:$F$37&gt;0),($D$27:$D$37),($C2859-$F$27:$F$37))+SUMPRODUCT(--($J$27:$J$37&lt;0),--($F$27:$F$37-$C2859&gt;0),($D$27:$D$37),($F$27:$F$37-$C2859))-SUMPRODUCT($D$27:$D$37,$E$27:$E$37)</f>
        <v>#NAME?</v>
      </c>
      <c r="E2859" s="115" t="e">
        <f t="array" aca="1" ref="E2859" ca="1">IF(OR(C2858=0,AND(B2860=0,C2860=0)),"",IFERROR(INDEX($F$27:$F$36,MATCH(C2859,($F$27:$F$36)*($D$27:$D$36&lt;&gt;0),0)),IF(OR(AND(D2859=0,B2859=0,B2860&lt;&gt;0),AND(D2859*D2858&lt;0,B2859&lt;&gt;0)),IF(D2859=0,C2859,C2859*(1-ABS(D2859)/(ABS(D2859)+ABS(D2858)))+C2858*(1-ABS(D2858)/(ABS(D2859)+ABS(D2858)))),"")))</f>
        <v>#NAME?</v>
      </c>
    </row>
    <row r="2860" spans="2:5" x14ac:dyDescent="0.25">
      <c r="B2860" t="e">
        <f t="shared" ref="B2860:B2923" ca="1" si="91">ROUND((D2860-D2859)/(C2860-C2859),12)</f>
        <v>#NAME?</v>
      </c>
      <c r="C2860">
        <v>2817</v>
      </c>
      <c r="D2860" t="e">
        <f t="shared" ca="1" si="90"/>
        <v>#NAME?</v>
      </c>
      <c r="E2860" s="115" t="e">
        <f t="array" aca="1" ref="E2860" ca="1">IF(OR(C2859=0,AND(B2861=0,C2861=0)),"",IFERROR(INDEX($F$27:$F$36,MATCH(C2860,($F$27:$F$36)*($D$27:$D$36&lt;&gt;0),0)),IF(OR(AND(D2860=0,B2860=0,B2861&lt;&gt;0),AND(D2860*D2859&lt;0,B2860&lt;&gt;0)),IF(D2860=0,C2860,C2860*(1-ABS(D2860)/(ABS(D2860)+ABS(D2859)))+C2859*(1-ABS(D2859)/(ABS(D2860)+ABS(D2859)))),"")))</f>
        <v>#NAME?</v>
      </c>
    </row>
    <row r="2861" spans="2:5" x14ac:dyDescent="0.25">
      <c r="B2861" t="e">
        <f t="shared" ca="1" si="91"/>
        <v>#NAME?</v>
      </c>
      <c r="C2861">
        <v>2818</v>
      </c>
      <c r="D2861" t="e">
        <f t="shared" ca="1" si="90"/>
        <v>#NAME?</v>
      </c>
      <c r="E2861" s="115" t="e">
        <f t="array" aca="1" ref="E2861" ca="1">IF(OR(C2860=0,AND(B2862=0,C2862=0)),"",IFERROR(INDEX($F$27:$F$36,MATCH(C2861,($F$27:$F$36)*($D$27:$D$36&lt;&gt;0),0)),IF(OR(AND(D2861=0,B2861=0,B2862&lt;&gt;0),AND(D2861*D2860&lt;0,B2861&lt;&gt;0)),IF(D2861=0,C2861,C2861*(1-ABS(D2861)/(ABS(D2861)+ABS(D2860)))+C2860*(1-ABS(D2860)/(ABS(D2861)+ABS(D2860)))),"")))</f>
        <v>#NAME?</v>
      </c>
    </row>
    <row r="2862" spans="2:5" x14ac:dyDescent="0.25">
      <c r="B2862" t="e">
        <f t="shared" ca="1" si="91"/>
        <v>#NAME?</v>
      </c>
      <c r="C2862">
        <v>2819</v>
      </c>
      <c r="D2862" t="e">
        <f t="shared" ca="1" si="90"/>
        <v>#NAME?</v>
      </c>
      <c r="E2862" s="115" t="e">
        <f t="array" aca="1" ref="E2862" ca="1">IF(OR(C2861=0,AND(B2863=0,C2863=0)),"",IFERROR(INDEX($F$27:$F$36,MATCH(C2862,($F$27:$F$36)*($D$27:$D$36&lt;&gt;0),0)),IF(OR(AND(D2862=0,B2862=0,B2863&lt;&gt;0),AND(D2862*D2861&lt;0,B2862&lt;&gt;0)),IF(D2862=0,C2862,C2862*(1-ABS(D2862)/(ABS(D2862)+ABS(D2861)))+C2861*(1-ABS(D2861)/(ABS(D2862)+ABS(D2861)))),"")))</f>
        <v>#NAME?</v>
      </c>
    </row>
    <row r="2863" spans="2:5" x14ac:dyDescent="0.25">
      <c r="B2863" t="e">
        <f t="shared" ca="1" si="91"/>
        <v>#NAME?</v>
      </c>
      <c r="C2863">
        <v>2820</v>
      </c>
      <c r="D2863" t="e">
        <f t="shared" ca="1" si="90"/>
        <v>#NAME?</v>
      </c>
      <c r="E2863" s="115" t="e">
        <f t="array" aca="1" ref="E2863" ca="1">IF(OR(C2862=0,AND(B2864=0,C2864=0)),"",IFERROR(INDEX($F$27:$F$36,MATCH(C2863,($F$27:$F$36)*($D$27:$D$36&lt;&gt;0),0)),IF(OR(AND(D2863=0,B2863=0,B2864&lt;&gt;0),AND(D2863*D2862&lt;0,B2863&lt;&gt;0)),IF(D2863=0,C2863,C2863*(1-ABS(D2863)/(ABS(D2863)+ABS(D2862)))+C2862*(1-ABS(D2862)/(ABS(D2863)+ABS(D2862)))),"")))</f>
        <v>#NAME?</v>
      </c>
    </row>
    <row r="2864" spans="2:5" x14ac:dyDescent="0.25">
      <c r="B2864" t="e">
        <f t="shared" ca="1" si="91"/>
        <v>#NAME?</v>
      </c>
      <c r="C2864">
        <v>2821</v>
      </c>
      <c r="D2864" t="e">
        <f t="shared" ca="1" si="90"/>
        <v>#NAME?</v>
      </c>
      <c r="E2864" s="115" t="e">
        <f t="array" aca="1" ref="E2864" ca="1">IF(OR(C2863=0,AND(B2865=0,C2865=0)),"",IFERROR(INDEX($F$27:$F$36,MATCH(C2864,($F$27:$F$36)*($D$27:$D$36&lt;&gt;0),0)),IF(OR(AND(D2864=0,B2864=0,B2865&lt;&gt;0),AND(D2864*D2863&lt;0,B2864&lt;&gt;0)),IF(D2864=0,C2864,C2864*(1-ABS(D2864)/(ABS(D2864)+ABS(D2863)))+C2863*(1-ABS(D2863)/(ABS(D2864)+ABS(D2863)))),"")))</f>
        <v>#NAME?</v>
      </c>
    </row>
    <row r="2865" spans="2:5" x14ac:dyDescent="0.25">
      <c r="B2865" t="e">
        <f t="shared" ca="1" si="91"/>
        <v>#NAME?</v>
      </c>
      <c r="C2865">
        <v>2822</v>
      </c>
      <c r="D2865" t="e">
        <f t="shared" ca="1" si="90"/>
        <v>#NAME?</v>
      </c>
      <c r="E2865" s="115" t="e">
        <f t="array" aca="1" ref="E2865" ca="1">IF(OR(C2864=0,AND(B2866=0,C2866=0)),"",IFERROR(INDEX($F$27:$F$36,MATCH(C2865,($F$27:$F$36)*($D$27:$D$36&lt;&gt;0),0)),IF(OR(AND(D2865=0,B2865=0,B2866&lt;&gt;0),AND(D2865*D2864&lt;0,B2865&lt;&gt;0)),IF(D2865=0,C2865,C2865*(1-ABS(D2865)/(ABS(D2865)+ABS(D2864)))+C2864*(1-ABS(D2864)/(ABS(D2865)+ABS(D2864)))),"")))</f>
        <v>#NAME?</v>
      </c>
    </row>
    <row r="2866" spans="2:5" x14ac:dyDescent="0.25">
      <c r="B2866" t="e">
        <f t="shared" ca="1" si="91"/>
        <v>#NAME?</v>
      </c>
      <c r="C2866">
        <v>2823</v>
      </c>
      <c r="D2866" t="e">
        <f t="shared" ca="1" si="90"/>
        <v>#NAME?</v>
      </c>
      <c r="E2866" s="115" t="e">
        <f t="array" aca="1" ref="E2866" ca="1">IF(OR(C2865=0,AND(B2867=0,C2867=0)),"",IFERROR(INDEX($F$27:$F$36,MATCH(C2866,($F$27:$F$36)*($D$27:$D$36&lt;&gt;0),0)),IF(OR(AND(D2866=0,B2866=0,B2867&lt;&gt;0),AND(D2866*D2865&lt;0,B2866&lt;&gt;0)),IF(D2866=0,C2866,C2866*(1-ABS(D2866)/(ABS(D2866)+ABS(D2865)))+C2865*(1-ABS(D2865)/(ABS(D2866)+ABS(D2865)))),"")))</f>
        <v>#NAME?</v>
      </c>
    </row>
    <row r="2867" spans="2:5" x14ac:dyDescent="0.25">
      <c r="B2867" t="e">
        <f t="shared" ca="1" si="91"/>
        <v>#NAME?</v>
      </c>
      <c r="C2867">
        <v>2824</v>
      </c>
      <c r="D2867" t="e">
        <f t="shared" ca="1" si="90"/>
        <v>#NAME?</v>
      </c>
      <c r="E2867" s="115" t="e">
        <f t="array" aca="1" ref="E2867" ca="1">IF(OR(C2866=0,AND(B2868=0,C2868=0)),"",IFERROR(INDEX($F$27:$F$36,MATCH(C2867,($F$27:$F$36)*($D$27:$D$36&lt;&gt;0),0)),IF(OR(AND(D2867=0,B2867=0,B2868&lt;&gt;0),AND(D2867*D2866&lt;0,B2867&lt;&gt;0)),IF(D2867=0,C2867,C2867*(1-ABS(D2867)/(ABS(D2867)+ABS(D2866)))+C2866*(1-ABS(D2866)/(ABS(D2867)+ABS(D2866)))),"")))</f>
        <v>#NAME?</v>
      </c>
    </row>
    <row r="2868" spans="2:5" x14ac:dyDescent="0.25">
      <c r="B2868" t="e">
        <f t="shared" ca="1" si="91"/>
        <v>#NAME?</v>
      </c>
      <c r="C2868">
        <v>2825</v>
      </c>
      <c r="D2868" t="e">
        <f t="shared" ca="1" si="90"/>
        <v>#NAME?</v>
      </c>
      <c r="E2868" s="115" t="e">
        <f t="array" aca="1" ref="E2868" ca="1">IF(OR(C2867=0,AND(B2869=0,C2869=0)),"",IFERROR(INDEX($F$27:$F$36,MATCH(C2868,($F$27:$F$36)*($D$27:$D$36&lt;&gt;0),0)),IF(OR(AND(D2868=0,B2868=0,B2869&lt;&gt;0),AND(D2868*D2867&lt;0,B2868&lt;&gt;0)),IF(D2868=0,C2868,C2868*(1-ABS(D2868)/(ABS(D2868)+ABS(D2867)))+C2867*(1-ABS(D2867)/(ABS(D2868)+ABS(D2867)))),"")))</f>
        <v>#NAME?</v>
      </c>
    </row>
    <row r="2869" spans="2:5" x14ac:dyDescent="0.25">
      <c r="B2869" t="e">
        <f t="shared" ca="1" si="91"/>
        <v>#NAME?</v>
      </c>
      <c r="C2869">
        <v>2826</v>
      </c>
      <c r="D2869" t="e">
        <f t="shared" ca="1" si="90"/>
        <v>#NAME?</v>
      </c>
      <c r="E2869" s="115" t="e">
        <f t="array" aca="1" ref="E2869" ca="1">IF(OR(C2868=0,AND(B2870=0,C2870=0)),"",IFERROR(INDEX($F$27:$F$36,MATCH(C2869,($F$27:$F$36)*($D$27:$D$36&lt;&gt;0),0)),IF(OR(AND(D2869=0,B2869=0,B2870&lt;&gt;0),AND(D2869*D2868&lt;0,B2869&lt;&gt;0)),IF(D2869=0,C2869,C2869*(1-ABS(D2869)/(ABS(D2869)+ABS(D2868)))+C2868*(1-ABS(D2868)/(ABS(D2869)+ABS(D2868)))),"")))</f>
        <v>#NAME?</v>
      </c>
    </row>
    <row r="2870" spans="2:5" x14ac:dyDescent="0.25">
      <c r="B2870" t="e">
        <f t="shared" ca="1" si="91"/>
        <v>#NAME?</v>
      </c>
      <c r="C2870">
        <v>2827</v>
      </c>
      <c r="D2870" t="e">
        <f t="shared" ca="1" si="90"/>
        <v>#NAME?</v>
      </c>
      <c r="E2870" s="115" t="e">
        <f t="array" aca="1" ref="E2870" ca="1">IF(OR(C2869=0,AND(B2871=0,C2871=0)),"",IFERROR(INDEX($F$27:$F$36,MATCH(C2870,($F$27:$F$36)*($D$27:$D$36&lt;&gt;0),0)),IF(OR(AND(D2870=0,B2870=0,B2871&lt;&gt;0),AND(D2870*D2869&lt;0,B2870&lt;&gt;0)),IF(D2870=0,C2870,C2870*(1-ABS(D2870)/(ABS(D2870)+ABS(D2869)))+C2869*(1-ABS(D2869)/(ABS(D2870)+ABS(D2869)))),"")))</f>
        <v>#NAME?</v>
      </c>
    </row>
    <row r="2871" spans="2:5" x14ac:dyDescent="0.25">
      <c r="B2871" t="e">
        <f t="shared" ca="1" si="91"/>
        <v>#NAME?</v>
      </c>
      <c r="C2871">
        <v>2828</v>
      </c>
      <c r="D2871" t="e">
        <f t="shared" ca="1" si="90"/>
        <v>#NAME?</v>
      </c>
      <c r="E2871" s="115" t="e">
        <f t="array" aca="1" ref="E2871" ca="1">IF(OR(C2870=0,AND(B2872=0,C2872=0)),"",IFERROR(INDEX($F$27:$F$36,MATCH(C2871,($F$27:$F$36)*($D$27:$D$36&lt;&gt;0),0)),IF(OR(AND(D2871=0,B2871=0,B2872&lt;&gt;0),AND(D2871*D2870&lt;0,B2871&lt;&gt;0)),IF(D2871=0,C2871,C2871*(1-ABS(D2871)/(ABS(D2871)+ABS(D2870)))+C2870*(1-ABS(D2870)/(ABS(D2871)+ABS(D2870)))),"")))</f>
        <v>#NAME?</v>
      </c>
    </row>
    <row r="2872" spans="2:5" x14ac:dyDescent="0.25">
      <c r="B2872" t="e">
        <f t="shared" ca="1" si="91"/>
        <v>#NAME?</v>
      </c>
      <c r="C2872">
        <v>2829</v>
      </c>
      <c r="D2872" t="e">
        <f t="shared" ca="1" si="90"/>
        <v>#NAME?</v>
      </c>
      <c r="E2872" s="115" t="e">
        <f t="array" aca="1" ref="E2872" ca="1">IF(OR(C2871=0,AND(B2873=0,C2873=0)),"",IFERROR(INDEX($F$27:$F$36,MATCH(C2872,($F$27:$F$36)*($D$27:$D$36&lt;&gt;0),0)),IF(OR(AND(D2872=0,B2872=0,B2873&lt;&gt;0),AND(D2872*D2871&lt;0,B2872&lt;&gt;0)),IF(D2872=0,C2872,C2872*(1-ABS(D2872)/(ABS(D2872)+ABS(D2871)))+C2871*(1-ABS(D2871)/(ABS(D2872)+ABS(D2871)))),"")))</f>
        <v>#NAME?</v>
      </c>
    </row>
    <row r="2873" spans="2:5" x14ac:dyDescent="0.25">
      <c r="B2873" t="e">
        <f t="shared" ca="1" si="91"/>
        <v>#NAME?</v>
      </c>
      <c r="C2873">
        <v>2830</v>
      </c>
      <c r="D2873" t="e">
        <f t="shared" ca="1" si="90"/>
        <v>#NAME?</v>
      </c>
      <c r="E2873" s="115" t="e">
        <f t="array" aca="1" ref="E2873" ca="1">IF(OR(C2872=0,AND(B2874=0,C2874=0)),"",IFERROR(INDEX($F$27:$F$36,MATCH(C2873,($F$27:$F$36)*($D$27:$D$36&lt;&gt;0),0)),IF(OR(AND(D2873=0,B2873=0,B2874&lt;&gt;0),AND(D2873*D2872&lt;0,B2873&lt;&gt;0)),IF(D2873=0,C2873,C2873*(1-ABS(D2873)/(ABS(D2873)+ABS(D2872)))+C2872*(1-ABS(D2872)/(ABS(D2873)+ABS(D2872)))),"")))</f>
        <v>#NAME?</v>
      </c>
    </row>
    <row r="2874" spans="2:5" x14ac:dyDescent="0.25">
      <c r="B2874" t="e">
        <f t="shared" ca="1" si="91"/>
        <v>#NAME?</v>
      </c>
      <c r="C2874">
        <v>2831</v>
      </c>
      <c r="D2874" t="e">
        <f t="shared" ca="1" si="90"/>
        <v>#NAME?</v>
      </c>
      <c r="E2874" s="115" t="e">
        <f t="array" aca="1" ref="E2874" ca="1">IF(OR(C2873=0,AND(B2875=0,C2875=0)),"",IFERROR(INDEX($F$27:$F$36,MATCH(C2874,($F$27:$F$36)*($D$27:$D$36&lt;&gt;0),0)),IF(OR(AND(D2874=0,B2874=0,B2875&lt;&gt;0),AND(D2874*D2873&lt;0,B2874&lt;&gt;0)),IF(D2874=0,C2874,C2874*(1-ABS(D2874)/(ABS(D2874)+ABS(D2873)))+C2873*(1-ABS(D2873)/(ABS(D2874)+ABS(D2873)))),"")))</f>
        <v>#NAME?</v>
      </c>
    </row>
    <row r="2875" spans="2:5" x14ac:dyDescent="0.25">
      <c r="B2875" t="e">
        <f t="shared" ca="1" si="91"/>
        <v>#NAME?</v>
      </c>
      <c r="C2875">
        <v>2832</v>
      </c>
      <c r="D2875" t="e">
        <f t="shared" ca="1" si="90"/>
        <v>#NAME?</v>
      </c>
      <c r="E2875" s="115" t="e">
        <f t="array" aca="1" ref="E2875" ca="1">IF(OR(C2874=0,AND(B2876=0,C2876=0)),"",IFERROR(INDEX($F$27:$F$36,MATCH(C2875,($F$27:$F$36)*($D$27:$D$36&lt;&gt;0),0)),IF(OR(AND(D2875=0,B2875=0,B2876&lt;&gt;0),AND(D2875*D2874&lt;0,B2875&lt;&gt;0)),IF(D2875=0,C2875,C2875*(1-ABS(D2875)/(ABS(D2875)+ABS(D2874)))+C2874*(1-ABS(D2874)/(ABS(D2875)+ABS(D2874)))),"")))</f>
        <v>#NAME?</v>
      </c>
    </row>
    <row r="2876" spans="2:5" x14ac:dyDescent="0.25">
      <c r="B2876" t="e">
        <f t="shared" ca="1" si="91"/>
        <v>#NAME?</v>
      </c>
      <c r="C2876">
        <v>2833</v>
      </c>
      <c r="D2876" t="e">
        <f t="shared" ca="1" si="90"/>
        <v>#NAME?</v>
      </c>
      <c r="E2876" s="115" t="e">
        <f t="array" aca="1" ref="E2876" ca="1">IF(OR(C2875=0,AND(B2877=0,C2877=0)),"",IFERROR(INDEX($F$27:$F$36,MATCH(C2876,($F$27:$F$36)*($D$27:$D$36&lt;&gt;0),0)),IF(OR(AND(D2876=0,B2876=0,B2877&lt;&gt;0),AND(D2876*D2875&lt;0,B2876&lt;&gt;0)),IF(D2876=0,C2876,C2876*(1-ABS(D2876)/(ABS(D2876)+ABS(D2875)))+C2875*(1-ABS(D2875)/(ABS(D2876)+ABS(D2875)))),"")))</f>
        <v>#NAME?</v>
      </c>
    </row>
    <row r="2877" spans="2:5" x14ac:dyDescent="0.25">
      <c r="B2877" t="e">
        <f t="shared" ca="1" si="91"/>
        <v>#NAME?</v>
      </c>
      <c r="C2877">
        <v>2834</v>
      </c>
      <c r="D2877" t="e">
        <f t="shared" ca="1" si="90"/>
        <v>#NAME?</v>
      </c>
      <c r="E2877" s="115" t="e">
        <f t="array" aca="1" ref="E2877" ca="1">IF(OR(C2876=0,AND(B2878=0,C2878=0)),"",IFERROR(INDEX($F$27:$F$36,MATCH(C2877,($F$27:$F$36)*($D$27:$D$36&lt;&gt;0),0)),IF(OR(AND(D2877=0,B2877=0,B2878&lt;&gt;0),AND(D2877*D2876&lt;0,B2877&lt;&gt;0)),IF(D2877=0,C2877,C2877*(1-ABS(D2877)/(ABS(D2877)+ABS(D2876)))+C2876*(1-ABS(D2876)/(ABS(D2877)+ABS(D2876)))),"")))</f>
        <v>#NAME?</v>
      </c>
    </row>
    <row r="2878" spans="2:5" x14ac:dyDescent="0.25">
      <c r="B2878" t="e">
        <f t="shared" ca="1" si="91"/>
        <v>#NAME?</v>
      </c>
      <c r="C2878">
        <v>2835</v>
      </c>
      <c r="D2878" t="e">
        <f t="shared" ca="1" si="90"/>
        <v>#NAME?</v>
      </c>
      <c r="E2878" s="115" t="e">
        <f t="array" aca="1" ref="E2878" ca="1">IF(OR(C2877=0,AND(B2879=0,C2879=0)),"",IFERROR(INDEX($F$27:$F$36,MATCH(C2878,($F$27:$F$36)*($D$27:$D$36&lt;&gt;0),0)),IF(OR(AND(D2878=0,B2878=0,B2879&lt;&gt;0),AND(D2878*D2877&lt;0,B2878&lt;&gt;0)),IF(D2878=0,C2878,C2878*(1-ABS(D2878)/(ABS(D2878)+ABS(D2877)))+C2877*(1-ABS(D2877)/(ABS(D2878)+ABS(D2877)))),"")))</f>
        <v>#NAME?</v>
      </c>
    </row>
    <row r="2879" spans="2:5" x14ac:dyDescent="0.25">
      <c r="B2879" t="e">
        <f t="shared" ca="1" si="91"/>
        <v>#NAME?</v>
      </c>
      <c r="C2879">
        <v>2836</v>
      </c>
      <c r="D2879" t="e">
        <f t="shared" ca="1" si="90"/>
        <v>#NAME?</v>
      </c>
      <c r="E2879" s="115" t="e">
        <f t="array" aca="1" ref="E2879" ca="1">IF(OR(C2878=0,AND(B2880=0,C2880=0)),"",IFERROR(INDEX($F$27:$F$36,MATCH(C2879,($F$27:$F$36)*($D$27:$D$36&lt;&gt;0),0)),IF(OR(AND(D2879=0,B2879=0,B2880&lt;&gt;0),AND(D2879*D2878&lt;0,B2879&lt;&gt;0)),IF(D2879=0,C2879,C2879*(1-ABS(D2879)/(ABS(D2879)+ABS(D2878)))+C2878*(1-ABS(D2878)/(ABS(D2879)+ABS(D2878)))),"")))</f>
        <v>#NAME?</v>
      </c>
    </row>
    <row r="2880" spans="2:5" x14ac:dyDescent="0.25">
      <c r="B2880" t="e">
        <f t="shared" ca="1" si="91"/>
        <v>#NAME?</v>
      </c>
      <c r="C2880">
        <v>2837</v>
      </c>
      <c r="D2880" t="e">
        <f t="shared" ca="1" si="90"/>
        <v>#NAME?</v>
      </c>
      <c r="E2880" s="115" t="e">
        <f t="array" aca="1" ref="E2880" ca="1">IF(OR(C2879=0,AND(B2881=0,C2881=0)),"",IFERROR(INDEX($F$27:$F$36,MATCH(C2880,($F$27:$F$36)*($D$27:$D$36&lt;&gt;0),0)),IF(OR(AND(D2880=0,B2880=0,B2881&lt;&gt;0),AND(D2880*D2879&lt;0,B2880&lt;&gt;0)),IF(D2880=0,C2880,C2880*(1-ABS(D2880)/(ABS(D2880)+ABS(D2879)))+C2879*(1-ABS(D2879)/(ABS(D2880)+ABS(D2879)))),"")))</f>
        <v>#NAME?</v>
      </c>
    </row>
    <row r="2881" spans="2:5" x14ac:dyDescent="0.25">
      <c r="B2881" t="e">
        <f t="shared" ca="1" si="91"/>
        <v>#NAME?</v>
      </c>
      <c r="C2881">
        <v>2838</v>
      </c>
      <c r="D2881" t="e">
        <f t="shared" ca="1" si="90"/>
        <v>#NAME?</v>
      </c>
      <c r="E2881" s="115" t="e">
        <f t="array" aca="1" ref="E2881" ca="1">IF(OR(C2880=0,AND(B2882=0,C2882=0)),"",IFERROR(INDEX($F$27:$F$36,MATCH(C2881,($F$27:$F$36)*($D$27:$D$36&lt;&gt;0),0)),IF(OR(AND(D2881=0,B2881=0,B2882&lt;&gt;0),AND(D2881*D2880&lt;0,B2881&lt;&gt;0)),IF(D2881=0,C2881,C2881*(1-ABS(D2881)/(ABS(D2881)+ABS(D2880)))+C2880*(1-ABS(D2880)/(ABS(D2881)+ABS(D2880)))),"")))</f>
        <v>#NAME?</v>
      </c>
    </row>
    <row r="2882" spans="2:5" x14ac:dyDescent="0.25">
      <c r="B2882" t="e">
        <f t="shared" ca="1" si="91"/>
        <v>#NAME?</v>
      </c>
      <c r="C2882">
        <v>2839</v>
      </c>
      <c r="D2882" t="e">
        <f t="shared" ca="1" si="90"/>
        <v>#NAME?</v>
      </c>
      <c r="E2882" s="115" t="e">
        <f t="array" aca="1" ref="E2882" ca="1">IF(OR(C2881=0,AND(B2883=0,C2883=0)),"",IFERROR(INDEX($F$27:$F$36,MATCH(C2882,($F$27:$F$36)*($D$27:$D$36&lt;&gt;0),0)),IF(OR(AND(D2882=0,B2882=0,B2883&lt;&gt;0),AND(D2882*D2881&lt;0,B2882&lt;&gt;0)),IF(D2882=0,C2882,C2882*(1-ABS(D2882)/(ABS(D2882)+ABS(D2881)))+C2881*(1-ABS(D2881)/(ABS(D2882)+ABS(D2881)))),"")))</f>
        <v>#NAME?</v>
      </c>
    </row>
    <row r="2883" spans="2:5" x14ac:dyDescent="0.25">
      <c r="B2883" t="e">
        <f t="shared" ca="1" si="91"/>
        <v>#NAME?</v>
      </c>
      <c r="C2883">
        <v>2840</v>
      </c>
      <c r="D2883" t="e">
        <f t="shared" ca="1" si="90"/>
        <v>#NAME?</v>
      </c>
      <c r="E2883" s="115" t="e">
        <f t="array" aca="1" ref="E2883" ca="1">IF(OR(C2882=0,AND(B2884=0,C2884=0)),"",IFERROR(INDEX($F$27:$F$36,MATCH(C2883,($F$27:$F$36)*($D$27:$D$36&lt;&gt;0),0)),IF(OR(AND(D2883=0,B2883=0,B2884&lt;&gt;0),AND(D2883*D2882&lt;0,B2883&lt;&gt;0)),IF(D2883=0,C2883,C2883*(1-ABS(D2883)/(ABS(D2883)+ABS(D2882)))+C2882*(1-ABS(D2882)/(ABS(D2883)+ABS(D2882)))),"")))</f>
        <v>#NAME?</v>
      </c>
    </row>
    <row r="2884" spans="2:5" x14ac:dyDescent="0.25">
      <c r="B2884" t="e">
        <f t="shared" ca="1" si="91"/>
        <v>#NAME?</v>
      </c>
      <c r="C2884">
        <v>2841</v>
      </c>
      <c r="D2884" t="e">
        <f t="shared" ca="1" si="90"/>
        <v>#NAME?</v>
      </c>
      <c r="E2884" s="115" t="e">
        <f t="array" aca="1" ref="E2884" ca="1">IF(OR(C2883=0,AND(B2885=0,C2885=0)),"",IFERROR(INDEX($F$27:$F$36,MATCH(C2884,($F$27:$F$36)*($D$27:$D$36&lt;&gt;0),0)),IF(OR(AND(D2884=0,B2884=0,B2885&lt;&gt;0),AND(D2884*D2883&lt;0,B2884&lt;&gt;0)),IF(D2884=0,C2884,C2884*(1-ABS(D2884)/(ABS(D2884)+ABS(D2883)))+C2883*(1-ABS(D2883)/(ABS(D2884)+ABS(D2883)))),"")))</f>
        <v>#NAME?</v>
      </c>
    </row>
    <row r="2885" spans="2:5" x14ac:dyDescent="0.25">
      <c r="B2885" t="e">
        <f t="shared" ca="1" si="91"/>
        <v>#NAME?</v>
      </c>
      <c r="C2885">
        <v>2842</v>
      </c>
      <c r="D2885" t="e">
        <f t="shared" ca="1" si="90"/>
        <v>#NAME?</v>
      </c>
      <c r="E2885" s="115" t="e">
        <f t="array" aca="1" ref="E2885" ca="1">IF(OR(C2884=0,AND(B2886=0,C2886=0)),"",IFERROR(INDEX($F$27:$F$36,MATCH(C2885,($F$27:$F$36)*($D$27:$D$36&lt;&gt;0),0)),IF(OR(AND(D2885=0,B2885=0,B2886&lt;&gt;0),AND(D2885*D2884&lt;0,B2885&lt;&gt;0)),IF(D2885=0,C2885,C2885*(1-ABS(D2885)/(ABS(D2885)+ABS(D2884)))+C2884*(1-ABS(D2884)/(ABS(D2885)+ABS(D2884)))),"")))</f>
        <v>#NAME?</v>
      </c>
    </row>
    <row r="2886" spans="2:5" x14ac:dyDescent="0.25">
      <c r="B2886" t="e">
        <f t="shared" ca="1" si="91"/>
        <v>#NAME?</v>
      </c>
      <c r="C2886">
        <v>2843</v>
      </c>
      <c r="D2886" t="e">
        <f t="shared" ca="1" si="90"/>
        <v>#NAME?</v>
      </c>
      <c r="E2886" s="115" t="e">
        <f t="array" aca="1" ref="E2886" ca="1">IF(OR(C2885=0,AND(B2887=0,C2887=0)),"",IFERROR(INDEX($F$27:$F$36,MATCH(C2886,($F$27:$F$36)*($D$27:$D$36&lt;&gt;0),0)),IF(OR(AND(D2886=0,B2886=0,B2887&lt;&gt;0),AND(D2886*D2885&lt;0,B2886&lt;&gt;0)),IF(D2886=0,C2886,C2886*(1-ABS(D2886)/(ABS(D2886)+ABS(D2885)))+C2885*(1-ABS(D2885)/(ABS(D2886)+ABS(D2885)))),"")))</f>
        <v>#NAME?</v>
      </c>
    </row>
    <row r="2887" spans="2:5" x14ac:dyDescent="0.25">
      <c r="B2887" t="e">
        <f t="shared" ca="1" si="91"/>
        <v>#NAME?</v>
      </c>
      <c r="C2887">
        <v>2844</v>
      </c>
      <c r="D2887" t="e">
        <f t="shared" ca="1" si="90"/>
        <v>#NAME?</v>
      </c>
      <c r="E2887" s="115" t="e">
        <f t="array" aca="1" ref="E2887" ca="1">IF(OR(C2886=0,AND(B2888=0,C2888=0)),"",IFERROR(INDEX($F$27:$F$36,MATCH(C2887,($F$27:$F$36)*($D$27:$D$36&lt;&gt;0),0)),IF(OR(AND(D2887=0,B2887=0,B2888&lt;&gt;0),AND(D2887*D2886&lt;0,B2887&lt;&gt;0)),IF(D2887=0,C2887,C2887*(1-ABS(D2887)/(ABS(D2887)+ABS(D2886)))+C2886*(1-ABS(D2886)/(ABS(D2887)+ABS(D2886)))),"")))</f>
        <v>#NAME?</v>
      </c>
    </row>
    <row r="2888" spans="2:5" x14ac:dyDescent="0.25">
      <c r="B2888" t="e">
        <f t="shared" ca="1" si="91"/>
        <v>#NAME?</v>
      </c>
      <c r="C2888">
        <v>2845</v>
      </c>
      <c r="D2888" t="e">
        <f t="shared" ca="1" si="90"/>
        <v>#NAME?</v>
      </c>
      <c r="E2888" s="115" t="e">
        <f t="array" aca="1" ref="E2888" ca="1">IF(OR(C2887=0,AND(B2889=0,C2889=0)),"",IFERROR(INDEX($F$27:$F$36,MATCH(C2888,($F$27:$F$36)*($D$27:$D$36&lt;&gt;0),0)),IF(OR(AND(D2888=0,B2888=0,B2889&lt;&gt;0),AND(D2888*D2887&lt;0,B2888&lt;&gt;0)),IF(D2888=0,C2888,C2888*(1-ABS(D2888)/(ABS(D2888)+ABS(D2887)))+C2887*(1-ABS(D2887)/(ABS(D2888)+ABS(D2887)))),"")))</f>
        <v>#NAME?</v>
      </c>
    </row>
    <row r="2889" spans="2:5" x14ac:dyDescent="0.25">
      <c r="B2889" t="e">
        <f t="shared" ca="1" si="91"/>
        <v>#NAME?</v>
      </c>
      <c r="C2889">
        <v>2846</v>
      </c>
      <c r="D2889" t="e">
        <f t="shared" ca="1" si="90"/>
        <v>#NAME?</v>
      </c>
      <c r="E2889" s="115" t="e">
        <f t="array" aca="1" ref="E2889" ca="1">IF(OR(C2888=0,AND(B2890=0,C2890=0)),"",IFERROR(INDEX($F$27:$F$36,MATCH(C2889,($F$27:$F$36)*($D$27:$D$36&lt;&gt;0),0)),IF(OR(AND(D2889=0,B2889=0,B2890&lt;&gt;0),AND(D2889*D2888&lt;0,B2889&lt;&gt;0)),IF(D2889=0,C2889,C2889*(1-ABS(D2889)/(ABS(D2889)+ABS(D2888)))+C2888*(1-ABS(D2888)/(ABS(D2889)+ABS(D2888)))),"")))</f>
        <v>#NAME?</v>
      </c>
    </row>
    <row r="2890" spans="2:5" x14ac:dyDescent="0.25">
      <c r="B2890" t="e">
        <f t="shared" ca="1" si="91"/>
        <v>#NAME?</v>
      </c>
      <c r="C2890">
        <v>2847</v>
      </c>
      <c r="D2890" t="e">
        <f t="shared" ca="1" si="90"/>
        <v>#NAME?</v>
      </c>
      <c r="E2890" s="115" t="e">
        <f t="array" aca="1" ref="E2890" ca="1">IF(OR(C2889=0,AND(B2891=0,C2891=0)),"",IFERROR(INDEX($F$27:$F$36,MATCH(C2890,($F$27:$F$36)*($D$27:$D$36&lt;&gt;0),0)),IF(OR(AND(D2890=0,B2890=0,B2891&lt;&gt;0),AND(D2890*D2889&lt;0,B2890&lt;&gt;0)),IF(D2890=0,C2890,C2890*(1-ABS(D2890)/(ABS(D2890)+ABS(D2889)))+C2889*(1-ABS(D2889)/(ABS(D2890)+ABS(D2889)))),"")))</f>
        <v>#NAME?</v>
      </c>
    </row>
    <row r="2891" spans="2:5" x14ac:dyDescent="0.25">
      <c r="B2891" t="e">
        <f t="shared" ca="1" si="91"/>
        <v>#NAME?</v>
      </c>
      <c r="C2891">
        <v>2848</v>
      </c>
      <c r="D2891" t="e">
        <f t="shared" ca="1" si="90"/>
        <v>#NAME?</v>
      </c>
      <c r="E2891" s="115" t="e">
        <f t="array" aca="1" ref="E2891" ca="1">IF(OR(C2890=0,AND(B2892=0,C2892=0)),"",IFERROR(INDEX($F$27:$F$36,MATCH(C2891,($F$27:$F$36)*($D$27:$D$36&lt;&gt;0),0)),IF(OR(AND(D2891=0,B2891=0,B2892&lt;&gt;0),AND(D2891*D2890&lt;0,B2891&lt;&gt;0)),IF(D2891=0,C2891,C2891*(1-ABS(D2891)/(ABS(D2891)+ABS(D2890)))+C2890*(1-ABS(D2890)/(ABS(D2891)+ABS(D2890)))),"")))</f>
        <v>#NAME?</v>
      </c>
    </row>
    <row r="2892" spans="2:5" x14ac:dyDescent="0.25">
      <c r="B2892" t="e">
        <f t="shared" ca="1" si="91"/>
        <v>#NAME?</v>
      </c>
      <c r="C2892">
        <v>2849</v>
      </c>
      <c r="D2892" t="e">
        <f t="shared" ca="1" si="90"/>
        <v>#NAME?</v>
      </c>
      <c r="E2892" s="115" t="e">
        <f t="array" aca="1" ref="E2892" ca="1">IF(OR(C2891=0,AND(B2893=0,C2893=0)),"",IFERROR(INDEX($F$27:$F$36,MATCH(C2892,($F$27:$F$36)*($D$27:$D$36&lt;&gt;0),0)),IF(OR(AND(D2892=0,B2892=0,B2893&lt;&gt;0),AND(D2892*D2891&lt;0,B2892&lt;&gt;0)),IF(D2892=0,C2892,C2892*(1-ABS(D2892)/(ABS(D2892)+ABS(D2891)))+C2891*(1-ABS(D2891)/(ABS(D2892)+ABS(D2891)))),"")))</f>
        <v>#NAME?</v>
      </c>
    </row>
    <row r="2893" spans="2:5" x14ac:dyDescent="0.25">
      <c r="B2893" t="e">
        <f t="shared" ca="1" si="91"/>
        <v>#NAME?</v>
      </c>
      <c r="C2893">
        <v>2850</v>
      </c>
      <c r="D2893" t="e">
        <f t="shared" ca="1" si="90"/>
        <v>#NAME?</v>
      </c>
      <c r="E2893" s="115" t="e">
        <f t="array" aca="1" ref="E2893" ca="1">IF(OR(C2892=0,AND(B2894=0,C2894=0)),"",IFERROR(INDEX($F$27:$F$36,MATCH(C2893,($F$27:$F$36)*($D$27:$D$36&lt;&gt;0),0)),IF(OR(AND(D2893=0,B2893=0,B2894&lt;&gt;0),AND(D2893*D2892&lt;0,B2893&lt;&gt;0)),IF(D2893=0,C2893,C2893*(1-ABS(D2893)/(ABS(D2893)+ABS(D2892)))+C2892*(1-ABS(D2892)/(ABS(D2893)+ABS(D2892)))),"")))</f>
        <v>#NAME?</v>
      </c>
    </row>
    <row r="2894" spans="2:5" x14ac:dyDescent="0.25">
      <c r="B2894" t="e">
        <f t="shared" ca="1" si="91"/>
        <v>#NAME?</v>
      </c>
      <c r="C2894">
        <v>2851</v>
      </c>
      <c r="D2894" t="e">
        <f t="shared" ca="1" si="90"/>
        <v>#NAME?</v>
      </c>
      <c r="E2894" s="115" t="e">
        <f t="array" aca="1" ref="E2894" ca="1">IF(OR(C2893=0,AND(B2895=0,C2895=0)),"",IFERROR(INDEX($F$27:$F$36,MATCH(C2894,($F$27:$F$36)*($D$27:$D$36&lt;&gt;0),0)),IF(OR(AND(D2894=0,B2894=0,B2895&lt;&gt;0),AND(D2894*D2893&lt;0,B2894&lt;&gt;0)),IF(D2894=0,C2894,C2894*(1-ABS(D2894)/(ABS(D2894)+ABS(D2893)))+C2893*(1-ABS(D2893)/(ABS(D2894)+ABS(D2893)))),"")))</f>
        <v>#NAME?</v>
      </c>
    </row>
    <row r="2895" spans="2:5" x14ac:dyDescent="0.25">
      <c r="B2895" t="e">
        <f t="shared" ca="1" si="91"/>
        <v>#NAME?</v>
      </c>
      <c r="C2895">
        <v>2852</v>
      </c>
      <c r="D2895" t="e">
        <f t="shared" ca="1" si="90"/>
        <v>#NAME?</v>
      </c>
      <c r="E2895" s="115" t="e">
        <f t="array" aca="1" ref="E2895" ca="1">IF(OR(C2894=0,AND(B2896=0,C2896=0)),"",IFERROR(INDEX($F$27:$F$36,MATCH(C2895,($F$27:$F$36)*($D$27:$D$36&lt;&gt;0),0)),IF(OR(AND(D2895=0,B2895=0,B2896&lt;&gt;0),AND(D2895*D2894&lt;0,B2895&lt;&gt;0)),IF(D2895=0,C2895,C2895*(1-ABS(D2895)/(ABS(D2895)+ABS(D2894)))+C2894*(1-ABS(D2894)/(ABS(D2895)+ABS(D2894)))),"")))</f>
        <v>#NAME?</v>
      </c>
    </row>
    <row r="2896" spans="2:5" x14ac:dyDescent="0.25">
      <c r="B2896" t="e">
        <f t="shared" ca="1" si="91"/>
        <v>#NAME?</v>
      </c>
      <c r="C2896">
        <v>2853</v>
      </c>
      <c r="D2896" t="e">
        <f t="shared" ca="1" si="90"/>
        <v>#NAME?</v>
      </c>
      <c r="E2896" s="115" t="e">
        <f t="array" aca="1" ref="E2896" ca="1">IF(OR(C2895=0,AND(B2897=0,C2897=0)),"",IFERROR(INDEX($F$27:$F$36,MATCH(C2896,($F$27:$F$36)*($D$27:$D$36&lt;&gt;0),0)),IF(OR(AND(D2896=0,B2896=0,B2897&lt;&gt;0),AND(D2896*D2895&lt;0,B2896&lt;&gt;0)),IF(D2896=0,C2896,C2896*(1-ABS(D2896)/(ABS(D2896)+ABS(D2895)))+C2895*(1-ABS(D2895)/(ABS(D2896)+ABS(D2895)))),"")))</f>
        <v>#NAME?</v>
      </c>
    </row>
    <row r="2897" spans="2:5" x14ac:dyDescent="0.25">
      <c r="B2897" t="e">
        <f t="shared" ca="1" si="91"/>
        <v>#NAME?</v>
      </c>
      <c r="C2897">
        <v>2854</v>
      </c>
      <c r="D2897" t="e">
        <f t="shared" ca="1" si="90"/>
        <v>#NAME?</v>
      </c>
      <c r="E2897" s="115" t="e">
        <f t="array" aca="1" ref="E2897" ca="1">IF(OR(C2896=0,AND(B2898=0,C2898=0)),"",IFERROR(INDEX($F$27:$F$36,MATCH(C2897,($F$27:$F$36)*($D$27:$D$36&lt;&gt;0),0)),IF(OR(AND(D2897=0,B2897=0,B2898&lt;&gt;0),AND(D2897*D2896&lt;0,B2897&lt;&gt;0)),IF(D2897=0,C2897,C2897*(1-ABS(D2897)/(ABS(D2897)+ABS(D2896)))+C2896*(1-ABS(D2896)/(ABS(D2897)+ABS(D2896)))),"")))</f>
        <v>#NAME?</v>
      </c>
    </row>
    <row r="2898" spans="2:5" x14ac:dyDescent="0.25">
      <c r="B2898" t="e">
        <f t="shared" ca="1" si="91"/>
        <v>#NAME?</v>
      </c>
      <c r="C2898">
        <v>2855</v>
      </c>
      <c r="D2898" t="e">
        <f t="shared" ca="1" si="90"/>
        <v>#NAME?</v>
      </c>
      <c r="E2898" s="115" t="e">
        <f t="array" aca="1" ref="E2898" ca="1">IF(OR(C2897=0,AND(B2899=0,C2899=0)),"",IFERROR(INDEX($F$27:$F$36,MATCH(C2898,($F$27:$F$36)*($D$27:$D$36&lt;&gt;0),0)),IF(OR(AND(D2898=0,B2898=0,B2899&lt;&gt;0),AND(D2898*D2897&lt;0,B2898&lt;&gt;0)),IF(D2898=0,C2898,C2898*(1-ABS(D2898)/(ABS(D2898)+ABS(D2897)))+C2897*(1-ABS(D2897)/(ABS(D2898)+ABS(D2897)))),"")))</f>
        <v>#NAME?</v>
      </c>
    </row>
    <row r="2899" spans="2:5" x14ac:dyDescent="0.25">
      <c r="B2899" t="e">
        <f t="shared" ca="1" si="91"/>
        <v>#NAME?</v>
      </c>
      <c r="C2899">
        <v>2856</v>
      </c>
      <c r="D2899" t="e">
        <f t="shared" ca="1" si="90"/>
        <v>#NAME?</v>
      </c>
      <c r="E2899" s="115" t="e">
        <f t="array" aca="1" ref="E2899" ca="1">IF(OR(C2898=0,AND(B2900=0,C2900=0)),"",IFERROR(INDEX($F$27:$F$36,MATCH(C2899,($F$27:$F$36)*($D$27:$D$36&lt;&gt;0),0)),IF(OR(AND(D2899=0,B2899=0,B2900&lt;&gt;0),AND(D2899*D2898&lt;0,B2899&lt;&gt;0)),IF(D2899=0,C2899,C2899*(1-ABS(D2899)/(ABS(D2899)+ABS(D2898)))+C2898*(1-ABS(D2898)/(ABS(D2899)+ABS(D2898)))),"")))</f>
        <v>#NAME?</v>
      </c>
    </row>
    <row r="2900" spans="2:5" x14ac:dyDescent="0.25">
      <c r="B2900" t="e">
        <f t="shared" ca="1" si="91"/>
        <v>#NAME?</v>
      </c>
      <c r="C2900">
        <v>2857</v>
      </c>
      <c r="D2900" t="e">
        <f t="shared" ca="1" si="90"/>
        <v>#NAME?</v>
      </c>
      <c r="E2900" s="115" t="e">
        <f t="array" aca="1" ref="E2900" ca="1">IF(OR(C2899=0,AND(B2901=0,C2901=0)),"",IFERROR(INDEX($F$27:$F$36,MATCH(C2900,($F$27:$F$36)*($D$27:$D$36&lt;&gt;0),0)),IF(OR(AND(D2900=0,B2900=0,B2901&lt;&gt;0),AND(D2900*D2899&lt;0,B2900&lt;&gt;0)),IF(D2900=0,C2900,C2900*(1-ABS(D2900)/(ABS(D2900)+ABS(D2899)))+C2899*(1-ABS(D2899)/(ABS(D2900)+ABS(D2899)))),"")))</f>
        <v>#NAME?</v>
      </c>
    </row>
    <row r="2901" spans="2:5" x14ac:dyDescent="0.25">
      <c r="B2901" t="e">
        <f t="shared" ca="1" si="91"/>
        <v>#NAME?</v>
      </c>
      <c r="C2901">
        <v>2858</v>
      </c>
      <c r="D2901" t="e">
        <f t="shared" ca="1" si="90"/>
        <v>#NAME?</v>
      </c>
      <c r="E2901" s="115" t="e">
        <f t="array" aca="1" ref="E2901" ca="1">IF(OR(C2900=0,AND(B2902=0,C2902=0)),"",IFERROR(INDEX($F$27:$F$36,MATCH(C2901,($F$27:$F$36)*($D$27:$D$36&lt;&gt;0),0)),IF(OR(AND(D2901=0,B2901=0,B2902&lt;&gt;0),AND(D2901*D2900&lt;0,B2901&lt;&gt;0)),IF(D2901=0,C2901,C2901*(1-ABS(D2901)/(ABS(D2901)+ABS(D2900)))+C2900*(1-ABS(D2900)/(ABS(D2901)+ABS(D2900)))),"")))</f>
        <v>#NAME?</v>
      </c>
    </row>
    <row r="2902" spans="2:5" x14ac:dyDescent="0.25">
      <c r="B2902" t="e">
        <f t="shared" ca="1" si="91"/>
        <v>#NAME?</v>
      </c>
      <c r="C2902">
        <v>2859</v>
      </c>
      <c r="D2902" t="e">
        <f t="shared" ca="1" si="90"/>
        <v>#NAME?</v>
      </c>
      <c r="E2902" s="115" t="e">
        <f t="array" aca="1" ref="E2902" ca="1">IF(OR(C2901=0,AND(B2903=0,C2903=0)),"",IFERROR(INDEX($F$27:$F$36,MATCH(C2902,($F$27:$F$36)*($D$27:$D$36&lt;&gt;0),0)),IF(OR(AND(D2902=0,B2902=0,B2903&lt;&gt;0),AND(D2902*D2901&lt;0,B2902&lt;&gt;0)),IF(D2902=0,C2902,C2902*(1-ABS(D2902)/(ABS(D2902)+ABS(D2901)))+C2901*(1-ABS(D2901)/(ABS(D2902)+ABS(D2901)))),"")))</f>
        <v>#NAME?</v>
      </c>
    </row>
    <row r="2903" spans="2:5" x14ac:dyDescent="0.25">
      <c r="B2903" t="e">
        <f t="shared" ca="1" si="91"/>
        <v>#NAME?</v>
      </c>
      <c r="C2903">
        <v>2860</v>
      </c>
      <c r="D2903" t="e">
        <f t="shared" ca="1" si="90"/>
        <v>#NAME?</v>
      </c>
      <c r="E2903" s="115" t="e">
        <f t="array" aca="1" ref="E2903" ca="1">IF(OR(C2902=0,AND(B2904=0,C2904=0)),"",IFERROR(INDEX($F$27:$F$36,MATCH(C2903,($F$27:$F$36)*($D$27:$D$36&lt;&gt;0),0)),IF(OR(AND(D2903=0,B2903=0,B2904&lt;&gt;0),AND(D2903*D2902&lt;0,B2903&lt;&gt;0)),IF(D2903=0,C2903,C2903*(1-ABS(D2903)/(ABS(D2903)+ABS(D2902)))+C2902*(1-ABS(D2902)/(ABS(D2903)+ABS(D2902)))),"")))</f>
        <v>#NAME?</v>
      </c>
    </row>
    <row r="2904" spans="2:5" x14ac:dyDescent="0.25">
      <c r="B2904" t="e">
        <f t="shared" ca="1" si="91"/>
        <v>#NAME?</v>
      </c>
      <c r="C2904">
        <v>2861</v>
      </c>
      <c r="D2904" t="e">
        <f t="shared" ca="1" si="90"/>
        <v>#NAME?</v>
      </c>
      <c r="E2904" s="115" t="e">
        <f t="array" aca="1" ref="E2904" ca="1">IF(OR(C2903=0,AND(B2905=0,C2905=0)),"",IFERROR(INDEX($F$27:$F$36,MATCH(C2904,($F$27:$F$36)*($D$27:$D$36&lt;&gt;0),0)),IF(OR(AND(D2904=0,B2904=0,B2905&lt;&gt;0),AND(D2904*D2903&lt;0,B2904&lt;&gt;0)),IF(D2904=0,C2904,C2904*(1-ABS(D2904)/(ABS(D2904)+ABS(D2903)))+C2903*(1-ABS(D2903)/(ABS(D2904)+ABS(D2903)))),"")))</f>
        <v>#NAME?</v>
      </c>
    </row>
    <row r="2905" spans="2:5" x14ac:dyDescent="0.25">
      <c r="B2905" t="e">
        <f t="shared" ca="1" si="91"/>
        <v>#NAME?</v>
      </c>
      <c r="C2905">
        <v>2862</v>
      </c>
      <c r="D2905" t="e">
        <f t="shared" ca="1" si="90"/>
        <v>#NAME?</v>
      </c>
      <c r="E2905" s="115" t="e">
        <f t="array" aca="1" ref="E2905" ca="1">IF(OR(C2904=0,AND(B2906=0,C2906=0)),"",IFERROR(INDEX($F$27:$F$36,MATCH(C2905,($F$27:$F$36)*($D$27:$D$36&lt;&gt;0),0)),IF(OR(AND(D2905=0,B2905=0,B2906&lt;&gt;0),AND(D2905*D2904&lt;0,B2905&lt;&gt;0)),IF(D2905=0,C2905,C2905*(1-ABS(D2905)/(ABS(D2905)+ABS(D2904)))+C2904*(1-ABS(D2904)/(ABS(D2905)+ABS(D2904)))),"")))</f>
        <v>#NAME?</v>
      </c>
    </row>
    <row r="2906" spans="2:5" x14ac:dyDescent="0.25">
      <c r="B2906" t="e">
        <f t="shared" ca="1" si="91"/>
        <v>#NAME?</v>
      </c>
      <c r="C2906">
        <v>2863</v>
      </c>
      <c r="D2906" t="e">
        <f t="shared" ca="1" si="90"/>
        <v>#NAME?</v>
      </c>
      <c r="E2906" s="115" t="e">
        <f t="array" aca="1" ref="E2906" ca="1">IF(OR(C2905=0,AND(B2907=0,C2907=0)),"",IFERROR(INDEX($F$27:$F$36,MATCH(C2906,($F$27:$F$36)*($D$27:$D$36&lt;&gt;0),0)),IF(OR(AND(D2906=0,B2906=0,B2907&lt;&gt;0),AND(D2906*D2905&lt;0,B2906&lt;&gt;0)),IF(D2906=0,C2906,C2906*(1-ABS(D2906)/(ABS(D2906)+ABS(D2905)))+C2905*(1-ABS(D2905)/(ABS(D2906)+ABS(D2905)))),"")))</f>
        <v>#NAME?</v>
      </c>
    </row>
    <row r="2907" spans="2:5" x14ac:dyDescent="0.25">
      <c r="B2907" t="e">
        <f t="shared" ca="1" si="91"/>
        <v>#NAME?</v>
      </c>
      <c r="C2907">
        <v>2864</v>
      </c>
      <c r="D2907" t="e">
        <f t="shared" ca="1" si="90"/>
        <v>#NAME?</v>
      </c>
      <c r="E2907" s="115" t="e">
        <f t="array" aca="1" ref="E2907" ca="1">IF(OR(C2906=0,AND(B2908=0,C2908=0)),"",IFERROR(INDEX($F$27:$F$36,MATCH(C2907,($F$27:$F$36)*($D$27:$D$36&lt;&gt;0),0)),IF(OR(AND(D2907=0,B2907=0,B2908&lt;&gt;0),AND(D2907*D2906&lt;0,B2907&lt;&gt;0)),IF(D2907=0,C2907,C2907*(1-ABS(D2907)/(ABS(D2907)+ABS(D2906)))+C2906*(1-ABS(D2906)/(ABS(D2907)+ABS(D2906)))),"")))</f>
        <v>#NAME?</v>
      </c>
    </row>
    <row r="2908" spans="2:5" x14ac:dyDescent="0.25">
      <c r="B2908" t="e">
        <f t="shared" ca="1" si="91"/>
        <v>#NAME?</v>
      </c>
      <c r="C2908">
        <v>2865</v>
      </c>
      <c r="D2908" t="e">
        <f t="shared" ca="1" si="90"/>
        <v>#NAME?</v>
      </c>
      <c r="E2908" s="115" t="e">
        <f t="array" aca="1" ref="E2908" ca="1">IF(OR(C2907=0,AND(B2909=0,C2909=0)),"",IFERROR(INDEX($F$27:$F$36,MATCH(C2908,($F$27:$F$36)*($D$27:$D$36&lt;&gt;0),0)),IF(OR(AND(D2908=0,B2908=0,B2909&lt;&gt;0),AND(D2908*D2907&lt;0,B2908&lt;&gt;0)),IF(D2908=0,C2908,C2908*(1-ABS(D2908)/(ABS(D2908)+ABS(D2907)))+C2907*(1-ABS(D2907)/(ABS(D2908)+ABS(D2907)))),"")))</f>
        <v>#NAME?</v>
      </c>
    </row>
    <row r="2909" spans="2:5" x14ac:dyDescent="0.25">
      <c r="B2909" t="e">
        <f t="shared" ca="1" si="91"/>
        <v>#NAME?</v>
      </c>
      <c r="C2909">
        <v>2866</v>
      </c>
      <c r="D2909" t="e">
        <f t="shared" ca="1" si="90"/>
        <v>#NAME?</v>
      </c>
      <c r="E2909" s="115" t="e">
        <f t="array" aca="1" ref="E2909" ca="1">IF(OR(C2908=0,AND(B2910=0,C2910=0)),"",IFERROR(INDEX($F$27:$F$36,MATCH(C2909,($F$27:$F$36)*($D$27:$D$36&lt;&gt;0),0)),IF(OR(AND(D2909=0,B2909=0,B2910&lt;&gt;0),AND(D2909*D2908&lt;0,B2909&lt;&gt;0)),IF(D2909=0,C2909,C2909*(1-ABS(D2909)/(ABS(D2909)+ABS(D2908)))+C2908*(1-ABS(D2908)/(ABS(D2909)+ABS(D2908)))),"")))</f>
        <v>#NAME?</v>
      </c>
    </row>
    <row r="2910" spans="2:5" x14ac:dyDescent="0.25">
      <c r="B2910" t="e">
        <f t="shared" ca="1" si="91"/>
        <v>#NAME?</v>
      </c>
      <c r="C2910">
        <v>2867</v>
      </c>
      <c r="D2910" t="e">
        <f t="shared" ca="1" si="90"/>
        <v>#NAME?</v>
      </c>
      <c r="E2910" s="115" t="e">
        <f t="array" aca="1" ref="E2910" ca="1">IF(OR(C2909=0,AND(B2911=0,C2911=0)),"",IFERROR(INDEX($F$27:$F$36,MATCH(C2910,($F$27:$F$36)*($D$27:$D$36&lt;&gt;0),0)),IF(OR(AND(D2910=0,B2910=0,B2911&lt;&gt;0),AND(D2910*D2909&lt;0,B2910&lt;&gt;0)),IF(D2910=0,C2910,C2910*(1-ABS(D2910)/(ABS(D2910)+ABS(D2909)))+C2909*(1-ABS(D2909)/(ABS(D2910)+ABS(D2909)))),"")))</f>
        <v>#NAME?</v>
      </c>
    </row>
    <row r="2911" spans="2:5" x14ac:dyDescent="0.25">
      <c r="B2911" t="e">
        <f t="shared" ca="1" si="91"/>
        <v>#NAME?</v>
      </c>
      <c r="C2911">
        <v>2868</v>
      </c>
      <c r="D2911" t="e">
        <f t="shared" ca="1" si="90"/>
        <v>#NAME?</v>
      </c>
      <c r="E2911" s="115" t="e">
        <f t="array" aca="1" ref="E2911" ca="1">IF(OR(C2910=0,AND(B2912=0,C2912=0)),"",IFERROR(INDEX($F$27:$F$36,MATCH(C2911,($F$27:$F$36)*($D$27:$D$36&lt;&gt;0),0)),IF(OR(AND(D2911=0,B2911=0,B2912&lt;&gt;0),AND(D2911*D2910&lt;0,B2911&lt;&gt;0)),IF(D2911=0,C2911,C2911*(1-ABS(D2911)/(ABS(D2911)+ABS(D2910)))+C2910*(1-ABS(D2910)/(ABS(D2911)+ABS(D2910)))),"")))</f>
        <v>#NAME?</v>
      </c>
    </row>
    <row r="2912" spans="2:5" x14ac:dyDescent="0.25">
      <c r="B2912" t="e">
        <f t="shared" ca="1" si="91"/>
        <v>#NAME?</v>
      </c>
      <c r="C2912">
        <v>2869</v>
      </c>
      <c r="D2912" t="e">
        <f t="shared" ca="1" si="90"/>
        <v>#NAME?</v>
      </c>
      <c r="E2912" s="115" t="e">
        <f t="array" aca="1" ref="E2912" ca="1">IF(OR(C2911=0,AND(B2913=0,C2913=0)),"",IFERROR(INDEX($F$27:$F$36,MATCH(C2912,($F$27:$F$36)*($D$27:$D$36&lt;&gt;0),0)),IF(OR(AND(D2912=0,B2912=0,B2913&lt;&gt;0),AND(D2912*D2911&lt;0,B2912&lt;&gt;0)),IF(D2912=0,C2912,C2912*(1-ABS(D2912)/(ABS(D2912)+ABS(D2911)))+C2911*(1-ABS(D2911)/(ABS(D2912)+ABS(D2911)))),"")))</f>
        <v>#NAME?</v>
      </c>
    </row>
    <row r="2913" spans="2:5" x14ac:dyDescent="0.25">
      <c r="B2913" t="e">
        <f t="shared" ca="1" si="91"/>
        <v>#NAME?</v>
      </c>
      <c r="C2913">
        <v>2870</v>
      </c>
      <c r="D2913" t="e">
        <f t="shared" ca="1" si="90"/>
        <v>#NAME?</v>
      </c>
      <c r="E2913" s="115" t="e">
        <f t="array" aca="1" ref="E2913" ca="1">IF(OR(C2912=0,AND(B2914=0,C2914=0)),"",IFERROR(INDEX($F$27:$F$36,MATCH(C2913,($F$27:$F$36)*($D$27:$D$36&lt;&gt;0),0)),IF(OR(AND(D2913=0,B2913=0,B2914&lt;&gt;0),AND(D2913*D2912&lt;0,B2913&lt;&gt;0)),IF(D2913=0,C2913,C2913*(1-ABS(D2913)/(ABS(D2913)+ABS(D2912)))+C2912*(1-ABS(D2912)/(ABS(D2913)+ABS(D2912)))),"")))</f>
        <v>#NAME?</v>
      </c>
    </row>
    <row r="2914" spans="2:5" x14ac:dyDescent="0.25">
      <c r="B2914" t="e">
        <f t="shared" ca="1" si="91"/>
        <v>#NAME?</v>
      </c>
      <c r="C2914">
        <v>2871</v>
      </c>
      <c r="D2914" t="e">
        <f t="shared" ca="1" si="90"/>
        <v>#NAME?</v>
      </c>
      <c r="E2914" s="115" t="e">
        <f t="array" aca="1" ref="E2914" ca="1">IF(OR(C2913=0,AND(B2915=0,C2915=0)),"",IFERROR(INDEX($F$27:$F$36,MATCH(C2914,($F$27:$F$36)*($D$27:$D$36&lt;&gt;0),0)),IF(OR(AND(D2914=0,B2914=0,B2915&lt;&gt;0),AND(D2914*D2913&lt;0,B2914&lt;&gt;0)),IF(D2914=0,C2914,C2914*(1-ABS(D2914)/(ABS(D2914)+ABS(D2913)))+C2913*(1-ABS(D2913)/(ABS(D2914)+ABS(D2913)))),"")))</f>
        <v>#NAME?</v>
      </c>
    </row>
    <row r="2915" spans="2:5" x14ac:dyDescent="0.25">
      <c r="B2915" t="e">
        <f t="shared" ca="1" si="91"/>
        <v>#NAME?</v>
      </c>
      <c r="C2915">
        <v>2872</v>
      </c>
      <c r="D2915" t="e">
        <f t="shared" ca="1" si="90"/>
        <v>#NAME?</v>
      </c>
      <c r="E2915" s="115" t="e">
        <f t="array" aca="1" ref="E2915" ca="1">IF(OR(C2914=0,AND(B2916=0,C2916=0)),"",IFERROR(INDEX($F$27:$F$36,MATCH(C2915,($F$27:$F$36)*($D$27:$D$36&lt;&gt;0),0)),IF(OR(AND(D2915=0,B2915=0,B2916&lt;&gt;0),AND(D2915*D2914&lt;0,B2915&lt;&gt;0)),IF(D2915=0,C2915,C2915*(1-ABS(D2915)/(ABS(D2915)+ABS(D2914)))+C2914*(1-ABS(D2914)/(ABS(D2915)+ABS(D2914)))),"")))</f>
        <v>#NAME?</v>
      </c>
    </row>
    <row r="2916" spans="2:5" x14ac:dyDescent="0.25">
      <c r="B2916" t="e">
        <f t="shared" ca="1" si="91"/>
        <v>#NAME?</v>
      </c>
      <c r="C2916">
        <v>2873</v>
      </c>
      <c r="D2916" t="e">
        <f t="shared" ca="1" si="90"/>
        <v>#NAME?</v>
      </c>
      <c r="E2916" s="115" t="e">
        <f t="array" aca="1" ref="E2916" ca="1">IF(OR(C2915=0,AND(B2917=0,C2917=0)),"",IFERROR(INDEX($F$27:$F$36,MATCH(C2916,($F$27:$F$36)*($D$27:$D$36&lt;&gt;0),0)),IF(OR(AND(D2916=0,B2916=0,B2917&lt;&gt;0),AND(D2916*D2915&lt;0,B2916&lt;&gt;0)),IF(D2916=0,C2916,C2916*(1-ABS(D2916)/(ABS(D2916)+ABS(D2915)))+C2915*(1-ABS(D2915)/(ABS(D2916)+ABS(D2915)))),"")))</f>
        <v>#NAME?</v>
      </c>
    </row>
    <row r="2917" spans="2:5" x14ac:dyDescent="0.25">
      <c r="B2917" t="e">
        <f t="shared" ca="1" si="91"/>
        <v>#NAME?</v>
      </c>
      <c r="C2917">
        <v>2874</v>
      </c>
      <c r="D2917" t="e">
        <f t="shared" ca="1" si="90"/>
        <v>#NAME?</v>
      </c>
      <c r="E2917" s="115" t="e">
        <f t="array" aca="1" ref="E2917" ca="1">IF(OR(C2916=0,AND(B2918=0,C2918=0)),"",IFERROR(INDEX($F$27:$F$36,MATCH(C2917,($F$27:$F$36)*($D$27:$D$36&lt;&gt;0),0)),IF(OR(AND(D2917=0,B2917=0,B2918&lt;&gt;0),AND(D2917*D2916&lt;0,B2917&lt;&gt;0)),IF(D2917=0,C2917,C2917*(1-ABS(D2917)/(ABS(D2917)+ABS(D2916)))+C2916*(1-ABS(D2916)/(ABS(D2917)+ABS(D2916)))),"")))</f>
        <v>#NAME?</v>
      </c>
    </row>
    <row r="2918" spans="2:5" x14ac:dyDescent="0.25">
      <c r="B2918" t="e">
        <f t="shared" ca="1" si="91"/>
        <v>#NAME?</v>
      </c>
      <c r="C2918">
        <v>2875</v>
      </c>
      <c r="D2918" t="e">
        <f t="shared" ca="1" si="90"/>
        <v>#NAME?</v>
      </c>
      <c r="E2918" s="115" t="e">
        <f t="array" aca="1" ref="E2918" ca="1">IF(OR(C2917=0,AND(B2919=0,C2919=0)),"",IFERROR(INDEX($F$27:$F$36,MATCH(C2918,($F$27:$F$36)*($D$27:$D$36&lt;&gt;0),0)),IF(OR(AND(D2918=0,B2918=0,B2919&lt;&gt;0),AND(D2918*D2917&lt;0,B2918&lt;&gt;0)),IF(D2918=0,C2918,C2918*(1-ABS(D2918)/(ABS(D2918)+ABS(D2917)))+C2917*(1-ABS(D2917)/(ABS(D2918)+ABS(D2917)))),"")))</f>
        <v>#NAME?</v>
      </c>
    </row>
    <row r="2919" spans="2:5" x14ac:dyDescent="0.25">
      <c r="B2919" t="e">
        <f t="shared" ca="1" si="91"/>
        <v>#NAME?</v>
      </c>
      <c r="C2919">
        <v>2876</v>
      </c>
      <c r="D2919" t="e">
        <f t="shared" ca="1" si="90"/>
        <v>#NAME?</v>
      </c>
      <c r="E2919" s="115" t="e">
        <f t="array" aca="1" ref="E2919" ca="1">IF(OR(C2918=0,AND(B2920=0,C2920=0)),"",IFERROR(INDEX($F$27:$F$36,MATCH(C2919,($F$27:$F$36)*($D$27:$D$36&lt;&gt;0),0)),IF(OR(AND(D2919=0,B2919=0,B2920&lt;&gt;0),AND(D2919*D2918&lt;0,B2919&lt;&gt;0)),IF(D2919=0,C2919,C2919*(1-ABS(D2919)/(ABS(D2919)+ABS(D2918)))+C2918*(1-ABS(D2918)/(ABS(D2919)+ABS(D2918)))),"")))</f>
        <v>#NAME?</v>
      </c>
    </row>
    <row r="2920" spans="2:5" x14ac:dyDescent="0.25">
      <c r="B2920" t="e">
        <f t="shared" ca="1" si="91"/>
        <v>#NAME?</v>
      </c>
      <c r="C2920">
        <v>2877</v>
      </c>
      <c r="D2920" t="e">
        <f t="shared" ca="1" si="90"/>
        <v>#NAME?</v>
      </c>
      <c r="E2920" s="115" t="e">
        <f t="array" aca="1" ref="E2920" ca="1">IF(OR(C2919=0,AND(B2921=0,C2921=0)),"",IFERROR(INDEX($F$27:$F$36,MATCH(C2920,($F$27:$F$36)*($D$27:$D$36&lt;&gt;0),0)),IF(OR(AND(D2920=0,B2920=0,B2921&lt;&gt;0),AND(D2920*D2919&lt;0,B2920&lt;&gt;0)),IF(D2920=0,C2920,C2920*(1-ABS(D2920)/(ABS(D2920)+ABS(D2919)))+C2919*(1-ABS(D2919)/(ABS(D2920)+ABS(D2919)))),"")))</f>
        <v>#NAME?</v>
      </c>
    </row>
    <row r="2921" spans="2:5" x14ac:dyDescent="0.25">
      <c r="B2921" t="e">
        <f t="shared" ca="1" si="91"/>
        <v>#NAME?</v>
      </c>
      <c r="C2921">
        <v>2878</v>
      </c>
      <c r="D2921" t="e">
        <f t="shared" ca="1" si="90"/>
        <v>#NAME?</v>
      </c>
      <c r="E2921" s="115" t="e">
        <f t="array" aca="1" ref="E2921" ca="1">IF(OR(C2920=0,AND(B2922=0,C2922=0)),"",IFERROR(INDEX($F$27:$F$36,MATCH(C2921,($F$27:$F$36)*($D$27:$D$36&lt;&gt;0),0)),IF(OR(AND(D2921=0,B2921=0,B2922&lt;&gt;0),AND(D2921*D2920&lt;0,B2921&lt;&gt;0)),IF(D2921=0,C2921,C2921*(1-ABS(D2921)/(ABS(D2921)+ABS(D2920)))+C2920*(1-ABS(D2920)/(ABS(D2921)+ABS(D2920)))),"")))</f>
        <v>#NAME?</v>
      </c>
    </row>
    <row r="2922" spans="2:5" x14ac:dyDescent="0.25">
      <c r="B2922" t="e">
        <f t="shared" ca="1" si="91"/>
        <v>#NAME?</v>
      </c>
      <c r="C2922">
        <v>2879</v>
      </c>
      <c r="D2922" t="e">
        <f t="shared" ca="1" si="90"/>
        <v>#NAME?</v>
      </c>
      <c r="E2922" s="115" t="e">
        <f t="array" aca="1" ref="E2922" ca="1">IF(OR(C2921=0,AND(B2923=0,C2923=0)),"",IFERROR(INDEX($F$27:$F$36,MATCH(C2922,($F$27:$F$36)*($D$27:$D$36&lt;&gt;0),0)),IF(OR(AND(D2922=0,B2922=0,B2923&lt;&gt;0),AND(D2922*D2921&lt;0,B2922&lt;&gt;0)),IF(D2922=0,C2922,C2922*(1-ABS(D2922)/(ABS(D2922)+ABS(D2921)))+C2921*(1-ABS(D2921)/(ABS(D2922)+ABS(D2921)))),"")))</f>
        <v>#NAME?</v>
      </c>
    </row>
    <row r="2923" spans="2:5" x14ac:dyDescent="0.25">
      <c r="B2923" t="e">
        <f t="shared" ca="1" si="91"/>
        <v>#NAME?</v>
      </c>
      <c r="C2923">
        <v>2880</v>
      </c>
      <c r="D2923" t="e">
        <f t="shared" ref="D2923:D2986" ca="1" si="92">SUMPRODUCT(--($J$27:$J$37&gt;0),--($C2923-$F$27:$F$37&gt;0),($D$27:$D$37),($C2923-$F$27:$F$37))+SUMPRODUCT(--($J$27:$J$37&lt;0),--($F$27:$F$37-$C2923&gt;0),($D$27:$D$37),($F$27:$F$37-$C2923))-SUMPRODUCT($D$27:$D$37,$E$27:$E$37)</f>
        <v>#NAME?</v>
      </c>
      <c r="E2923" s="115" t="e">
        <f t="array" aca="1" ref="E2923" ca="1">IF(OR(C2922=0,AND(B2924=0,C2924=0)),"",IFERROR(INDEX($F$27:$F$36,MATCH(C2923,($F$27:$F$36)*($D$27:$D$36&lt;&gt;0),0)),IF(OR(AND(D2923=0,B2923=0,B2924&lt;&gt;0),AND(D2923*D2922&lt;0,B2923&lt;&gt;0)),IF(D2923=0,C2923,C2923*(1-ABS(D2923)/(ABS(D2923)+ABS(D2922)))+C2922*(1-ABS(D2922)/(ABS(D2923)+ABS(D2922)))),"")))</f>
        <v>#NAME?</v>
      </c>
    </row>
    <row r="2924" spans="2:5" x14ac:dyDescent="0.25">
      <c r="B2924" t="e">
        <f t="shared" ref="B2924:B2987" ca="1" si="93">ROUND((D2924-D2923)/(C2924-C2923),12)</f>
        <v>#NAME?</v>
      </c>
      <c r="C2924">
        <v>2881</v>
      </c>
      <c r="D2924" t="e">
        <f t="shared" ca="1" si="92"/>
        <v>#NAME?</v>
      </c>
      <c r="E2924" s="115" t="e">
        <f t="array" aca="1" ref="E2924" ca="1">IF(OR(C2923=0,AND(B2925=0,C2925=0)),"",IFERROR(INDEX($F$27:$F$36,MATCH(C2924,($F$27:$F$36)*($D$27:$D$36&lt;&gt;0),0)),IF(OR(AND(D2924=0,B2924=0,B2925&lt;&gt;0),AND(D2924*D2923&lt;0,B2924&lt;&gt;0)),IF(D2924=0,C2924,C2924*(1-ABS(D2924)/(ABS(D2924)+ABS(D2923)))+C2923*(1-ABS(D2923)/(ABS(D2924)+ABS(D2923)))),"")))</f>
        <v>#NAME?</v>
      </c>
    </row>
    <row r="2925" spans="2:5" x14ac:dyDescent="0.25">
      <c r="B2925" t="e">
        <f t="shared" ca="1" si="93"/>
        <v>#NAME?</v>
      </c>
      <c r="C2925">
        <v>2882</v>
      </c>
      <c r="D2925" t="e">
        <f t="shared" ca="1" si="92"/>
        <v>#NAME?</v>
      </c>
      <c r="E2925" s="115" t="e">
        <f t="array" aca="1" ref="E2925" ca="1">IF(OR(C2924=0,AND(B2926=0,C2926=0)),"",IFERROR(INDEX($F$27:$F$36,MATCH(C2925,($F$27:$F$36)*($D$27:$D$36&lt;&gt;0),0)),IF(OR(AND(D2925=0,B2925=0,B2926&lt;&gt;0),AND(D2925*D2924&lt;0,B2925&lt;&gt;0)),IF(D2925=0,C2925,C2925*(1-ABS(D2925)/(ABS(D2925)+ABS(D2924)))+C2924*(1-ABS(D2924)/(ABS(D2925)+ABS(D2924)))),"")))</f>
        <v>#NAME?</v>
      </c>
    </row>
    <row r="2926" spans="2:5" x14ac:dyDescent="0.25">
      <c r="B2926" t="e">
        <f t="shared" ca="1" si="93"/>
        <v>#NAME?</v>
      </c>
      <c r="C2926">
        <v>2883</v>
      </c>
      <c r="D2926" t="e">
        <f t="shared" ca="1" si="92"/>
        <v>#NAME?</v>
      </c>
      <c r="E2926" s="115" t="e">
        <f t="array" aca="1" ref="E2926" ca="1">IF(OR(C2925=0,AND(B2927=0,C2927=0)),"",IFERROR(INDEX($F$27:$F$36,MATCH(C2926,($F$27:$F$36)*($D$27:$D$36&lt;&gt;0),0)),IF(OR(AND(D2926=0,B2926=0,B2927&lt;&gt;0),AND(D2926*D2925&lt;0,B2926&lt;&gt;0)),IF(D2926=0,C2926,C2926*(1-ABS(D2926)/(ABS(D2926)+ABS(D2925)))+C2925*(1-ABS(D2925)/(ABS(D2926)+ABS(D2925)))),"")))</f>
        <v>#NAME?</v>
      </c>
    </row>
    <row r="2927" spans="2:5" x14ac:dyDescent="0.25">
      <c r="B2927" t="e">
        <f t="shared" ca="1" si="93"/>
        <v>#NAME?</v>
      </c>
      <c r="C2927">
        <v>2884</v>
      </c>
      <c r="D2927" t="e">
        <f t="shared" ca="1" si="92"/>
        <v>#NAME?</v>
      </c>
      <c r="E2927" s="115" t="e">
        <f t="array" aca="1" ref="E2927" ca="1">IF(OR(C2926=0,AND(B2928=0,C2928=0)),"",IFERROR(INDEX($F$27:$F$36,MATCH(C2927,($F$27:$F$36)*($D$27:$D$36&lt;&gt;0),0)),IF(OR(AND(D2927=0,B2927=0,B2928&lt;&gt;0),AND(D2927*D2926&lt;0,B2927&lt;&gt;0)),IF(D2927=0,C2927,C2927*(1-ABS(D2927)/(ABS(D2927)+ABS(D2926)))+C2926*(1-ABS(D2926)/(ABS(D2927)+ABS(D2926)))),"")))</f>
        <v>#NAME?</v>
      </c>
    </row>
    <row r="2928" spans="2:5" x14ac:dyDescent="0.25">
      <c r="B2928" t="e">
        <f t="shared" ca="1" si="93"/>
        <v>#NAME?</v>
      </c>
      <c r="C2928">
        <v>2885</v>
      </c>
      <c r="D2928" t="e">
        <f t="shared" ca="1" si="92"/>
        <v>#NAME?</v>
      </c>
      <c r="E2928" s="115" t="e">
        <f t="array" aca="1" ref="E2928" ca="1">IF(OR(C2927=0,AND(B2929=0,C2929=0)),"",IFERROR(INDEX($F$27:$F$36,MATCH(C2928,($F$27:$F$36)*($D$27:$D$36&lt;&gt;0),0)),IF(OR(AND(D2928=0,B2928=0,B2929&lt;&gt;0),AND(D2928*D2927&lt;0,B2928&lt;&gt;0)),IF(D2928=0,C2928,C2928*(1-ABS(D2928)/(ABS(D2928)+ABS(D2927)))+C2927*(1-ABS(D2927)/(ABS(D2928)+ABS(D2927)))),"")))</f>
        <v>#NAME?</v>
      </c>
    </row>
    <row r="2929" spans="2:5" x14ac:dyDescent="0.25">
      <c r="B2929" t="e">
        <f t="shared" ca="1" si="93"/>
        <v>#NAME?</v>
      </c>
      <c r="C2929">
        <v>2886</v>
      </c>
      <c r="D2929" t="e">
        <f t="shared" ca="1" si="92"/>
        <v>#NAME?</v>
      </c>
      <c r="E2929" s="115" t="e">
        <f t="array" aca="1" ref="E2929" ca="1">IF(OR(C2928=0,AND(B2930=0,C2930=0)),"",IFERROR(INDEX($F$27:$F$36,MATCH(C2929,($F$27:$F$36)*($D$27:$D$36&lt;&gt;0),0)),IF(OR(AND(D2929=0,B2929=0,B2930&lt;&gt;0),AND(D2929*D2928&lt;0,B2929&lt;&gt;0)),IF(D2929=0,C2929,C2929*(1-ABS(D2929)/(ABS(D2929)+ABS(D2928)))+C2928*(1-ABS(D2928)/(ABS(D2929)+ABS(D2928)))),"")))</f>
        <v>#NAME?</v>
      </c>
    </row>
    <row r="2930" spans="2:5" x14ac:dyDescent="0.25">
      <c r="B2930" t="e">
        <f t="shared" ca="1" si="93"/>
        <v>#NAME?</v>
      </c>
      <c r="C2930">
        <v>2887</v>
      </c>
      <c r="D2930" t="e">
        <f t="shared" ca="1" si="92"/>
        <v>#NAME?</v>
      </c>
      <c r="E2930" s="115" t="e">
        <f t="array" aca="1" ref="E2930" ca="1">IF(OR(C2929=0,AND(B2931=0,C2931=0)),"",IFERROR(INDEX($F$27:$F$36,MATCH(C2930,($F$27:$F$36)*($D$27:$D$36&lt;&gt;0),0)),IF(OR(AND(D2930=0,B2930=0,B2931&lt;&gt;0),AND(D2930*D2929&lt;0,B2930&lt;&gt;0)),IF(D2930=0,C2930,C2930*(1-ABS(D2930)/(ABS(D2930)+ABS(D2929)))+C2929*(1-ABS(D2929)/(ABS(D2930)+ABS(D2929)))),"")))</f>
        <v>#NAME?</v>
      </c>
    </row>
    <row r="2931" spans="2:5" x14ac:dyDescent="0.25">
      <c r="B2931" t="e">
        <f t="shared" ca="1" si="93"/>
        <v>#NAME?</v>
      </c>
      <c r="C2931">
        <v>2888</v>
      </c>
      <c r="D2931" t="e">
        <f t="shared" ca="1" si="92"/>
        <v>#NAME?</v>
      </c>
      <c r="E2931" s="115" t="e">
        <f t="array" aca="1" ref="E2931" ca="1">IF(OR(C2930=0,AND(B2932=0,C2932=0)),"",IFERROR(INDEX($F$27:$F$36,MATCH(C2931,($F$27:$F$36)*($D$27:$D$36&lt;&gt;0),0)),IF(OR(AND(D2931=0,B2931=0,B2932&lt;&gt;0),AND(D2931*D2930&lt;0,B2931&lt;&gt;0)),IF(D2931=0,C2931,C2931*(1-ABS(D2931)/(ABS(D2931)+ABS(D2930)))+C2930*(1-ABS(D2930)/(ABS(D2931)+ABS(D2930)))),"")))</f>
        <v>#NAME?</v>
      </c>
    </row>
    <row r="2932" spans="2:5" x14ac:dyDescent="0.25">
      <c r="B2932" t="e">
        <f t="shared" ca="1" si="93"/>
        <v>#NAME?</v>
      </c>
      <c r="C2932">
        <v>2889</v>
      </c>
      <c r="D2932" t="e">
        <f t="shared" ca="1" si="92"/>
        <v>#NAME?</v>
      </c>
      <c r="E2932" s="115" t="e">
        <f t="array" aca="1" ref="E2932" ca="1">IF(OR(C2931=0,AND(B2933=0,C2933=0)),"",IFERROR(INDEX($F$27:$F$36,MATCH(C2932,($F$27:$F$36)*($D$27:$D$36&lt;&gt;0),0)),IF(OR(AND(D2932=0,B2932=0,B2933&lt;&gt;0),AND(D2932*D2931&lt;0,B2932&lt;&gt;0)),IF(D2932=0,C2932,C2932*(1-ABS(D2932)/(ABS(D2932)+ABS(D2931)))+C2931*(1-ABS(D2931)/(ABS(D2932)+ABS(D2931)))),"")))</f>
        <v>#NAME?</v>
      </c>
    </row>
    <row r="2933" spans="2:5" x14ac:dyDescent="0.25">
      <c r="B2933" t="e">
        <f t="shared" ca="1" si="93"/>
        <v>#NAME?</v>
      </c>
      <c r="C2933">
        <v>2890</v>
      </c>
      <c r="D2933" t="e">
        <f t="shared" ca="1" si="92"/>
        <v>#NAME?</v>
      </c>
      <c r="E2933" s="115" t="e">
        <f t="array" aca="1" ref="E2933" ca="1">IF(OR(C2932=0,AND(B2934=0,C2934=0)),"",IFERROR(INDEX($F$27:$F$36,MATCH(C2933,($F$27:$F$36)*($D$27:$D$36&lt;&gt;0),0)),IF(OR(AND(D2933=0,B2933=0,B2934&lt;&gt;0),AND(D2933*D2932&lt;0,B2933&lt;&gt;0)),IF(D2933=0,C2933,C2933*(1-ABS(D2933)/(ABS(D2933)+ABS(D2932)))+C2932*(1-ABS(D2932)/(ABS(D2933)+ABS(D2932)))),"")))</f>
        <v>#NAME?</v>
      </c>
    </row>
    <row r="2934" spans="2:5" x14ac:dyDescent="0.25">
      <c r="B2934" t="e">
        <f t="shared" ca="1" si="93"/>
        <v>#NAME?</v>
      </c>
      <c r="C2934">
        <v>2891</v>
      </c>
      <c r="D2934" t="e">
        <f t="shared" ca="1" si="92"/>
        <v>#NAME?</v>
      </c>
      <c r="E2934" s="115" t="e">
        <f t="array" aca="1" ref="E2934" ca="1">IF(OR(C2933=0,AND(B2935=0,C2935=0)),"",IFERROR(INDEX($F$27:$F$36,MATCH(C2934,($F$27:$F$36)*($D$27:$D$36&lt;&gt;0),0)),IF(OR(AND(D2934=0,B2934=0,B2935&lt;&gt;0),AND(D2934*D2933&lt;0,B2934&lt;&gt;0)),IF(D2934=0,C2934,C2934*(1-ABS(D2934)/(ABS(D2934)+ABS(D2933)))+C2933*(1-ABS(D2933)/(ABS(D2934)+ABS(D2933)))),"")))</f>
        <v>#NAME?</v>
      </c>
    </row>
    <row r="2935" spans="2:5" x14ac:dyDescent="0.25">
      <c r="B2935" t="e">
        <f t="shared" ca="1" si="93"/>
        <v>#NAME?</v>
      </c>
      <c r="C2935">
        <v>2892</v>
      </c>
      <c r="D2935" t="e">
        <f t="shared" ca="1" si="92"/>
        <v>#NAME?</v>
      </c>
      <c r="E2935" s="115" t="e">
        <f t="array" aca="1" ref="E2935" ca="1">IF(OR(C2934=0,AND(B2936=0,C2936=0)),"",IFERROR(INDEX($F$27:$F$36,MATCH(C2935,($F$27:$F$36)*($D$27:$D$36&lt;&gt;0),0)),IF(OR(AND(D2935=0,B2935=0,B2936&lt;&gt;0),AND(D2935*D2934&lt;0,B2935&lt;&gt;0)),IF(D2935=0,C2935,C2935*(1-ABS(D2935)/(ABS(D2935)+ABS(D2934)))+C2934*(1-ABS(D2934)/(ABS(D2935)+ABS(D2934)))),"")))</f>
        <v>#NAME?</v>
      </c>
    </row>
    <row r="2936" spans="2:5" x14ac:dyDescent="0.25">
      <c r="B2936" t="e">
        <f t="shared" ca="1" si="93"/>
        <v>#NAME?</v>
      </c>
      <c r="C2936">
        <v>2893</v>
      </c>
      <c r="D2936" t="e">
        <f t="shared" ca="1" si="92"/>
        <v>#NAME?</v>
      </c>
      <c r="E2936" s="115" t="e">
        <f t="array" aca="1" ref="E2936" ca="1">IF(OR(C2935=0,AND(B2937=0,C2937=0)),"",IFERROR(INDEX($F$27:$F$36,MATCH(C2936,($F$27:$F$36)*($D$27:$D$36&lt;&gt;0),0)),IF(OR(AND(D2936=0,B2936=0,B2937&lt;&gt;0),AND(D2936*D2935&lt;0,B2936&lt;&gt;0)),IF(D2936=0,C2936,C2936*(1-ABS(D2936)/(ABS(D2936)+ABS(D2935)))+C2935*(1-ABS(D2935)/(ABS(D2936)+ABS(D2935)))),"")))</f>
        <v>#NAME?</v>
      </c>
    </row>
    <row r="2937" spans="2:5" x14ac:dyDescent="0.25">
      <c r="B2937" t="e">
        <f t="shared" ca="1" si="93"/>
        <v>#NAME?</v>
      </c>
      <c r="C2937">
        <v>2894</v>
      </c>
      <c r="D2937" t="e">
        <f t="shared" ca="1" si="92"/>
        <v>#NAME?</v>
      </c>
      <c r="E2937" s="115" t="e">
        <f t="array" aca="1" ref="E2937" ca="1">IF(OR(C2936=0,AND(B2938=0,C2938=0)),"",IFERROR(INDEX($F$27:$F$36,MATCH(C2937,($F$27:$F$36)*($D$27:$D$36&lt;&gt;0),0)),IF(OR(AND(D2937=0,B2937=0,B2938&lt;&gt;0),AND(D2937*D2936&lt;0,B2937&lt;&gt;0)),IF(D2937=0,C2937,C2937*(1-ABS(D2937)/(ABS(D2937)+ABS(D2936)))+C2936*(1-ABS(D2936)/(ABS(D2937)+ABS(D2936)))),"")))</f>
        <v>#NAME?</v>
      </c>
    </row>
    <row r="2938" spans="2:5" x14ac:dyDescent="0.25">
      <c r="B2938" t="e">
        <f t="shared" ca="1" si="93"/>
        <v>#NAME?</v>
      </c>
      <c r="C2938">
        <v>2895</v>
      </c>
      <c r="D2938" t="e">
        <f t="shared" ca="1" si="92"/>
        <v>#NAME?</v>
      </c>
      <c r="E2938" s="115" t="e">
        <f t="array" aca="1" ref="E2938" ca="1">IF(OR(C2937=0,AND(B2939=0,C2939=0)),"",IFERROR(INDEX($F$27:$F$36,MATCH(C2938,($F$27:$F$36)*($D$27:$D$36&lt;&gt;0),0)),IF(OR(AND(D2938=0,B2938=0,B2939&lt;&gt;0),AND(D2938*D2937&lt;0,B2938&lt;&gt;0)),IF(D2938=0,C2938,C2938*(1-ABS(D2938)/(ABS(D2938)+ABS(D2937)))+C2937*(1-ABS(D2937)/(ABS(D2938)+ABS(D2937)))),"")))</f>
        <v>#NAME?</v>
      </c>
    </row>
    <row r="2939" spans="2:5" x14ac:dyDescent="0.25">
      <c r="B2939" t="e">
        <f t="shared" ca="1" si="93"/>
        <v>#NAME?</v>
      </c>
      <c r="C2939">
        <v>2896</v>
      </c>
      <c r="D2939" t="e">
        <f t="shared" ca="1" si="92"/>
        <v>#NAME?</v>
      </c>
      <c r="E2939" s="115" t="e">
        <f t="array" aca="1" ref="E2939" ca="1">IF(OR(C2938=0,AND(B2940=0,C2940=0)),"",IFERROR(INDEX($F$27:$F$36,MATCH(C2939,($F$27:$F$36)*($D$27:$D$36&lt;&gt;0),0)),IF(OR(AND(D2939=0,B2939=0,B2940&lt;&gt;0),AND(D2939*D2938&lt;0,B2939&lt;&gt;0)),IF(D2939=0,C2939,C2939*(1-ABS(D2939)/(ABS(D2939)+ABS(D2938)))+C2938*(1-ABS(D2938)/(ABS(D2939)+ABS(D2938)))),"")))</f>
        <v>#NAME?</v>
      </c>
    </row>
    <row r="2940" spans="2:5" x14ac:dyDescent="0.25">
      <c r="B2940" t="e">
        <f t="shared" ca="1" si="93"/>
        <v>#NAME?</v>
      </c>
      <c r="C2940">
        <v>2897</v>
      </c>
      <c r="D2940" t="e">
        <f t="shared" ca="1" si="92"/>
        <v>#NAME?</v>
      </c>
      <c r="E2940" s="115" t="e">
        <f t="array" aca="1" ref="E2940" ca="1">IF(OR(C2939=0,AND(B2941=0,C2941=0)),"",IFERROR(INDEX($F$27:$F$36,MATCH(C2940,($F$27:$F$36)*($D$27:$D$36&lt;&gt;0),0)),IF(OR(AND(D2940=0,B2940=0,B2941&lt;&gt;0),AND(D2940*D2939&lt;0,B2940&lt;&gt;0)),IF(D2940=0,C2940,C2940*(1-ABS(D2940)/(ABS(D2940)+ABS(D2939)))+C2939*(1-ABS(D2939)/(ABS(D2940)+ABS(D2939)))),"")))</f>
        <v>#NAME?</v>
      </c>
    </row>
    <row r="2941" spans="2:5" x14ac:dyDescent="0.25">
      <c r="B2941" t="e">
        <f t="shared" ca="1" si="93"/>
        <v>#NAME?</v>
      </c>
      <c r="C2941">
        <v>2898</v>
      </c>
      <c r="D2941" t="e">
        <f t="shared" ca="1" si="92"/>
        <v>#NAME?</v>
      </c>
      <c r="E2941" s="115" t="e">
        <f t="array" aca="1" ref="E2941" ca="1">IF(OR(C2940=0,AND(B2942=0,C2942=0)),"",IFERROR(INDEX($F$27:$F$36,MATCH(C2941,($F$27:$F$36)*($D$27:$D$36&lt;&gt;0),0)),IF(OR(AND(D2941=0,B2941=0,B2942&lt;&gt;0),AND(D2941*D2940&lt;0,B2941&lt;&gt;0)),IF(D2941=0,C2941,C2941*(1-ABS(D2941)/(ABS(D2941)+ABS(D2940)))+C2940*(1-ABS(D2940)/(ABS(D2941)+ABS(D2940)))),"")))</f>
        <v>#NAME?</v>
      </c>
    </row>
    <row r="2942" spans="2:5" x14ac:dyDescent="0.25">
      <c r="B2942" t="e">
        <f t="shared" ca="1" si="93"/>
        <v>#NAME?</v>
      </c>
      <c r="C2942">
        <v>2899</v>
      </c>
      <c r="D2942" t="e">
        <f t="shared" ca="1" si="92"/>
        <v>#NAME?</v>
      </c>
      <c r="E2942" s="115" t="e">
        <f t="array" aca="1" ref="E2942" ca="1">IF(OR(C2941=0,AND(B2943=0,C2943=0)),"",IFERROR(INDEX($F$27:$F$36,MATCH(C2942,($F$27:$F$36)*($D$27:$D$36&lt;&gt;0),0)),IF(OR(AND(D2942=0,B2942=0,B2943&lt;&gt;0),AND(D2942*D2941&lt;0,B2942&lt;&gt;0)),IF(D2942=0,C2942,C2942*(1-ABS(D2942)/(ABS(D2942)+ABS(D2941)))+C2941*(1-ABS(D2941)/(ABS(D2942)+ABS(D2941)))),"")))</f>
        <v>#NAME?</v>
      </c>
    </row>
    <row r="2943" spans="2:5" x14ac:dyDescent="0.25">
      <c r="B2943" t="e">
        <f t="shared" ca="1" si="93"/>
        <v>#NAME?</v>
      </c>
      <c r="C2943">
        <v>2900</v>
      </c>
      <c r="D2943" t="e">
        <f t="shared" ca="1" si="92"/>
        <v>#NAME?</v>
      </c>
      <c r="E2943" s="115" t="e">
        <f t="array" aca="1" ref="E2943" ca="1">IF(OR(C2942=0,AND(B2944=0,C2944=0)),"",IFERROR(INDEX($F$27:$F$36,MATCH(C2943,($F$27:$F$36)*($D$27:$D$36&lt;&gt;0),0)),IF(OR(AND(D2943=0,B2943=0,B2944&lt;&gt;0),AND(D2943*D2942&lt;0,B2943&lt;&gt;0)),IF(D2943=0,C2943,C2943*(1-ABS(D2943)/(ABS(D2943)+ABS(D2942)))+C2942*(1-ABS(D2942)/(ABS(D2943)+ABS(D2942)))),"")))</f>
        <v>#NAME?</v>
      </c>
    </row>
    <row r="2944" spans="2:5" x14ac:dyDescent="0.25">
      <c r="B2944" t="e">
        <f t="shared" ca="1" si="93"/>
        <v>#NAME?</v>
      </c>
      <c r="C2944">
        <v>2901</v>
      </c>
      <c r="D2944" t="e">
        <f t="shared" ca="1" si="92"/>
        <v>#NAME?</v>
      </c>
      <c r="E2944" s="115" t="e">
        <f t="array" aca="1" ref="E2944" ca="1">IF(OR(C2943=0,AND(B2945=0,C2945=0)),"",IFERROR(INDEX($F$27:$F$36,MATCH(C2944,($F$27:$F$36)*($D$27:$D$36&lt;&gt;0),0)),IF(OR(AND(D2944=0,B2944=0,B2945&lt;&gt;0),AND(D2944*D2943&lt;0,B2944&lt;&gt;0)),IF(D2944=0,C2944,C2944*(1-ABS(D2944)/(ABS(D2944)+ABS(D2943)))+C2943*(1-ABS(D2943)/(ABS(D2944)+ABS(D2943)))),"")))</f>
        <v>#NAME?</v>
      </c>
    </row>
    <row r="2945" spans="2:5" x14ac:dyDescent="0.25">
      <c r="B2945" t="e">
        <f t="shared" ca="1" si="93"/>
        <v>#NAME?</v>
      </c>
      <c r="C2945">
        <v>2902</v>
      </c>
      <c r="D2945" t="e">
        <f t="shared" ca="1" si="92"/>
        <v>#NAME?</v>
      </c>
      <c r="E2945" s="115" t="e">
        <f t="array" aca="1" ref="E2945" ca="1">IF(OR(C2944=0,AND(B2946=0,C2946=0)),"",IFERROR(INDEX($F$27:$F$36,MATCH(C2945,($F$27:$F$36)*($D$27:$D$36&lt;&gt;0),0)),IF(OR(AND(D2945=0,B2945=0,B2946&lt;&gt;0),AND(D2945*D2944&lt;0,B2945&lt;&gt;0)),IF(D2945=0,C2945,C2945*(1-ABS(D2945)/(ABS(D2945)+ABS(D2944)))+C2944*(1-ABS(D2944)/(ABS(D2945)+ABS(D2944)))),"")))</f>
        <v>#NAME?</v>
      </c>
    </row>
    <row r="2946" spans="2:5" x14ac:dyDescent="0.25">
      <c r="B2946" t="e">
        <f t="shared" ca="1" si="93"/>
        <v>#NAME?</v>
      </c>
      <c r="C2946">
        <v>2903</v>
      </c>
      <c r="D2946" t="e">
        <f t="shared" ca="1" si="92"/>
        <v>#NAME?</v>
      </c>
      <c r="E2946" s="115" t="e">
        <f t="array" aca="1" ref="E2946" ca="1">IF(OR(C2945=0,AND(B2947=0,C2947=0)),"",IFERROR(INDEX($F$27:$F$36,MATCH(C2946,($F$27:$F$36)*($D$27:$D$36&lt;&gt;0),0)),IF(OR(AND(D2946=0,B2946=0,B2947&lt;&gt;0),AND(D2946*D2945&lt;0,B2946&lt;&gt;0)),IF(D2946=0,C2946,C2946*(1-ABS(D2946)/(ABS(D2946)+ABS(D2945)))+C2945*(1-ABS(D2945)/(ABS(D2946)+ABS(D2945)))),"")))</f>
        <v>#NAME?</v>
      </c>
    </row>
    <row r="2947" spans="2:5" x14ac:dyDescent="0.25">
      <c r="B2947" t="e">
        <f t="shared" ca="1" si="93"/>
        <v>#NAME?</v>
      </c>
      <c r="C2947">
        <v>2904</v>
      </c>
      <c r="D2947" t="e">
        <f t="shared" ca="1" si="92"/>
        <v>#NAME?</v>
      </c>
      <c r="E2947" s="115" t="e">
        <f t="array" aca="1" ref="E2947" ca="1">IF(OR(C2946=0,AND(B2948=0,C2948=0)),"",IFERROR(INDEX($F$27:$F$36,MATCH(C2947,($F$27:$F$36)*($D$27:$D$36&lt;&gt;0),0)),IF(OR(AND(D2947=0,B2947=0,B2948&lt;&gt;0),AND(D2947*D2946&lt;0,B2947&lt;&gt;0)),IF(D2947=0,C2947,C2947*(1-ABS(D2947)/(ABS(D2947)+ABS(D2946)))+C2946*(1-ABS(D2946)/(ABS(D2947)+ABS(D2946)))),"")))</f>
        <v>#NAME?</v>
      </c>
    </row>
    <row r="2948" spans="2:5" x14ac:dyDescent="0.25">
      <c r="B2948" t="e">
        <f t="shared" ca="1" si="93"/>
        <v>#NAME?</v>
      </c>
      <c r="C2948">
        <v>2905</v>
      </c>
      <c r="D2948" t="e">
        <f t="shared" ca="1" si="92"/>
        <v>#NAME?</v>
      </c>
      <c r="E2948" s="115" t="e">
        <f t="array" aca="1" ref="E2948" ca="1">IF(OR(C2947=0,AND(B2949=0,C2949=0)),"",IFERROR(INDEX($F$27:$F$36,MATCH(C2948,($F$27:$F$36)*($D$27:$D$36&lt;&gt;0),0)),IF(OR(AND(D2948=0,B2948=0,B2949&lt;&gt;0),AND(D2948*D2947&lt;0,B2948&lt;&gt;0)),IF(D2948=0,C2948,C2948*(1-ABS(D2948)/(ABS(D2948)+ABS(D2947)))+C2947*(1-ABS(D2947)/(ABS(D2948)+ABS(D2947)))),"")))</f>
        <v>#NAME?</v>
      </c>
    </row>
    <row r="2949" spans="2:5" x14ac:dyDescent="0.25">
      <c r="B2949" t="e">
        <f t="shared" ca="1" si="93"/>
        <v>#NAME?</v>
      </c>
      <c r="C2949">
        <v>2906</v>
      </c>
      <c r="D2949" t="e">
        <f t="shared" ca="1" si="92"/>
        <v>#NAME?</v>
      </c>
      <c r="E2949" s="115" t="e">
        <f t="array" aca="1" ref="E2949" ca="1">IF(OR(C2948=0,AND(B2950=0,C2950=0)),"",IFERROR(INDEX($F$27:$F$36,MATCH(C2949,($F$27:$F$36)*($D$27:$D$36&lt;&gt;0),0)),IF(OR(AND(D2949=0,B2949=0,B2950&lt;&gt;0),AND(D2949*D2948&lt;0,B2949&lt;&gt;0)),IF(D2949=0,C2949,C2949*(1-ABS(D2949)/(ABS(D2949)+ABS(D2948)))+C2948*(1-ABS(D2948)/(ABS(D2949)+ABS(D2948)))),"")))</f>
        <v>#NAME?</v>
      </c>
    </row>
    <row r="2950" spans="2:5" x14ac:dyDescent="0.25">
      <c r="B2950" t="e">
        <f t="shared" ca="1" si="93"/>
        <v>#NAME?</v>
      </c>
      <c r="C2950">
        <v>2907</v>
      </c>
      <c r="D2950" t="e">
        <f t="shared" ca="1" si="92"/>
        <v>#NAME?</v>
      </c>
      <c r="E2950" s="115" t="e">
        <f t="array" aca="1" ref="E2950" ca="1">IF(OR(C2949=0,AND(B2951=0,C2951=0)),"",IFERROR(INDEX($F$27:$F$36,MATCH(C2950,($F$27:$F$36)*($D$27:$D$36&lt;&gt;0),0)),IF(OR(AND(D2950=0,B2950=0,B2951&lt;&gt;0),AND(D2950*D2949&lt;0,B2950&lt;&gt;0)),IF(D2950=0,C2950,C2950*(1-ABS(D2950)/(ABS(D2950)+ABS(D2949)))+C2949*(1-ABS(D2949)/(ABS(D2950)+ABS(D2949)))),"")))</f>
        <v>#NAME?</v>
      </c>
    </row>
    <row r="2951" spans="2:5" x14ac:dyDescent="0.25">
      <c r="B2951" t="e">
        <f t="shared" ca="1" si="93"/>
        <v>#NAME?</v>
      </c>
      <c r="C2951">
        <v>2908</v>
      </c>
      <c r="D2951" t="e">
        <f t="shared" ca="1" si="92"/>
        <v>#NAME?</v>
      </c>
      <c r="E2951" s="115" t="e">
        <f t="array" aca="1" ref="E2951" ca="1">IF(OR(C2950=0,AND(B2952=0,C2952=0)),"",IFERROR(INDEX($F$27:$F$36,MATCH(C2951,($F$27:$F$36)*($D$27:$D$36&lt;&gt;0),0)),IF(OR(AND(D2951=0,B2951=0,B2952&lt;&gt;0),AND(D2951*D2950&lt;0,B2951&lt;&gt;0)),IF(D2951=0,C2951,C2951*(1-ABS(D2951)/(ABS(D2951)+ABS(D2950)))+C2950*(1-ABS(D2950)/(ABS(D2951)+ABS(D2950)))),"")))</f>
        <v>#NAME?</v>
      </c>
    </row>
    <row r="2952" spans="2:5" x14ac:dyDescent="0.25">
      <c r="B2952" t="e">
        <f t="shared" ca="1" si="93"/>
        <v>#NAME?</v>
      </c>
      <c r="C2952">
        <v>2909</v>
      </c>
      <c r="D2952" t="e">
        <f t="shared" ca="1" si="92"/>
        <v>#NAME?</v>
      </c>
      <c r="E2952" s="115" t="e">
        <f t="array" aca="1" ref="E2952" ca="1">IF(OR(C2951=0,AND(B2953=0,C2953=0)),"",IFERROR(INDEX($F$27:$F$36,MATCH(C2952,($F$27:$F$36)*($D$27:$D$36&lt;&gt;0),0)),IF(OR(AND(D2952=0,B2952=0,B2953&lt;&gt;0),AND(D2952*D2951&lt;0,B2952&lt;&gt;0)),IF(D2952=0,C2952,C2952*(1-ABS(D2952)/(ABS(D2952)+ABS(D2951)))+C2951*(1-ABS(D2951)/(ABS(D2952)+ABS(D2951)))),"")))</f>
        <v>#NAME?</v>
      </c>
    </row>
    <row r="2953" spans="2:5" x14ac:dyDescent="0.25">
      <c r="B2953" t="e">
        <f t="shared" ca="1" si="93"/>
        <v>#NAME?</v>
      </c>
      <c r="C2953">
        <v>2910</v>
      </c>
      <c r="D2953" t="e">
        <f t="shared" ca="1" si="92"/>
        <v>#NAME?</v>
      </c>
      <c r="E2953" s="115" t="e">
        <f t="array" aca="1" ref="E2953" ca="1">IF(OR(C2952=0,AND(B2954=0,C2954=0)),"",IFERROR(INDEX($F$27:$F$36,MATCH(C2953,($F$27:$F$36)*($D$27:$D$36&lt;&gt;0),0)),IF(OR(AND(D2953=0,B2953=0,B2954&lt;&gt;0),AND(D2953*D2952&lt;0,B2953&lt;&gt;0)),IF(D2953=0,C2953,C2953*(1-ABS(D2953)/(ABS(D2953)+ABS(D2952)))+C2952*(1-ABS(D2952)/(ABS(D2953)+ABS(D2952)))),"")))</f>
        <v>#NAME?</v>
      </c>
    </row>
    <row r="2954" spans="2:5" x14ac:dyDescent="0.25">
      <c r="B2954" t="e">
        <f t="shared" ca="1" si="93"/>
        <v>#NAME?</v>
      </c>
      <c r="C2954">
        <v>2911</v>
      </c>
      <c r="D2954" t="e">
        <f t="shared" ca="1" si="92"/>
        <v>#NAME?</v>
      </c>
      <c r="E2954" s="115" t="e">
        <f t="array" aca="1" ref="E2954" ca="1">IF(OR(C2953=0,AND(B2955=0,C2955=0)),"",IFERROR(INDEX($F$27:$F$36,MATCH(C2954,($F$27:$F$36)*($D$27:$D$36&lt;&gt;0),0)),IF(OR(AND(D2954=0,B2954=0,B2955&lt;&gt;0),AND(D2954*D2953&lt;0,B2954&lt;&gt;0)),IF(D2954=0,C2954,C2954*(1-ABS(D2954)/(ABS(D2954)+ABS(D2953)))+C2953*(1-ABS(D2953)/(ABS(D2954)+ABS(D2953)))),"")))</f>
        <v>#NAME?</v>
      </c>
    </row>
    <row r="2955" spans="2:5" x14ac:dyDescent="0.25">
      <c r="B2955" t="e">
        <f t="shared" ca="1" si="93"/>
        <v>#NAME?</v>
      </c>
      <c r="C2955">
        <v>2912</v>
      </c>
      <c r="D2955" t="e">
        <f t="shared" ca="1" si="92"/>
        <v>#NAME?</v>
      </c>
      <c r="E2955" s="115" t="e">
        <f t="array" aca="1" ref="E2955" ca="1">IF(OR(C2954=0,AND(B2956=0,C2956=0)),"",IFERROR(INDEX($F$27:$F$36,MATCH(C2955,($F$27:$F$36)*($D$27:$D$36&lt;&gt;0),0)),IF(OR(AND(D2955=0,B2955=0,B2956&lt;&gt;0),AND(D2955*D2954&lt;0,B2955&lt;&gt;0)),IF(D2955=0,C2955,C2955*(1-ABS(D2955)/(ABS(D2955)+ABS(D2954)))+C2954*(1-ABS(D2954)/(ABS(D2955)+ABS(D2954)))),"")))</f>
        <v>#NAME?</v>
      </c>
    </row>
    <row r="2956" spans="2:5" x14ac:dyDescent="0.25">
      <c r="B2956" t="e">
        <f t="shared" ca="1" si="93"/>
        <v>#NAME?</v>
      </c>
      <c r="C2956">
        <v>2913</v>
      </c>
      <c r="D2956" t="e">
        <f t="shared" ca="1" si="92"/>
        <v>#NAME?</v>
      </c>
      <c r="E2956" s="115" t="e">
        <f t="array" aca="1" ref="E2956" ca="1">IF(OR(C2955=0,AND(B2957=0,C2957=0)),"",IFERROR(INDEX($F$27:$F$36,MATCH(C2956,($F$27:$F$36)*($D$27:$D$36&lt;&gt;0),0)),IF(OR(AND(D2956=0,B2956=0,B2957&lt;&gt;0),AND(D2956*D2955&lt;0,B2956&lt;&gt;0)),IF(D2956=0,C2956,C2956*(1-ABS(D2956)/(ABS(D2956)+ABS(D2955)))+C2955*(1-ABS(D2955)/(ABS(D2956)+ABS(D2955)))),"")))</f>
        <v>#NAME?</v>
      </c>
    </row>
    <row r="2957" spans="2:5" x14ac:dyDescent="0.25">
      <c r="B2957" t="e">
        <f t="shared" ca="1" si="93"/>
        <v>#NAME?</v>
      </c>
      <c r="C2957">
        <v>2914</v>
      </c>
      <c r="D2957" t="e">
        <f t="shared" ca="1" si="92"/>
        <v>#NAME?</v>
      </c>
      <c r="E2957" s="115" t="e">
        <f t="array" aca="1" ref="E2957" ca="1">IF(OR(C2956=0,AND(B2958=0,C2958=0)),"",IFERROR(INDEX($F$27:$F$36,MATCH(C2957,($F$27:$F$36)*($D$27:$D$36&lt;&gt;0),0)),IF(OR(AND(D2957=0,B2957=0,B2958&lt;&gt;0),AND(D2957*D2956&lt;0,B2957&lt;&gt;0)),IF(D2957=0,C2957,C2957*(1-ABS(D2957)/(ABS(D2957)+ABS(D2956)))+C2956*(1-ABS(D2956)/(ABS(D2957)+ABS(D2956)))),"")))</f>
        <v>#NAME?</v>
      </c>
    </row>
    <row r="2958" spans="2:5" x14ac:dyDescent="0.25">
      <c r="B2958" t="e">
        <f t="shared" ca="1" si="93"/>
        <v>#NAME?</v>
      </c>
      <c r="C2958">
        <v>2915</v>
      </c>
      <c r="D2958" t="e">
        <f t="shared" ca="1" si="92"/>
        <v>#NAME?</v>
      </c>
      <c r="E2958" s="115" t="e">
        <f t="array" aca="1" ref="E2958" ca="1">IF(OR(C2957=0,AND(B2959=0,C2959=0)),"",IFERROR(INDEX($F$27:$F$36,MATCH(C2958,($F$27:$F$36)*($D$27:$D$36&lt;&gt;0),0)),IF(OR(AND(D2958=0,B2958=0,B2959&lt;&gt;0),AND(D2958*D2957&lt;0,B2958&lt;&gt;0)),IF(D2958=0,C2958,C2958*(1-ABS(D2958)/(ABS(D2958)+ABS(D2957)))+C2957*(1-ABS(D2957)/(ABS(D2958)+ABS(D2957)))),"")))</f>
        <v>#NAME?</v>
      </c>
    </row>
    <row r="2959" spans="2:5" x14ac:dyDescent="0.25">
      <c r="B2959" t="e">
        <f t="shared" ca="1" si="93"/>
        <v>#NAME?</v>
      </c>
      <c r="C2959">
        <v>2916</v>
      </c>
      <c r="D2959" t="e">
        <f t="shared" ca="1" si="92"/>
        <v>#NAME?</v>
      </c>
      <c r="E2959" s="115" t="e">
        <f t="array" aca="1" ref="E2959" ca="1">IF(OR(C2958=0,AND(B2960=0,C2960=0)),"",IFERROR(INDEX($F$27:$F$36,MATCH(C2959,($F$27:$F$36)*($D$27:$D$36&lt;&gt;0),0)),IF(OR(AND(D2959=0,B2959=0,B2960&lt;&gt;0),AND(D2959*D2958&lt;0,B2959&lt;&gt;0)),IF(D2959=0,C2959,C2959*(1-ABS(D2959)/(ABS(D2959)+ABS(D2958)))+C2958*(1-ABS(D2958)/(ABS(D2959)+ABS(D2958)))),"")))</f>
        <v>#NAME?</v>
      </c>
    </row>
    <row r="2960" spans="2:5" x14ac:dyDescent="0.25">
      <c r="B2960" t="e">
        <f t="shared" ca="1" si="93"/>
        <v>#NAME?</v>
      </c>
      <c r="C2960">
        <v>2917</v>
      </c>
      <c r="D2960" t="e">
        <f t="shared" ca="1" si="92"/>
        <v>#NAME?</v>
      </c>
      <c r="E2960" s="115" t="e">
        <f t="array" aca="1" ref="E2960" ca="1">IF(OR(C2959=0,AND(B2961=0,C2961=0)),"",IFERROR(INDEX($F$27:$F$36,MATCH(C2960,($F$27:$F$36)*($D$27:$D$36&lt;&gt;0),0)),IF(OR(AND(D2960=0,B2960=0,B2961&lt;&gt;0),AND(D2960*D2959&lt;0,B2960&lt;&gt;0)),IF(D2960=0,C2960,C2960*(1-ABS(D2960)/(ABS(D2960)+ABS(D2959)))+C2959*(1-ABS(D2959)/(ABS(D2960)+ABS(D2959)))),"")))</f>
        <v>#NAME?</v>
      </c>
    </row>
    <row r="2961" spans="2:5" x14ac:dyDescent="0.25">
      <c r="B2961" t="e">
        <f t="shared" ca="1" si="93"/>
        <v>#NAME?</v>
      </c>
      <c r="C2961">
        <v>2918</v>
      </c>
      <c r="D2961" t="e">
        <f t="shared" ca="1" si="92"/>
        <v>#NAME?</v>
      </c>
      <c r="E2961" s="115" t="e">
        <f t="array" aca="1" ref="E2961" ca="1">IF(OR(C2960=0,AND(B2962=0,C2962=0)),"",IFERROR(INDEX($F$27:$F$36,MATCH(C2961,($F$27:$F$36)*($D$27:$D$36&lt;&gt;0),0)),IF(OR(AND(D2961=0,B2961=0,B2962&lt;&gt;0),AND(D2961*D2960&lt;0,B2961&lt;&gt;0)),IF(D2961=0,C2961,C2961*(1-ABS(D2961)/(ABS(D2961)+ABS(D2960)))+C2960*(1-ABS(D2960)/(ABS(D2961)+ABS(D2960)))),"")))</f>
        <v>#NAME?</v>
      </c>
    </row>
    <row r="2962" spans="2:5" x14ac:dyDescent="0.25">
      <c r="B2962" t="e">
        <f t="shared" ca="1" si="93"/>
        <v>#NAME?</v>
      </c>
      <c r="C2962">
        <v>2919</v>
      </c>
      <c r="D2962" t="e">
        <f t="shared" ca="1" si="92"/>
        <v>#NAME?</v>
      </c>
      <c r="E2962" s="115" t="e">
        <f t="array" aca="1" ref="E2962" ca="1">IF(OR(C2961=0,AND(B2963=0,C2963=0)),"",IFERROR(INDEX($F$27:$F$36,MATCH(C2962,($F$27:$F$36)*($D$27:$D$36&lt;&gt;0),0)),IF(OR(AND(D2962=0,B2962=0,B2963&lt;&gt;0),AND(D2962*D2961&lt;0,B2962&lt;&gt;0)),IF(D2962=0,C2962,C2962*(1-ABS(D2962)/(ABS(D2962)+ABS(D2961)))+C2961*(1-ABS(D2961)/(ABS(D2962)+ABS(D2961)))),"")))</f>
        <v>#NAME?</v>
      </c>
    </row>
    <row r="2963" spans="2:5" x14ac:dyDescent="0.25">
      <c r="B2963" t="e">
        <f t="shared" ca="1" si="93"/>
        <v>#NAME?</v>
      </c>
      <c r="C2963">
        <v>2920</v>
      </c>
      <c r="D2963" t="e">
        <f t="shared" ca="1" si="92"/>
        <v>#NAME?</v>
      </c>
      <c r="E2963" s="115" t="e">
        <f t="array" aca="1" ref="E2963" ca="1">IF(OR(C2962=0,AND(B2964=0,C2964=0)),"",IFERROR(INDEX($F$27:$F$36,MATCH(C2963,($F$27:$F$36)*($D$27:$D$36&lt;&gt;0),0)),IF(OR(AND(D2963=0,B2963=0,B2964&lt;&gt;0),AND(D2963*D2962&lt;0,B2963&lt;&gt;0)),IF(D2963=0,C2963,C2963*(1-ABS(D2963)/(ABS(D2963)+ABS(D2962)))+C2962*(1-ABS(D2962)/(ABS(D2963)+ABS(D2962)))),"")))</f>
        <v>#NAME?</v>
      </c>
    </row>
    <row r="2964" spans="2:5" x14ac:dyDescent="0.25">
      <c r="B2964" t="e">
        <f t="shared" ca="1" si="93"/>
        <v>#NAME?</v>
      </c>
      <c r="C2964">
        <v>2921</v>
      </c>
      <c r="D2964" t="e">
        <f t="shared" ca="1" si="92"/>
        <v>#NAME?</v>
      </c>
      <c r="E2964" s="115" t="e">
        <f t="array" aca="1" ref="E2964" ca="1">IF(OR(C2963=0,AND(B2965=0,C2965=0)),"",IFERROR(INDEX($F$27:$F$36,MATCH(C2964,($F$27:$F$36)*($D$27:$D$36&lt;&gt;0),0)),IF(OR(AND(D2964=0,B2964=0,B2965&lt;&gt;0),AND(D2964*D2963&lt;0,B2964&lt;&gt;0)),IF(D2964=0,C2964,C2964*(1-ABS(D2964)/(ABS(D2964)+ABS(D2963)))+C2963*(1-ABS(D2963)/(ABS(D2964)+ABS(D2963)))),"")))</f>
        <v>#NAME?</v>
      </c>
    </row>
    <row r="2965" spans="2:5" x14ac:dyDescent="0.25">
      <c r="B2965" t="e">
        <f t="shared" ca="1" si="93"/>
        <v>#NAME?</v>
      </c>
      <c r="C2965">
        <v>2922</v>
      </c>
      <c r="D2965" t="e">
        <f t="shared" ca="1" si="92"/>
        <v>#NAME?</v>
      </c>
      <c r="E2965" s="115" t="e">
        <f t="array" aca="1" ref="E2965" ca="1">IF(OR(C2964=0,AND(B2966=0,C2966=0)),"",IFERROR(INDEX($F$27:$F$36,MATCH(C2965,($F$27:$F$36)*($D$27:$D$36&lt;&gt;0),0)),IF(OR(AND(D2965=0,B2965=0,B2966&lt;&gt;0),AND(D2965*D2964&lt;0,B2965&lt;&gt;0)),IF(D2965=0,C2965,C2965*(1-ABS(D2965)/(ABS(D2965)+ABS(D2964)))+C2964*(1-ABS(D2964)/(ABS(D2965)+ABS(D2964)))),"")))</f>
        <v>#NAME?</v>
      </c>
    </row>
    <row r="2966" spans="2:5" x14ac:dyDescent="0.25">
      <c r="B2966" t="e">
        <f t="shared" ca="1" si="93"/>
        <v>#NAME?</v>
      </c>
      <c r="C2966">
        <v>2923</v>
      </c>
      <c r="D2966" t="e">
        <f t="shared" ca="1" si="92"/>
        <v>#NAME?</v>
      </c>
      <c r="E2966" s="115" t="e">
        <f t="array" aca="1" ref="E2966" ca="1">IF(OR(C2965=0,AND(B2967=0,C2967=0)),"",IFERROR(INDEX($F$27:$F$36,MATCH(C2966,($F$27:$F$36)*($D$27:$D$36&lt;&gt;0),0)),IF(OR(AND(D2966=0,B2966=0,B2967&lt;&gt;0),AND(D2966*D2965&lt;0,B2966&lt;&gt;0)),IF(D2966=0,C2966,C2966*(1-ABS(D2966)/(ABS(D2966)+ABS(D2965)))+C2965*(1-ABS(D2965)/(ABS(D2966)+ABS(D2965)))),"")))</f>
        <v>#NAME?</v>
      </c>
    </row>
    <row r="2967" spans="2:5" x14ac:dyDescent="0.25">
      <c r="B2967" t="e">
        <f t="shared" ca="1" si="93"/>
        <v>#NAME?</v>
      </c>
      <c r="C2967">
        <v>2924</v>
      </c>
      <c r="D2967" t="e">
        <f t="shared" ca="1" si="92"/>
        <v>#NAME?</v>
      </c>
      <c r="E2967" s="115" t="e">
        <f t="array" aca="1" ref="E2967" ca="1">IF(OR(C2966=0,AND(B2968=0,C2968=0)),"",IFERROR(INDEX($F$27:$F$36,MATCH(C2967,($F$27:$F$36)*($D$27:$D$36&lt;&gt;0),0)),IF(OR(AND(D2967=0,B2967=0,B2968&lt;&gt;0),AND(D2967*D2966&lt;0,B2967&lt;&gt;0)),IF(D2967=0,C2967,C2967*(1-ABS(D2967)/(ABS(D2967)+ABS(D2966)))+C2966*(1-ABS(D2966)/(ABS(D2967)+ABS(D2966)))),"")))</f>
        <v>#NAME?</v>
      </c>
    </row>
    <row r="2968" spans="2:5" x14ac:dyDescent="0.25">
      <c r="B2968" t="e">
        <f t="shared" ca="1" si="93"/>
        <v>#NAME?</v>
      </c>
      <c r="C2968">
        <v>2925</v>
      </c>
      <c r="D2968" t="e">
        <f t="shared" ca="1" si="92"/>
        <v>#NAME?</v>
      </c>
      <c r="E2968" s="115" t="e">
        <f t="array" aca="1" ref="E2968" ca="1">IF(OR(C2967=0,AND(B2969=0,C2969=0)),"",IFERROR(INDEX($F$27:$F$36,MATCH(C2968,($F$27:$F$36)*($D$27:$D$36&lt;&gt;0),0)),IF(OR(AND(D2968=0,B2968=0,B2969&lt;&gt;0),AND(D2968*D2967&lt;0,B2968&lt;&gt;0)),IF(D2968=0,C2968,C2968*(1-ABS(D2968)/(ABS(D2968)+ABS(D2967)))+C2967*(1-ABS(D2967)/(ABS(D2968)+ABS(D2967)))),"")))</f>
        <v>#NAME?</v>
      </c>
    </row>
    <row r="2969" spans="2:5" x14ac:dyDescent="0.25">
      <c r="B2969" t="e">
        <f t="shared" ca="1" si="93"/>
        <v>#NAME?</v>
      </c>
      <c r="C2969">
        <v>2926</v>
      </c>
      <c r="D2969" t="e">
        <f t="shared" ca="1" si="92"/>
        <v>#NAME?</v>
      </c>
      <c r="E2969" s="115" t="e">
        <f t="array" aca="1" ref="E2969" ca="1">IF(OR(C2968=0,AND(B2970=0,C2970=0)),"",IFERROR(INDEX($F$27:$F$36,MATCH(C2969,($F$27:$F$36)*($D$27:$D$36&lt;&gt;0),0)),IF(OR(AND(D2969=0,B2969=0,B2970&lt;&gt;0),AND(D2969*D2968&lt;0,B2969&lt;&gt;0)),IF(D2969=0,C2969,C2969*(1-ABS(D2969)/(ABS(D2969)+ABS(D2968)))+C2968*(1-ABS(D2968)/(ABS(D2969)+ABS(D2968)))),"")))</f>
        <v>#NAME?</v>
      </c>
    </row>
    <row r="2970" spans="2:5" x14ac:dyDescent="0.25">
      <c r="B2970" t="e">
        <f t="shared" ca="1" si="93"/>
        <v>#NAME?</v>
      </c>
      <c r="C2970">
        <v>2927</v>
      </c>
      <c r="D2970" t="e">
        <f t="shared" ca="1" si="92"/>
        <v>#NAME?</v>
      </c>
      <c r="E2970" s="115" t="e">
        <f t="array" aca="1" ref="E2970" ca="1">IF(OR(C2969=0,AND(B2971=0,C2971=0)),"",IFERROR(INDEX($F$27:$F$36,MATCH(C2970,($F$27:$F$36)*($D$27:$D$36&lt;&gt;0),0)),IF(OR(AND(D2970=0,B2970=0,B2971&lt;&gt;0),AND(D2970*D2969&lt;0,B2970&lt;&gt;0)),IF(D2970=0,C2970,C2970*(1-ABS(D2970)/(ABS(D2970)+ABS(D2969)))+C2969*(1-ABS(D2969)/(ABS(D2970)+ABS(D2969)))),"")))</f>
        <v>#NAME?</v>
      </c>
    </row>
    <row r="2971" spans="2:5" x14ac:dyDescent="0.25">
      <c r="B2971" t="e">
        <f t="shared" ca="1" si="93"/>
        <v>#NAME?</v>
      </c>
      <c r="C2971">
        <v>2928</v>
      </c>
      <c r="D2971" t="e">
        <f t="shared" ca="1" si="92"/>
        <v>#NAME?</v>
      </c>
      <c r="E2971" s="115" t="e">
        <f t="array" aca="1" ref="E2971" ca="1">IF(OR(C2970=0,AND(B2972=0,C2972=0)),"",IFERROR(INDEX($F$27:$F$36,MATCH(C2971,($F$27:$F$36)*($D$27:$D$36&lt;&gt;0),0)),IF(OR(AND(D2971=0,B2971=0,B2972&lt;&gt;0),AND(D2971*D2970&lt;0,B2971&lt;&gt;0)),IF(D2971=0,C2971,C2971*(1-ABS(D2971)/(ABS(D2971)+ABS(D2970)))+C2970*(1-ABS(D2970)/(ABS(D2971)+ABS(D2970)))),"")))</f>
        <v>#NAME?</v>
      </c>
    </row>
    <row r="2972" spans="2:5" x14ac:dyDescent="0.25">
      <c r="B2972" t="e">
        <f t="shared" ca="1" si="93"/>
        <v>#NAME?</v>
      </c>
      <c r="C2972">
        <v>2929</v>
      </c>
      <c r="D2972" t="e">
        <f t="shared" ca="1" si="92"/>
        <v>#NAME?</v>
      </c>
      <c r="E2972" s="115" t="e">
        <f t="array" aca="1" ref="E2972" ca="1">IF(OR(C2971=0,AND(B2973=0,C2973=0)),"",IFERROR(INDEX($F$27:$F$36,MATCH(C2972,($F$27:$F$36)*($D$27:$D$36&lt;&gt;0),0)),IF(OR(AND(D2972=0,B2972=0,B2973&lt;&gt;0),AND(D2972*D2971&lt;0,B2972&lt;&gt;0)),IF(D2972=0,C2972,C2972*(1-ABS(D2972)/(ABS(D2972)+ABS(D2971)))+C2971*(1-ABS(D2971)/(ABS(D2972)+ABS(D2971)))),"")))</f>
        <v>#NAME?</v>
      </c>
    </row>
    <row r="2973" spans="2:5" x14ac:dyDescent="0.25">
      <c r="B2973" t="e">
        <f t="shared" ca="1" si="93"/>
        <v>#NAME?</v>
      </c>
      <c r="C2973">
        <v>2930</v>
      </c>
      <c r="D2973" t="e">
        <f t="shared" ca="1" si="92"/>
        <v>#NAME?</v>
      </c>
      <c r="E2973" s="115" t="e">
        <f t="array" aca="1" ref="E2973" ca="1">IF(OR(C2972=0,AND(B2974=0,C2974=0)),"",IFERROR(INDEX($F$27:$F$36,MATCH(C2973,($F$27:$F$36)*($D$27:$D$36&lt;&gt;0),0)),IF(OR(AND(D2973=0,B2973=0,B2974&lt;&gt;0),AND(D2973*D2972&lt;0,B2973&lt;&gt;0)),IF(D2973=0,C2973,C2973*(1-ABS(D2973)/(ABS(D2973)+ABS(D2972)))+C2972*(1-ABS(D2972)/(ABS(D2973)+ABS(D2972)))),"")))</f>
        <v>#NAME?</v>
      </c>
    </row>
    <row r="2974" spans="2:5" x14ac:dyDescent="0.25">
      <c r="B2974" t="e">
        <f t="shared" ca="1" si="93"/>
        <v>#NAME?</v>
      </c>
      <c r="C2974">
        <v>2931</v>
      </c>
      <c r="D2974" t="e">
        <f t="shared" ca="1" si="92"/>
        <v>#NAME?</v>
      </c>
      <c r="E2974" s="115" t="e">
        <f t="array" aca="1" ref="E2974" ca="1">IF(OR(C2973=0,AND(B2975=0,C2975=0)),"",IFERROR(INDEX($F$27:$F$36,MATCH(C2974,($F$27:$F$36)*($D$27:$D$36&lt;&gt;0),0)),IF(OR(AND(D2974=0,B2974=0,B2975&lt;&gt;0),AND(D2974*D2973&lt;0,B2974&lt;&gt;0)),IF(D2974=0,C2974,C2974*(1-ABS(D2974)/(ABS(D2974)+ABS(D2973)))+C2973*(1-ABS(D2973)/(ABS(D2974)+ABS(D2973)))),"")))</f>
        <v>#NAME?</v>
      </c>
    </row>
    <row r="2975" spans="2:5" x14ac:dyDescent="0.25">
      <c r="B2975" t="e">
        <f t="shared" ca="1" si="93"/>
        <v>#NAME?</v>
      </c>
      <c r="C2975">
        <v>2932</v>
      </c>
      <c r="D2975" t="e">
        <f t="shared" ca="1" si="92"/>
        <v>#NAME?</v>
      </c>
      <c r="E2975" s="115" t="e">
        <f t="array" aca="1" ref="E2975" ca="1">IF(OR(C2974=0,AND(B2976=0,C2976=0)),"",IFERROR(INDEX($F$27:$F$36,MATCH(C2975,($F$27:$F$36)*($D$27:$D$36&lt;&gt;0),0)),IF(OR(AND(D2975=0,B2975=0,B2976&lt;&gt;0),AND(D2975*D2974&lt;0,B2975&lt;&gt;0)),IF(D2975=0,C2975,C2975*(1-ABS(D2975)/(ABS(D2975)+ABS(D2974)))+C2974*(1-ABS(D2974)/(ABS(D2975)+ABS(D2974)))),"")))</f>
        <v>#NAME?</v>
      </c>
    </row>
    <row r="2976" spans="2:5" x14ac:dyDescent="0.25">
      <c r="B2976" t="e">
        <f t="shared" ca="1" si="93"/>
        <v>#NAME?</v>
      </c>
      <c r="C2976">
        <v>2933</v>
      </c>
      <c r="D2976" t="e">
        <f t="shared" ca="1" si="92"/>
        <v>#NAME?</v>
      </c>
      <c r="E2976" s="115" t="e">
        <f t="array" aca="1" ref="E2976" ca="1">IF(OR(C2975=0,AND(B2977=0,C2977=0)),"",IFERROR(INDEX($F$27:$F$36,MATCH(C2976,($F$27:$F$36)*($D$27:$D$36&lt;&gt;0),0)),IF(OR(AND(D2976=0,B2976=0,B2977&lt;&gt;0),AND(D2976*D2975&lt;0,B2976&lt;&gt;0)),IF(D2976=0,C2976,C2976*(1-ABS(D2976)/(ABS(D2976)+ABS(D2975)))+C2975*(1-ABS(D2975)/(ABS(D2976)+ABS(D2975)))),"")))</f>
        <v>#NAME?</v>
      </c>
    </row>
    <row r="2977" spans="2:5" x14ac:dyDescent="0.25">
      <c r="B2977" t="e">
        <f t="shared" ca="1" si="93"/>
        <v>#NAME?</v>
      </c>
      <c r="C2977">
        <v>2934</v>
      </c>
      <c r="D2977" t="e">
        <f t="shared" ca="1" si="92"/>
        <v>#NAME?</v>
      </c>
      <c r="E2977" s="115" t="e">
        <f t="array" aca="1" ref="E2977" ca="1">IF(OR(C2976=0,AND(B2978=0,C2978=0)),"",IFERROR(INDEX($F$27:$F$36,MATCH(C2977,($F$27:$F$36)*($D$27:$D$36&lt;&gt;0),0)),IF(OR(AND(D2977=0,B2977=0,B2978&lt;&gt;0),AND(D2977*D2976&lt;0,B2977&lt;&gt;0)),IF(D2977=0,C2977,C2977*(1-ABS(D2977)/(ABS(D2977)+ABS(D2976)))+C2976*(1-ABS(D2976)/(ABS(D2977)+ABS(D2976)))),"")))</f>
        <v>#NAME?</v>
      </c>
    </row>
    <row r="2978" spans="2:5" x14ac:dyDescent="0.25">
      <c r="B2978" t="e">
        <f t="shared" ca="1" si="93"/>
        <v>#NAME?</v>
      </c>
      <c r="C2978">
        <v>2935</v>
      </c>
      <c r="D2978" t="e">
        <f t="shared" ca="1" si="92"/>
        <v>#NAME?</v>
      </c>
      <c r="E2978" s="115" t="e">
        <f t="array" aca="1" ref="E2978" ca="1">IF(OR(C2977=0,AND(B2979=0,C2979=0)),"",IFERROR(INDEX($F$27:$F$36,MATCH(C2978,($F$27:$F$36)*($D$27:$D$36&lt;&gt;0),0)),IF(OR(AND(D2978=0,B2978=0,B2979&lt;&gt;0),AND(D2978*D2977&lt;0,B2978&lt;&gt;0)),IF(D2978=0,C2978,C2978*(1-ABS(D2978)/(ABS(D2978)+ABS(D2977)))+C2977*(1-ABS(D2977)/(ABS(D2978)+ABS(D2977)))),"")))</f>
        <v>#NAME?</v>
      </c>
    </row>
    <row r="2979" spans="2:5" x14ac:dyDescent="0.25">
      <c r="B2979" t="e">
        <f t="shared" ca="1" si="93"/>
        <v>#NAME?</v>
      </c>
      <c r="C2979">
        <v>2936</v>
      </c>
      <c r="D2979" t="e">
        <f t="shared" ca="1" si="92"/>
        <v>#NAME?</v>
      </c>
      <c r="E2979" s="115" t="e">
        <f t="array" aca="1" ref="E2979" ca="1">IF(OR(C2978=0,AND(B2980=0,C2980=0)),"",IFERROR(INDEX($F$27:$F$36,MATCH(C2979,($F$27:$F$36)*($D$27:$D$36&lt;&gt;0),0)),IF(OR(AND(D2979=0,B2979=0,B2980&lt;&gt;0),AND(D2979*D2978&lt;0,B2979&lt;&gt;0)),IF(D2979=0,C2979,C2979*(1-ABS(D2979)/(ABS(D2979)+ABS(D2978)))+C2978*(1-ABS(D2978)/(ABS(D2979)+ABS(D2978)))),"")))</f>
        <v>#NAME?</v>
      </c>
    </row>
    <row r="2980" spans="2:5" x14ac:dyDescent="0.25">
      <c r="B2980" t="e">
        <f t="shared" ca="1" si="93"/>
        <v>#NAME?</v>
      </c>
      <c r="C2980">
        <v>2937</v>
      </c>
      <c r="D2980" t="e">
        <f t="shared" ca="1" si="92"/>
        <v>#NAME?</v>
      </c>
      <c r="E2980" s="115" t="e">
        <f t="array" aca="1" ref="E2980" ca="1">IF(OR(C2979=0,AND(B2981=0,C2981=0)),"",IFERROR(INDEX($F$27:$F$36,MATCH(C2980,($F$27:$F$36)*($D$27:$D$36&lt;&gt;0),0)),IF(OR(AND(D2980=0,B2980=0,B2981&lt;&gt;0),AND(D2980*D2979&lt;0,B2980&lt;&gt;0)),IF(D2980=0,C2980,C2980*(1-ABS(D2980)/(ABS(D2980)+ABS(D2979)))+C2979*(1-ABS(D2979)/(ABS(D2980)+ABS(D2979)))),"")))</f>
        <v>#NAME?</v>
      </c>
    </row>
    <row r="2981" spans="2:5" x14ac:dyDescent="0.25">
      <c r="B2981" t="e">
        <f t="shared" ca="1" si="93"/>
        <v>#NAME?</v>
      </c>
      <c r="C2981">
        <v>2938</v>
      </c>
      <c r="D2981" t="e">
        <f t="shared" ca="1" si="92"/>
        <v>#NAME?</v>
      </c>
      <c r="E2981" s="115" t="e">
        <f t="array" aca="1" ref="E2981" ca="1">IF(OR(C2980=0,AND(B2982=0,C2982=0)),"",IFERROR(INDEX($F$27:$F$36,MATCH(C2981,($F$27:$F$36)*($D$27:$D$36&lt;&gt;0),0)),IF(OR(AND(D2981=0,B2981=0,B2982&lt;&gt;0),AND(D2981*D2980&lt;0,B2981&lt;&gt;0)),IF(D2981=0,C2981,C2981*(1-ABS(D2981)/(ABS(D2981)+ABS(D2980)))+C2980*(1-ABS(D2980)/(ABS(D2981)+ABS(D2980)))),"")))</f>
        <v>#NAME?</v>
      </c>
    </row>
    <row r="2982" spans="2:5" x14ac:dyDescent="0.25">
      <c r="B2982" t="e">
        <f t="shared" ca="1" si="93"/>
        <v>#NAME?</v>
      </c>
      <c r="C2982">
        <v>2939</v>
      </c>
      <c r="D2982" t="e">
        <f t="shared" ca="1" si="92"/>
        <v>#NAME?</v>
      </c>
      <c r="E2982" s="115" t="e">
        <f t="array" aca="1" ref="E2982" ca="1">IF(OR(C2981=0,AND(B2983=0,C2983=0)),"",IFERROR(INDEX($F$27:$F$36,MATCH(C2982,($F$27:$F$36)*($D$27:$D$36&lt;&gt;0),0)),IF(OR(AND(D2982=0,B2982=0,B2983&lt;&gt;0),AND(D2982*D2981&lt;0,B2982&lt;&gt;0)),IF(D2982=0,C2982,C2982*(1-ABS(D2982)/(ABS(D2982)+ABS(D2981)))+C2981*(1-ABS(D2981)/(ABS(D2982)+ABS(D2981)))),"")))</f>
        <v>#NAME?</v>
      </c>
    </row>
    <row r="2983" spans="2:5" x14ac:dyDescent="0.25">
      <c r="B2983" t="e">
        <f t="shared" ca="1" si="93"/>
        <v>#NAME?</v>
      </c>
      <c r="C2983">
        <v>2940</v>
      </c>
      <c r="D2983" t="e">
        <f t="shared" ca="1" si="92"/>
        <v>#NAME?</v>
      </c>
      <c r="E2983" s="115" t="e">
        <f t="array" aca="1" ref="E2983" ca="1">IF(OR(C2982=0,AND(B2984=0,C2984=0)),"",IFERROR(INDEX($F$27:$F$36,MATCH(C2983,($F$27:$F$36)*($D$27:$D$36&lt;&gt;0),0)),IF(OR(AND(D2983=0,B2983=0,B2984&lt;&gt;0),AND(D2983*D2982&lt;0,B2983&lt;&gt;0)),IF(D2983=0,C2983,C2983*(1-ABS(D2983)/(ABS(D2983)+ABS(D2982)))+C2982*(1-ABS(D2982)/(ABS(D2983)+ABS(D2982)))),"")))</f>
        <v>#NAME?</v>
      </c>
    </row>
    <row r="2984" spans="2:5" x14ac:dyDescent="0.25">
      <c r="B2984" t="e">
        <f t="shared" ca="1" si="93"/>
        <v>#NAME?</v>
      </c>
      <c r="C2984">
        <v>2941</v>
      </c>
      <c r="D2984" t="e">
        <f t="shared" ca="1" si="92"/>
        <v>#NAME?</v>
      </c>
      <c r="E2984" s="115" t="e">
        <f t="array" aca="1" ref="E2984" ca="1">IF(OR(C2983=0,AND(B2985=0,C2985=0)),"",IFERROR(INDEX($F$27:$F$36,MATCH(C2984,($F$27:$F$36)*($D$27:$D$36&lt;&gt;0),0)),IF(OR(AND(D2984=0,B2984=0,B2985&lt;&gt;0),AND(D2984*D2983&lt;0,B2984&lt;&gt;0)),IF(D2984=0,C2984,C2984*(1-ABS(D2984)/(ABS(D2984)+ABS(D2983)))+C2983*(1-ABS(D2983)/(ABS(D2984)+ABS(D2983)))),"")))</f>
        <v>#NAME?</v>
      </c>
    </row>
    <row r="2985" spans="2:5" x14ac:dyDescent="0.25">
      <c r="B2985" t="e">
        <f t="shared" ca="1" si="93"/>
        <v>#NAME?</v>
      </c>
      <c r="C2985">
        <v>2942</v>
      </c>
      <c r="D2985" t="e">
        <f t="shared" ca="1" si="92"/>
        <v>#NAME?</v>
      </c>
      <c r="E2985" s="115" t="e">
        <f t="array" aca="1" ref="E2985" ca="1">IF(OR(C2984=0,AND(B2986=0,C2986=0)),"",IFERROR(INDEX($F$27:$F$36,MATCH(C2985,($F$27:$F$36)*($D$27:$D$36&lt;&gt;0),0)),IF(OR(AND(D2985=0,B2985=0,B2986&lt;&gt;0),AND(D2985*D2984&lt;0,B2985&lt;&gt;0)),IF(D2985=0,C2985,C2985*(1-ABS(D2985)/(ABS(D2985)+ABS(D2984)))+C2984*(1-ABS(D2984)/(ABS(D2985)+ABS(D2984)))),"")))</f>
        <v>#NAME?</v>
      </c>
    </row>
    <row r="2986" spans="2:5" x14ac:dyDescent="0.25">
      <c r="B2986" t="e">
        <f t="shared" ca="1" si="93"/>
        <v>#NAME?</v>
      </c>
      <c r="C2986">
        <v>2943</v>
      </c>
      <c r="D2986" t="e">
        <f t="shared" ca="1" si="92"/>
        <v>#NAME?</v>
      </c>
      <c r="E2986" s="115" t="e">
        <f t="array" aca="1" ref="E2986" ca="1">IF(OR(C2985=0,AND(B2987=0,C2987=0)),"",IFERROR(INDEX($F$27:$F$36,MATCH(C2986,($F$27:$F$36)*($D$27:$D$36&lt;&gt;0),0)),IF(OR(AND(D2986=0,B2986=0,B2987&lt;&gt;0),AND(D2986*D2985&lt;0,B2986&lt;&gt;0)),IF(D2986=0,C2986,C2986*(1-ABS(D2986)/(ABS(D2986)+ABS(D2985)))+C2985*(1-ABS(D2985)/(ABS(D2986)+ABS(D2985)))),"")))</f>
        <v>#NAME?</v>
      </c>
    </row>
    <row r="2987" spans="2:5" x14ac:dyDescent="0.25">
      <c r="B2987" t="e">
        <f t="shared" ca="1" si="93"/>
        <v>#NAME?</v>
      </c>
      <c r="C2987">
        <v>2944</v>
      </c>
      <c r="D2987" t="e">
        <f t="shared" ref="D2987:D3050" ca="1" si="94">SUMPRODUCT(--($J$27:$J$37&gt;0),--($C2987-$F$27:$F$37&gt;0),($D$27:$D$37),($C2987-$F$27:$F$37))+SUMPRODUCT(--($J$27:$J$37&lt;0),--($F$27:$F$37-$C2987&gt;0),($D$27:$D$37),($F$27:$F$37-$C2987))-SUMPRODUCT($D$27:$D$37,$E$27:$E$37)</f>
        <v>#NAME?</v>
      </c>
      <c r="E2987" s="115" t="e">
        <f t="array" aca="1" ref="E2987" ca="1">IF(OR(C2986=0,AND(B2988=0,C2988=0)),"",IFERROR(INDEX($F$27:$F$36,MATCH(C2987,($F$27:$F$36)*($D$27:$D$36&lt;&gt;0),0)),IF(OR(AND(D2987=0,B2987=0,B2988&lt;&gt;0),AND(D2987*D2986&lt;0,B2987&lt;&gt;0)),IF(D2987=0,C2987,C2987*(1-ABS(D2987)/(ABS(D2987)+ABS(D2986)))+C2986*(1-ABS(D2986)/(ABS(D2987)+ABS(D2986)))),"")))</f>
        <v>#NAME?</v>
      </c>
    </row>
    <row r="2988" spans="2:5" x14ac:dyDescent="0.25">
      <c r="B2988" t="e">
        <f t="shared" ref="B2988:B3051" ca="1" si="95">ROUND((D2988-D2987)/(C2988-C2987),12)</f>
        <v>#NAME?</v>
      </c>
      <c r="C2988">
        <v>2945</v>
      </c>
      <c r="D2988" t="e">
        <f t="shared" ca="1" si="94"/>
        <v>#NAME?</v>
      </c>
      <c r="E2988" s="115" t="e">
        <f t="array" aca="1" ref="E2988" ca="1">IF(OR(C2987=0,AND(B2989=0,C2989=0)),"",IFERROR(INDEX($F$27:$F$36,MATCH(C2988,($F$27:$F$36)*($D$27:$D$36&lt;&gt;0),0)),IF(OR(AND(D2988=0,B2988=0,B2989&lt;&gt;0),AND(D2988*D2987&lt;0,B2988&lt;&gt;0)),IF(D2988=0,C2988,C2988*(1-ABS(D2988)/(ABS(D2988)+ABS(D2987)))+C2987*(1-ABS(D2987)/(ABS(D2988)+ABS(D2987)))),"")))</f>
        <v>#NAME?</v>
      </c>
    </row>
    <row r="2989" spans="2:5" x14ac:dyDescent="0.25">
      <c r="B2989" t="e">
        <f t="shared" ca="1" si="95"/>
        <v>#NAME?</v>
      </c>
      <c r="C2989">
        <v>2946</v>
      </c>
      <c r="D2989" t="e">
        <f t="shared" ca="1" si="94"/>
        <v>#NAME?</v>
      </c>
      <c r="E2989" s="115" t="e">
        <f t="array" aca="1" ref="E2989" ca="1">IF(OR(C2988=0,AND(B2990=0,C2990=0)),"",IFERROR(INDEX($F$27:$F$36,MATCH(C2989,($F$27:$F$36)*($D$27:$D$36&lt;&gt;0),0)),IF(OR(AND(D2989=0,B2989=0,B2990&lt;&gt;0),AND(D2989*D2988&lt;0,B2989&lt;&gt;0)),IF(D2989=0,C2989,C2989*(1-ABS(D2989)/(ABS(D2989)+ABS(D2988)))+C2988*(1-ABS(D2988)/(ABS(D2989)+ABS(D2988)))),"")))</f>
        <v>#NAME?</v>
      </c>
    </row>
    <row r="2990" spans="2:5" x14ac:dyDescent="0.25">
      <c r="B2990" t="e">
        <f t="shared" ca="1" si="95"/>
        <v>#NAME?</v>
      </c>
      <c r="C2990">
        <v>2947</v>
      </c>
      <c r="D2990" t="e">
        <f t="shared" ca="1" si="94"/>
        <v>#NAME?</v>
      </c>
      <c r="E2990" s="115" t="e">
        <f t="array" aca="1" ref="E2990" ca="1">IF(OR(C2989=0,AND(B2991=0,C2991=0)),"",IFERROR(INDEX($F$27:$F$36,MATCH(C2990,($F$27:$F$36)*($D$27:$D$36&lt;&gt;0),0)),IF(OR(AND(D2990=0,B2990=0,B2991&lt;&gt;0),AND(D2990*D2989&lt;0,B2990&lt;&gt;0)),IF(D2990=0,C2990,C2990*(1-ABS(D2990)/(ABS(D2990)+ABS(D2989)))+C2989*(1-ABS(D2989)/(ABS(D2990)+ABS(D2989)))),"")))</f>
        <v>#NAME?</v>
      </c>
    </row>
    <row r="2991" spans="2:5" x14ac:dyDescent="0.25">
      <c r="B2991" t="e">
        <f t="shared" ca="1" si="95"/>
        <v>#NAME?</v>
      </c>
      <c r="C2991">
        <v>2948</v>
      </c>
      <c r="D2991" t="e">
        <f t="shared" ca="1" si="94"/>
        <v>#NAME?</v>
      </c>
      <c r="E2991" s="115" t="e">
        <f t="array" aca="1" ref="E2991" ca="1">IF(OR(C2990=0,AND(B2992=0,C2992=0)),"",IFERROR(INDEX($F$27:$F$36,MATCH(C2991,($F$27:$F$36)*($D$27:$D$36&lt;&gt;0),0)),IF(OR(AND(D2991=0,B2991=0,B2992&lt;&gt;0),AND(D2991*D2990&lt;0,B2991&lt;&gt;0)),IF(D2991=0,C2991,C2991*(1-ABS(D2991)/(ABS(D2991)+ABS(D2990)))+C2990*(1-ABS(D2990)/(ABS(D2991)+ABS(D2990)))),"")))</f>
        <v>#NAME?</v>
      </c>
    </row>
    <row r="2992" spans="2:5" x14ac:dyDescent="0.25">
      <c r="B2992" t="e">
        <f t="shared" ca="1" si="95"/>
        <v>#NAME?</v>
      </c>
      <c r="C2992">
        <v>2949</v>
      </c>
      <c r="D2992" t="e">
        <f t="shared" ca="1" si="94"/>
        <v>#NAME?</v>
      </c>
      <c r="E2992" s="115" t="e">
        <f t="array" aca="1" ref="E2992" ca="1">IF(OR(C2991=0,AND(B2993=0,C2993=0)),"",IFERROR(INDEX($F$27:$F$36,MATCH(C2992,($F$27:$F$36)*($D$27:$D$36&lt;&gt;0),0)),IF(OR(AND(D2992=0,B2992=0,B2993&lt;&gt;0),AND(D2992*D2991&lt;0,B2992&lt;&gt;0)),IF(D2992=0,C2992,C2992*(1-ABS(D2992)/(ABS(D2992)+ABS(D2991)))+C2991*(1-ABS(D2991)/(ABS(D2992)+ABS(D2991)))),"")))</f>
        <v>#NAME?</v>
      </c>
    </row>
    <row r="2993" spans="2:5" x14ac:dyDescent="0.25">
      <c r="B2993" t="e">
        <f t="shared" ca="1" si="95"/>
        <v>#NAME?</v>
      </c>
      <c r="C2993">
        <v>2950</v>
      </c>
      <c r="D2993" t="e">
        <f t="shared" ca="1" si="94"/>
        <v>#NAME?</v>
      </c>
      <c r="E2993" s="115" t="e">
        <f t="array" aca="1" ref="E2993" ca="1">IF(OR(C2992=0,AND(B2994=0,C2994=0)),"",IFERROR(INDEX($F$27:$F$36,MATCH(C2993,($F$27:$F$36)*($D$27:$D$36&lt;&gt;0),0)),IF(OR(AND(D2993=0,B2993=0,B2994&lt;&gt;0),AND(D2993*D2992&lt;0,B2993&lt;&gt;0)),IF(D2993=0,C2993,C2993*(1-ABS(D2993)/(ABS(D2993)+ABS(D2992)))+C2992*(1-ABS(D2992)/(ABS(D2993)+ABS(D2992)))),"")))</f>
        <v>#NAME?</v>
      </c>
    </row>
    <row r="2994" spans="2:5" x14ac:dyDescent="0.25">
      <c r="B2994" t="e">
        <f t="shared" ca="1" si="95"/>
        <v>#NAME?</v>
      </c>
      <c r="C2994">
        <v>2951</v>
      </c>
      <c r="D2994" t="e">
        <f t="shared" ca="1" si="94"/>
        <v>#NAME?</v>
      </c>
      <c r="E2994" s="115" t="e">
        <f t="array" aca="1" ref="E2994" ca="1">IF(OR(C2993=0,AND(B2995=0,C2995=0)),"",IFERROR(INDEX($F$27:$F$36,MATCH(C2994,($F$27:$F$36)*($D$27:$D$36&lt;&gt;0),0)),IF(OR(AND(D2994=0,B2994=0,B2995&lt;&gt;0),AND(D2994*D2993&lt;0,B2994&lt;&gt;0)),IF(D2994=0,C2994,C2994*(1-ABS(D2994)/(ABS(D2994)+ABS(D2993)))+C2993*(1-ABS(D2993)/(ABS(D2994)+ABS(D2993)))),"")))</f>
        <v>#NAME?</v>
      </c>
    </row>
    <row r="2995" spans="2:5" x14ac:dyDescent="0.25">
      <c r="B2995" t="e">
        <f t="shared" ca="1" si="95"/>
        <v>#NAME?</v>
      </c>
      <c r="C2995">
        <v>2952</v>
      </c>
      <c r="D2995" t="e">
        <f t="shared" ca="1" si="94"/>
        <v>#NAME?</v>
      </c>
      <c r="E2995" s="115" t="e">
        <f t="array" aca="1" ref="E2995" ca="1">IF(OR(C2994=0,AND(B2996=0,C2996=0)),"",IFERROR(INDEX($F$27:$F$36,MATCH(C2995,($F$27:$F$36)*($D$27:$D$36&lt;&gt;0),0)),IF(OR(AND(D2995=0,B2995=0,B2996&lt;&gt;0),AND(D2995*D2994&lt;0,B2995&lt;&gt;0)),IF(D2995=0,C2995,C2995*(1-ABS(D2995)/(ABS(D2995)+ABS(D2994)))+C2994*(1-ABS(D2994)/(ABS(D2995)+ABS(D2994)))),"")))</f>
        <v>#NAME?</v>
      </c>
    </row>
    <row r="2996" spans="2:5" x14ac:dyDescent="0.25">
      <c r="B2996" t="e">
        <f t="shared" ca="1" si="95"/>
        <v>#NAME?</v>
      </c>
      <c r="C2996">
        <v>2953</v>
      </c>
      <c r="D2996" t="e">
        <f t="shared" ca="1" si="94"/>
        <v>#NAME?</v>
      </c>
      <c r="E2996" s="115" t="e">
        <f t="array" aca="1" ref="E2996" ca="1">IF(OR(C2995=0,AND(B2997=0,C2997=0)),"",IFERROR(INDEX($F$27:$F$36,MATCH(C2996,($F$27:$F$36)*($D$27:$D$36&lt;&gt;0),0)),IF(OR(AND(D2996=0,B2996=0,B2997&lt;&gt;0),AND(D2996*D2995&lt;0,B2996&lt;&gt;0)),IF(D2996=0,C2996,C2996*(1-ABS(D2996)/(ABS(D2996)+ABS(D2995)))+C2995*(1-ABS(D2995)/(ABS(D2996)+ABS(D2995)))),"")))</f>
        <v>#NAME?</v>
      </c>
    </row>
    <row r="2997" spans="2:5" x14ac:dyDescent="0.25">
      <c r="B2997" t="e">
        <f t="shared" ca="1" si="95"/>
        <v>#NAME?</v>
      </c>
      <c r="C2997">
        <v>2954</v>
      </c>
      <c r="D2997" t="e">
        <f t="shared" ca="1" si="94"/>
        <v>#NAME?</v>
      </c>
      <c r="E2997" s="115" t="e">
        <f t="array" aca="1" ref="E2997" ca="1">IF(OR(C2996=0,AND(B2998=0,C2998=0)),"",IFERROR(INDEX($F$27:$F$36,MATCH(C2997,($F$27:$F$36)*($D$27:$D$36&lt;&gt;0),0)),IF(OR(AND(D2997=0,B2997=0,B2998&lt;&gt;0),AND(D2997*D2996&lt;0,B2997&lt;&gt;0)),IF(D2997=0,C2997,C2997*(1-ABS(D2997)/(ABS(D2997)+ABS(D2996)))+C2996*(1-ABS(D2996)/(ABS(D2997)+ABS(D2996)))),"")))</f>
        <v>#NAME?</v>
      </c>
    </row>
    <row r="2998" spans="2:5" x14ac:dyDescent="0.25">
      <c r="B2998" t="e">
        <f t="shared" ca="1" si="95"/>
        <v>#NAME?</v>
      </c>
      <c r="C2998">
        <v>2955</v>
      </c>
      <c r="D2998" t="e">
        <f t="shared" ca="1" si="94"/>
        <v>#NAME?</v>
      </c>
      <c r="E2998" s="115" t="e">
        <f t="array" aca="1" ref="E2998" ca="1">IF(OR(C2997=0,AND(B2999=0,C2999=0)),"",IFERROR(INDEX($F$27:$F$36,MATCH(C2998,($F$27:$F$36)*($D$27:$D$36&lt;&gt;0),0)),IF(OR(AND(D2998=0,B2998=0,B2999&lt;&gt;0),AND(D2998*D2997&lt;0,B2998&lt;&gt;0)),IF(D2998=0,C2998,C2998*(1-ABS(D2998)/(ABS(D2998)+ABS(D2997)))+C2997*(1-ABS(D2997)/(ABS(D2998)+ABS(D2997)))),"")))</f>
        <v>#NAME?</v>
      </c>
    </row>
    <row r="2999" spans="2:5" x14ac:dyDescent="0.25">
      <c r="B2999" t="e">
        <f t="shared" ca="1" si="95"/>
        <v>#NAME?</v>
      </c>
      <c r="C2999">
        <v>2956</v>
      </c>
      <c r="D2999" t="e">
        <f t="shared" ca="1" si="94"/>
        <v>#NAME?</v>
      </c>
      <c r="E2999" s="115" t="e">
        <f t="array" aca="1" ref="E2999" ca="1">IF(OR(C2998=0,AND(B3000=0,C3000=0)),"",IFERROR(INDEX($F$27:$F$36,MATCH(C2999,($F$27:$F$36)*($D$27:$D$36&lt;&gt;0),0)),IF(OR(AND(D2999=0,B2999=0,B3000&lt;&gt;0),AND(D2999*D2998&lt;0,B2999&lt;&gt;0)),IF(D2999=0,C2999,C2999*(1-ABS(D2999)/(ABS(D2999)+ABS(D2998)))+C2998*(1-ABS(D2998)/(ABS(D2999)+ABS(D2998)))),"")))</f>
        <v>#NAME?</v>
      </c>
    </row>
    <row r="3000" spans="2:5" x14ac:dyDescent="0.25">
      <c r="B3000" t="e">
        <f t="shared" ca="1" si="95"/>
        <v>#NAME?</v>
      </c>
      <c r="C3000">
        <v>2957</v>
      </c>
      <c r="D3000" t="e">
        <f t="shared" ca="1" si="94"/>
        <v>#NAME?</v>
      </c>
      <c r="E3000" s="115" t="e">
        <f t="array" aca="1" ref="E3000" ca="1">IF(OR(C2999=0,AND(B3001=0,C3001=0)),"",IFERROR(INDEX($F$27:$F$36,MATCH(C3000,($F$27:$F$36)*($D$27:$D$36&lt;&gt;0),0)),IF(OR(AND(D3000=0,B3000=0,B3001&lt;&gt;0),AND(D3000*D2999&lt;0,B3000&lt;&gt;0)),IF(D3000=0,C3000,C3000*(1-ABS(D3000)/(ABS(D3000)+ABS(D2999)))+C2999*(1-ABS(D2999)/(ABS(D3000)+ABS(D2999)))),"")))</f>
        <v>#NAME?</v>
      </c>
    </row>
    <row r="3001" spans="2:5" x14ac:dyDescent="0.25">
      <c r="B3001" t="e">
        <f t="shared" ca="1" si="95"/>
        <v>#NAME?</v>
      </c>
      <c r="C3001">
        <v>2958</v>
      </c>
      <c r="D3001" t="e">
        <f t="shared" ca="1" si="94"/>
        <v>#NAME?</v>
      </c>
      <c r="E3001" s="115" t="e">
        <f t="array" aca="1" ref="E3001" ca="1">IF(OR(C3000=0,AND(B3002=0,C3002=0)),"",IFERROR(INDEX($F$27:$F$36,MATCH(C3001,($F$27:$F$36)*($D$27:$D$36&lt;&gt;0),0)),IF(OR(AND(D3001=0,B3001=0,B3002&lt;&gt;0),AND(D3001*D3000&lt;0,B3001&lt;&gt;0)),IF(D3001=0,C3001,C3001*(1-ABS(D3001)/(ABS(D3001)+ABS(D3000)))+C3000*(1-ABS(D3000)/(ABS(D3001)+ABS(D3000)))),"")))</f>
        <v>#NAME?</v>
      </c>
    </row>
    <row r="3002" spans="2:5" x14ac:dyDescent="0.25">
      <c r="B3002" t="e">
        <f t="shared" ca="1" si="95"/>
        <v>#NAME?</v>
      </c>
      <c r="C3002">
        <v>2959</v>
      </c>
      <c r="D3002" t="e">
        <f t="shared" ca="1" si="94"/>
        <v>#NAME?</v>
      </c>
      <c r="E3002" s="115" t="e">
        <f t="array" aca="1" ref="E3002" ca="1">IF(OR(C3001=0,AND(B3003=0,C3003=0)),"",IFERROR(INDEX($F$27:$F$36,MATCH(C3002,($F$27:$F$36)*($D$27:$D$36&lt;&gt;0),0)),IF(OR(AND(D3002=0,B3002=0,B3003&lt;&gt;0),AND(D3002*D3001&lt;0,B3002&lt;&gt;0)),IF(D3002=0,C3002,C3002*(1-ABS(D3002)/(ABS(D3002)+ABS(D3001)))+C3001*(1-ABS(D3001)/(ABS(D3002)+ABS(D3001)))),"")))</f>
        <v>#NAME?</v>
      </c>
    </row>
    <row r="3003" spans="2:5" x14ac:dyDescent="0.25">
      <c r="B3003" t="e">
        <f t="shared" ca="1" si="95"/>
        <v>#NAME?</v>
      </c>
      <c r="C3003">
        <v>2960</v>
      </c>
      <c r="D3003" t="e">
        <f t="shared" ca="1" si="94"/>
        <v>#NAME?</v>
      </c>
      <c r="E3003" s="115" t="e">
        <f t="array" aca="1" ref="E3003" ca="1">IF(OR(C3002=0,AND(B3004=0,C3004=0)),"",IFERROR(INDEX($F$27:$F$36,MATCH(C3003,($F$27:$F$36)*($D$27:$D$36&lt;&gt;0),0)),IF(OR(AND(D3003=0,B3003=0,B3004&lt;&gt;0),AND(D3003*D3002&lt;0,B3003&lt;&gt;0)),IF(D3003=0,C3003,C3003*(1-ABS(D3003)/(ABS(D3003)+ABS(D3002)))+C3002*(1-ABS(D3002)/(ABS(D3003)+ABS(D3002)))),"")))</f>
        <v>#NAME?</v>
      </c>
    </row>
    <row r="3004" spans="2:5" x14ac:dyDescent="0.25">
      <c r="B3004" t="e">
        <f t="shared" ca="1" si="95"/>
        <v>#NAME?</v>
      </c>
      <c r="C3004">
        <v>2961</v>
      </c>
      <c r="D3004" t="e">
        <f t="shared" ca="1" si="94"/>
        <v>#NAME?</v>
      </c>
      <c r="E3004" s="115" t="e">
        <f t="array" aca="1" ref="E3004" ca="1">IF(OR(C3003=0,AND(B3005=0,C3005=0)),"",IFERROR(INDEX($F$27:$F$36,MATCH(C3004,($F$27:$F$36)*($D$27:$D$36&lt;&gt;0),0)),IF(OR(AND(D3004=0,B3004=0,B3005&lt;&gt;0),AND(D3004*D3003&lt;0,B3004&lt;&gt;0)),IF(D3004=0,C3004,C3004*(1-ABS(D3004)/(ABS(D3004)+ABS(D3003)))+C3003*(1-ABS(D3003)/(ABS(D3004)+ABS(D3003)))),"")))</f>
        <v>#NAME?</v>
      </c>
    </row>
    <row r="3005" spans="2:5" x14ac:dyDescent="0.25">
      <c r="B3005" t="e">
        <f t="shared" ca="1" si="95"/>
        <v>#NAME?</v>
      </c>
      <c r="C3005">
        <v>2962</v>
      </c>
      <c r="D3005" t="e">
        <f t="shared" ca="1" si="94"/>
        <v>#NAME?</v>
      </c>
      <c r="E3005" s="115" t="e">
        <f t="array" aca="1" ref="E3005" ca="1">IF(OR(C3004=0,AND(B3006=0,C3006=0)),"",IFERROR(INDEX($F$27:$F$36,MATCH(C3005,($F$27:$F$36)*($D$27:$D$36&lt;&gt;0),0)),IF(OR(AND(D3005=0,B3005=0,B3006&lt;&gt;0),AND(D3005*D3004&lt;0,B3005&lt;&gt;0)),IF(D3005=0,C3005,C3005*(1-ABS(D3005)/(ABS(D3005)+ABS(D3004)))+C3004*(1-ABS(D3004)/(ABS(D3005)+ABS(D3004)))),"")))</f>
        <v>#NAME?</v>
      </c>
    </row>
    <row r="3006" spans="2:5" x14ac:dyDescent="0.25">
      <c r="B3006" t="e">
        <f t="shared" ca="1" si="95"/>
        <v>#NAME?</v>
      </c>
      <c r="C3006">
        <v>2963</v>
      </c>
      <c r="D3006" t="e">
        <f t="shared" ca="1" si="94"/>
        <v>#NAME?</v>
      </c>
      <c r="E3006" s="115" t="e">
        <f t="array" aca="1" ref="E3006" ca="1">IF(OR(C3005=0,AND(B3007=0,C3007=0)),"",IFERROR(INDEX($F$27:$F$36,MATCH(C3006,($F$27:$F$36)*($D$27:$D$36&lt;&gt;0),0)),IF(OR(AND(D3006=0,B3006=0,B3007&lt;&gt;0),AND(D3006*D3005&lt;0,B3006&lt;&gt;0)),IF(D3006=0,C3006,C3006*(1-ABS(D3006)/(ABS(D3006)+ABS(D3005)))+C3005*(1-ABS(D3005)/(ABS(D3006)+ABS(D3005)))),"")))</f>
        <v>#NAME?</v>
      </c>
    </row>
    <row r="3007" spans="2:5" x14ac:dyDescent="0.25">
      <c r="B3007" t="e">
        <f t="shared" ca="1" si="95"/>
        <v>#NAME?</v>
      </c>
      <c r="C3007">
        <v>2964</v>
      </c>
      <c r="D3007" t="e">
        <f t="shared" ca="1" si="94"/>
        <v>#NAME?</v>
      </c>
      <c r="E3007" s="115" t="e">
        <f t="array" aca="1" ref="E3007" ca="1">IF(OR(C3006=0,AND(B3008=0,C3008=0)),"",IFERROR(INDEX($F$27:$F$36,MATCH(C3007,($F$27:$F$36)*($D$27:$D$36&lt;&gt;0),0)),IF(OR(AND(D3007=0,B3007=0,B3008&lt;&gt;0),AND(D3007*D3006&lt;0,B3007&lt;&gt;0)),IF(D3007=0,C3007,C3007*(1-ABS(D3007)/(ABS(D3007)+ABS(D3006)))+C3006*(1-ABS(D3006)/(ABS(D3007)+ABS(D3006)))),"")))</f>
        <v>#NAME?</v>
      </c>
    </row>
    <row r="3008" spans="2:5" x14ac:dyDescent="0.25">
      <c r="B3008" t="e">
        <f t="shared" ca="1" si="95"/>
        <v>#NAME?</v>
      </c>
      <c r="C3008">
        <v>2965</v>
      </c>
      <c r="D3008" t="e">
        <f t="shared" ca="1" si="94"/>
        <v>#NAME?</v>
      </c>
      <c r="E3008" s="115" t="e">
        <f t="array" aca="1" ref="E3008" ca="1">IF(OR(C3007=0,AND(B3009=0,C3009=0)),"",IFERROR(INDEX($F$27:$F$36,MATCH(C3008,($F$27:$F$36)*($D$27:$D$36&lt;&gt;0),0)),IF(OR(AND(D3008=0,B3008=0,B3009&lt;&gt;0),AND(D3008*D3007&lt;0,B3008&lt;&gt;0)),IF(D3008=0,C3008,C3008*(1-ABS(D3008)/(ABS(D3008)+ABS(D3007)))+C3007*(1-ABS(D3007)/(ABS(D3008)+ABS(D3007)))),"")))</f>
        <v>#NAME?</v>
      </c>
    </row>
    <row r="3009" spans="2:5" x14ac:dyDescent="0.25">
      <c r="B3009" t="e">
        <f t="shared" ca="1" si="95"/>
        <v>#NAME?</v>
      </c>
      <c r="C3009">
        <v>2966</v>
      </c>
      <c r="D3009" t="e">
        <f t="shared" ca="1" si="94"/>
        <v>#NAME?</v>
      </c>
      <c r="E3009" s="115" t="e">
        <f t="array" aca="1" ref="E3009" ca="1">IF(OR(C3008=0,AND(B3010=0,C3010=0)),"",IFERROR(INDEX($F$27:$F$36,MATCH(C3009,($F$27:$F$36)*($D$27:$D$36&lt;&gt;0),0)),IF(OR(AND(D3009=0,B3009=0,B3010&lt;&gt;0),AND(D3009*D3008&lt;0,B3009&lt;&gt;0)),IF(D3009=0,C3009,C3009*(1-ABS(D3009)/(ABS(D3009)+ABS(D3008)))+C3008*(1-ABS(D3008)/(ABS(D3009)+ABS(D3008)))),"")))</f>
        <v>#NAME?</v>
      </c>
    </row>
    <row r="3010" spans="2:5" x14ac:dyDescent="0.25">
      <c r="B3010" t="e">
        <f t="shared" ca="1" si="95"/>
        <v>#NAME?</v>
      </c>
      <c r="C3010">
        <v>2967</v>
      </c>
      <c r="D3010" t="e">
        <f t="shared" ca="1" si="94"/>
        <v>#NAME?</v>
      </c>
      <c r="E3010" s="115" t="e">
        <f t="array" aca="1" ref="E3010" ca="1">IF(OR(C3009=0,AND(B3011=0,C3011=0)),"",IFERROR(INDEX($F$27:$F$36,MATCH(C3010,($F$27:$F$36)*($D$27:$D$36&lt;&gt;0),0)),IF(OR(AND(D3010=0,B3010=0,B3011&lt;&gt;0),AND(D3010*D3009&lt;0,B3010&lt;&gt;0)),IF(D3010=0,C3010,C3010*(1-ABS(D3010)/(ABS(D3010)+ABS(D3009)))+C3009*(1-ABS(D3009)/(ABS(D3010)+ABS(D3009)))),"")))</f>
        <v>#NAME?</v>
      </c>
    </row>
    <row r="3011" spans="2:5" x14ac:dyDescent="0.25">
      <c r="B3011" t="e">
        <f t="shared" ca="1" si="95"/>
        <v>#NAME?</v>
      </c>
      <c r="C3011">
        <v>2968</v>
      </c>
      <c r="D3011" t="e">
        <f t="shared" ca="1" si="94"/>
        <v>#NAME?</v>
      </c>
      <c r="E3011" s="115" t="e">
        <f t="array" aca="1" ref="E3011" ca="1">IF(OR(C3010=0,AND(B3012=0,C3012=0)),"",IFERROR(INDEX($F$27:$F$36,MATCH(C3011,($F$27:$F$36)*($D$27:$D$36&lt;&gt;0),0)),IF(OR(AND(D3011=0,B3011=0,B3012&lt;&gt;0),AND(D3011*D3010&lt;0,B3011&lt;&gt;0)),IF(D3011=0,C3011,C3011*(1-ABS(D3011)/(ABS(D3011)+ABS(D3010)))+C3010*(1-ABS(D3010)/(ABS(D3011)+ABS(D3010)))),"")))</f>
        <v>#NAME?</v>
      </c>
    </row>
    <row r="3012" spans="2:5" x14ac:dyDescent="0.25">
      <c r="B3012" t="e">
        <f t="shared" ca="1" si="95"/>
        <v>#NAME?</v>
      </c>
      <c r="C3012">
        <v>2969</v>
      </c>
      <c r="D3012" t="e">
        <f t="shared" ca="1" si="94"/>
        <v>#NAME?</v>
      </c>
      <c r="E3012" s="115" t="e">
        <f t="array" aca="1" ref="E3012" ca="1">IF(OR(C3011=0,AND(B3013=0,C3013=0)),"",IFERROR(INDEX($F$27:$F$36,MATCH(C3012,($F$27:$F$36)*($D$27:$D$36&lt;&gt;0),0)),IF(OR(AND(D3012=0,B3012=0,B3013&lt;&gt;0),AND(D3012*D3011&lt;0,B3012&lt;&gt;0)),IF(D3012=0,C3012,C3012*(1-ABS(D3012)/(ABS(D3012)+ABS(D3011)))+C3011*(1-ABS(D3011)/(ABS(D3012)+ABS(D3011)))),"")))</f>
        <v>#NAME?</v>
      </c>
    </row>
    <row r="3013" spans="2:5" x14ac:dyDescent="0.25">
      <c r="B3013" t="e">
        <f t="shared" ca="1" si="95"/>
        <v>#NAME?</v>
      </c>
      <c r="C3013">
        <v>2970</v>
      </c>
      <c r="D3013" t="e">
        <f t="shared" ca="1" si="94"/>
        <v>#NAME?</v>
      </c>
      <c r="E3013" s="115" t="e">
        <f t="array" aca="1" ref="E3013" ca="1">IF(OR(C3012=0,AND(B3014=0,C3014=0)),"",IFERROR(INDEX($F$27:$F$36,MATCH(C3013,($F$27:$F$36)*($D$27:$D$36&lt;&gt;0),0)),IF(OR(AND(D3013=0,B3013=0,B3014&lt;&gt;0),AND(D3013*D3012&lt;0,B3013&lt;&gt;0)),IF(D3013=0,C3013,C3013*(1-ABS(D3013)/(ABS(D3013)+ABS(D3012)))+C3012*(1-ABS(D3012)/(ABS(D3013)+ABS(D3012)))),"")))</f>
        <v>#NAME?</v>
      </c>
    </row>
    <row r="3014" spans="2:5" x14ac:dyDescent="0.25">
      <c r="B3014" t="e">
        <f t="shared" ca="1" si="95"/>
        <v>#NAME?</v>
      </c>
      <c r="C3014">
        <v>2971</v>
      </c>
      <c r="D3014" t="e">
        <f t="shared" ca="1" si="94"/>
        <v>#NAME?</v>
      </c>
      <c r="E3014" s="115" t="e">
        <f t="array" aca="1" ref="E3014" ca="1">IF(OR(C3013=0,AND(B3015=0,C3015=0)),"",IFERROR(INDEX($F$27:$F$36,MATCH(C3014,($F$27:$F$36)*($D$27:$D$36&lt;&gt;0),0)),IF(OR(AND(D3014=0,B3014=0,B3015&lt;&gt;0),AND(D3014*D3013&lt;0,B3014&lt;&gt;0)),IF(D3014=0,C3014,C3014*(1-ABS(D3014)/(ABS(D3014)+ABS(D3013)))+C3013*(1-ABS(D3013)/(ABS(D3014)+ABS(D3013)))),"")))</f>
        <v>#NAME?</v>
      </c>
    </row>
    <row r="3015" spans="2:5" x14ac:dyDescent="0.25">
      <c r="B3015" t="e">
        <f t="shared" ca="1" si="95"/>
        <v>#NAME?</v>
      </c>
      <c r="C3015">
        <v>2972</v>
      </c>
      <c r="D3015" t="e">
        <f t="shared" ca="1" si="94"/>
        <v>#NAME?</v>
      </c>
      <c r="E3015" s="115" t="e">
        <f t="array" aca="1" ref="E3015" ca="1">IF(OR(C3014=0,AND(B3016=0,C3016=0)),"",IFERROR(INDEX($F$27:$F$36,MATCH(C3015,($F$27:$F$36)*($D$27:$D$36&lt;&gt;0),0)),IF(OR(AND(D3015=0,B3015=0,B3016&lt;&gt;0),AND(D3015*D3014&lt;0,B3015&lt;&gt;0)),IF(D3015=0,C3015,C3015*(1-ABS(D3015)/(ABS(D3015)+ABS(D3014)))+C3014*(1-ABS(D3014)/(ABS(D3015)+ABS(D3014)))),"")))</f>
        <v>#NAME?</v>
      </c>
    </row>
    <row r="3016" spans="2:5" x14ac:dyDescent="0.25">
      <c r="B3016" t="e">
        <f t="shared" ca="1" si="95"/>
        <v>#NAME?</v>
      </c>
      <c r="C3016">
        <v>2973</v>
      </c>
      <c r="D3016" t="e">
        <f t="shared" ca="1" si="94"/>
        <v>#NAME?</v>
      </c>
      <c r="E3016" s="115" t="e">
        <f t="array" aca="1" ref="E3016" ca="1">IF(OR(C3015=0,AND(B3017=0,C3017=0)),"",IFERROR(INDEX($F$27:$F$36,MATCH(C3016,($F$27:$F$36)*($D$27:$D$36&lt;&gt;0),0)),IF(OR(AND(D3016=0,B3016=0,B3017&lt;&gt;0),AND(D3016*D3015&lt;0,B3016&lt;&gt;0)),IF(D3016=0,C3016,C3016*(1-ABS(D3016)/(ABS(D3016)+ABS(D3015)))+C3015*(1-ABS(D3015)/(ABS(D3016)+ABS(D3015)))),"")))</f>
        <v>#NAME?</v>
      </c>
    </row>
    <row r="3017" spans="2:5" x14ac:dyDescent="0.25">
      <c r="B3017" t="e">
        <f t="shared" ca="1" si="95"/>
        <v>#NAME?</v>
      </c>
      <c r="C3017">
        <v>2974</v>
      </c>
      <c r="D3017" t="e">
        <f t="shared" ca="1" si="94"/>
        <v>#NAME?</v>
      </c>
      <c r="E3017" s="115" t="e">
        <f t="array" aca="1" ref="E3017" ca="1">IF(OR(C3016=0,AND(B3018=0,C3018=0)),"",IFERROR(INDEX($F$27:$F$36,MATCH(C3017,($F$27:$F$36)*($D$27:$D$36&lt;&gt;0),0)),IF(OR(AND(D3017=0,B3017=0,B3018&lt;&gt;0),AND(D3017*D3016&lt;0,B3017&lt;&gt;0)),IF(D3017=0,C3017,C3017*(1-ABS(D3017)/(ABS(D3017)+ABS(D3016)))+C3016*(1-ABS(D3016)/(ABS(D3017)+ABS(D3016)))),"")))</f>
        <v>#NAME?</v>
      </c>
    </row>
    <row r="3018" spans="2:5" x14ac:dyDescent="0.25">
      <c r="B3018" t="e">
        <f t="shared" ca="1" si="95"/>
        <v>#NAME?</v>
      </c>
      <c r="C3018">
        <v>2975</v>
      </c>
      <c r="D3018" t="e">
        <f t="shared" ca="1" si="94"/>
        <v>#NAME?</v>
      </c>
      <c r="E3018" s="115" t="e">
        <f t="array" aca="1" ref="E3018" ca="1">IF(OR(C3017=0,AND(B3019=0,C3019=0)),"",IFERROR(INDEX($F$27:$F$36,MATCH(C3018,($F$27:$F$36)*($D$27:$D$36&lt;&gt;0),0)),IF(OR(AND(D3018=0,B3018=0,B3019&lt;&gt;0),AND(D3018*D3017&lt;0,B3018&lt;&gt;0)),IF(D3018=0,C3018,C3018*(1-ABS(D3018)/(ABS(D3018)+ABS(D3017)))+C3017*(1-ABS(D3017)/(ABS(D3018)+ABS(D3017)))),"")))</f>
        <v>#NAME?</v>
      </c>
    </row>
    <row r="3019" spans="2:5" x14ac:dyDescent="0.25">
      <c r="B3019" t="e">
        <f t="shared" ca="1" si="95"/>
        <v>#NAME?</v>
      </c>
      <c r="C3019">
        <v>2976</v>
      </c>
      <c r="D3019" t="e">
        <f t="shared" ca="1" si="94"/>
        <v>#NAME?</v>
      </c>
      <c r="E3019" s="115" t="e">
        <f t="array" aca="1" ref="E3019" ca="1">IF(OR(C3018=0,AND(B3020=0,C3020=0)),"",IFERROR(INDEX($F$27:$F$36,MATCH(C3019,($F$27:$F$36)*($D$27:$D$36&lt;&gt;0),0)),IF(OR(AND(D3019=0,B3019=0,B3020&lt;&gt;0),AND(D3019*D3018&lt;0,B3019&lt;&gt;0)),IF(D3019=0,C3019,C3019*(1-ABS(D3019)/(ABS(D3019)+ABS(D3018)))+C3018*(1-ABS(D3018)/(ABS(D3019)+ABS(D3018)))),"")))</f>
        <v>#NAME?</v>
      </c>
    </row>
    <row r="3020" spans="2:5" x14ac:dyDescent="0.25">
      <c r="B3020" t="e">
        <f t="shared" ca="1" si="95"/>
        <v>#NAME?</v>
      </c>
      <c r="C3020">
        <v>2977</v>
      </c>
      <c r="D3020" t="e">
        <f t="shared" ca="1" si="94"/>
        <v>#NAME?</v>
      </c>
      <c r="E3020" s="115" t="e">
        <f t="array" aca="1" ref="E3020" ca="1">IF(OR(C3019=0,AND(B3021=0,C3021=0)),"",IFERROR(INDEX($F$27:$F$36,MATCH(C3020,($F$27:$F$36)*($D$27:$D$36&lt;&gt;0),0)),IF(OR(AND(D3020=0,B3020=0,B3021&lt;&gt;0),AND(D3020*D3019&lt;0,B3020&lt;&gt;0)),IF(D3020=0,C3020,C3020*(1-ABS(D3020)/(ABS(D3020)+ABS(D3019)))+C3019*(1-ABS(D3019)/(ABS(D3020)+ABS(D3019)))),"")))</f>
        <v>#NAME?</v>
      </c>
    </row>
    <row r="3021" spans="2:5" x14ac:dyDescent="0.25">
      <c r="B3021" t="e">
        <f t="shared" ca="1" si="95"/>
        <v>#NAME?</v>
      </c>
      <c r="C3021">
        <v>2978</v>
      </c>
      <c r="D3021" t="e">
        <f t="shared" ca="1" si="94"/>
        <v>#NAME?</v>
      </c>
      <c r="E3021" s="115" t="e">
        <f t="array" aca="1" ref="E3021" ca="1">IF(OR(C3020=0,AND(B3022=0,C3022=0)),"",IFERROR(INDEX($F$27:$F$36,MATCH(C3021,($F$27:$F$36)*($D$27:$D$36&lt;&gt;0),0)),IF(OR(AND(D3021=0,B3021=0,B3022&lt;&gt;0),AND(D3021*D3020&lt;0,B3021&lt;&gt;0)),IF(D3021=0,C3021,C3021*(1-ABS(D3021)/(ABS(D3021)+ABS(D3020)))+C3020*(1-ABS(D3020)/(ABS(D3021)+ABS(D3020)))),"")))</f>
        <v>#NAME?</v>
      </c>
    </row>
    <row r="3022" spans="2:5" x14ac:dyDescent="0.25">
      <c r="B3022" t="e">
        <f t="shared" ca="1" si="95"/>
        <v>#NAME?</v>
      </c>
      <c r="C3022">
        <v>2979</v>
      </c>
      <c r="D3022" t="e">
        <f t="shared" ca="1" si="94"/>
        <v>#NAME?</v>
      </c>
      <c r="E3022" s="115" t="e">
        <f t="array" aca="1" ref="E3022" ca="1">IF(OR(C3021=0,AND(B3023=0,C3023=0)),"",IFERROR(INDEX($F$27:$F$36,MATCH(C3022,($F$27:$F$36)*($D$27:$D$36&lt;&gt;0),0)),IF(OR(AND(D3022=0,B3022=0,B3023&lt;&gt;0),AND(D3022*D3021&lt;0,B3022&lt;&gt;0)),IF(D3022=0,C3022,C3022*(1-ABS(D3022)/(ABS(D3022)+ABS(D3021)))+C3021*(1-ABS(D3021)/(ABS(D3022)+ABS(D3021)))),"")))</f>
        <v>#NAME?</v>
      </c>
    </row>
    <row r="3023" spans="2:5" x14ac:dyDescent="0.25">
      <c r="B3023" t="e">
        <f t="shared" ca="1" si="95"/>
        <v>#NAME?</v>
      </c>
      <c r="C3023">
        <v>2980</v>
      </c>
      <c r="D3023" t="e">
        <f t="shared" ca="1" si="94"/>
        <v>#NAME?</v>
      </c>
      <c r="E3023" s="115" t="e">
        <f t="array" aca="1" ref="E3023" ca="1">IF(OR(C3022=0,AND(B3024=0,C3024=0)),"",IFERROR(INDEX($F$27:$F$36,MATCH(C3023,($F$27:$F$36)*($D$27:$D$36&lt;&gt;0),0)),IF(OR(AND(D3023=0,B3023=0,B3024&lt;&gt;0),AND(D3023*D3022&lt;0,B3023&lt;&gt;0)),IF(D3023=0,C3023,C3023*(1-ABS(D3023)/(ABS(D3023)+ABS(D3022)))+C3022*(1-ABS(D3022)/(ABS(D3023)+ABS(D3022)))),"")))</f>
        <v>#NAME?</v>
      </c>
    </row>
    <row r="3024" spans="2:5" x14ac:dyDescent="0.25">
      <c r="B3024" t="e">
        <f t="shared" ca="1" si="95"/>
        <v>#NAME?</v>
      </c>
      <c r="C3024">
        <v>2981</v>
      </c>
      <c r="D3024" t="e">
        <f t="shared" ca="1" si="94"/>
        <v>#NAME?</v>
      </c>
      <c r="E3024" s="115" t="e">
        <f t="array" aca="1" ref="E3024" ca="1">IF(OR(C3023=0,AND(B3025=0,C3025=0)),"",IFERROR(INDEX($F$27:$F$36,MATCH(C3024,($F$27:$F$36)*($D$27:$D$36&lt;&gt;0),0)),IF(OR(AND(D3024=0,B3024=0,B3025&lt;&gt;0),AND(D3024*D3023&lt;0,B3024&lt;&gt;0)),IF(D3024=0,C3024,C3024*(1-ABS(D3024)/(ABS(D3024)+ABS(D3023)))+C3023*(1-ABS(D3023)/(ABS(D3024)+ABS(D3023)))),"")))</f>
        <v>#NAME?</v>
      </c>
    </row>
    <row r="3025" spans="2:5" x14ac:dyDescent="0.25">
      <c r="B3025" t="e">
        <f t="shared" ca="1" si="95"/>
        <v>#NAME?</v>
      </c>
      <c r="C3025">
        <v>2982</v>
      </c>
      <c r="D3025" t="e">
        <f t="shared" ca="1" si="94"/>
        <v>#NAME?</v>
      </c>
      <c r="E3025" s="115" t="e">
        <f t="array" aca="1" ref="E3025" ca="1">IF(OR(C3024=0,AND(B3026=0,C3026=0)),"",IFERROR(INDEX($F$27:$F$36,MATCH(C3025,($F$27:$F$36)*($D$27:$D$36&lt;&gt;0),0)),IF(OR(AND(D3025=0,B3025=0,B3026&lt;&gt;0),AND(D3025*D3024&lt;0,B3025&lt;&gt;0)),IF(D3025=0,C3025,C3025*(1-ABS(D3025)/(ABS(D3025)+ABS(D3024)))+C3024*(1-ABS(D3024)/(ABS(D3025)+ABS(D3024)))),"")))</f>
        <v>#NAME?</v>
      </c>
    </row>
    <row r="3026" spans="2:5" x14ac:dyDescent="0.25">
      <c r="B3026" t="e">
        <f t="shared" ca="1" si="95"/>
        <v>#NAME?</v>
      </c>
      <c r="C3026">
        <v>2983</v>
      </c>
      <c r="D3026" t="e">
        <f t="shared" ca="1" si="94"/>
        <v>#NAME?</v>
      </c>
      <c r="E3026" s="115" t="e">
        <f t="array" aca="1" ref="E3026" ca="1">IF(OR(C3025=0,AND(B3027=0,C3027=0)),"",IFERROR(INDEX($F$27:$F$36,MATCH(C3026,($F$27:$F$36)*($D$27:$D$36&lt;&gt;0),0)),IF(OR(AND(D3026=0,B3026=0,B3027&lt;&gt;0),AND(D3026*D3025&lt;0,B3026&lt;&gt;0)),IF(D3026=0,C3026,C3026*(1-ABS(D3026)/(ABS(D3026)+ABS(D3025)))+C3025*(1-ABS(D3025)/(ABS(D3026)+ABS(D3025)))),"")))</f>
        <v>#NAME?</v>
      </c>
    </row>
    <row r="3027" spans="2:5" x14ac:dyDescent="0.25">
      <c r="B3027" t="e">
        <f t="shared" ca="1" si="95"/>
        <v>#NAME?</v>
      </c>
      <c r="C3027">
        <v>2984</v>
      </c>
      <c r="D3027" t="e">
        <f t="shared" ca="1" si="94"/>
        <v>#NAME?</v>
      </c>
      <c r="E3027" s="115" t="e">
        <f t="array" aca="1" ref="E3027" ca="1">IF(OR(C3026=0,AND(B3028=0,C3028=0)),"",IFERROR(INDEX($F$27:$F$36,MATCH(C3027,($F$27:$F$36)*($D$27:$D$36&lt;&gt;0),0)),IF(OR(AND(D3027=0,B3027=0,B3028&lt;&gt;0),AND(D3027*D3026&lt;0,B3027&lt;&gt;0)),IF(D3027=0,C3027,C3027*(1-ABS(D3027)/(ABS(D3027)+ABS(D3026)))+C3026*(1-ABS(D3026)/(ABS(D3027)+ABS(D3026)))),"")))</f>
        <v>#NAME?</v>
      </c>
    </row>
    <row r="3028" spans="2:5" x14ac:dyDescent="0.25">
      <c r="B3028" t="e">
        <f t="shared" ca="1" si="95"/>
        <v>#NAME?</v>
      </c>
      <c r="C3028">
        <v>2985</v>
      </c>
      <c r="D3028" t="e">
        <f t="shared" ca="1" si="94"/>
        <v>#NAME?</v>
      </c>
      <c r="E3028" s="115" t="e">
        <f t="array" aca="1" ref="E3028" ca="1">IF(OR(C3027=0,AND(B3029=0,C3029=0)),"",IFERROR(INDEX($F$27:$F$36,MATCH(C3028,($F$27:$F$36)*($D$27:$D$36&lt;&gt;0),0)),IF(OR(AND(D3028=0,B3028=0,B3029&lt;&gt;0),AND(D3028*D3027&lt;0,B3028&lt;&gt;0)),IF(D3028=0,C3028,C3028*(1-ABS(D3028)/(ABS(D3028)+ABS(D3027)))+C3027*(1-ABS(D3027)/(ABS(D3028)+ABS(D3027)))),"")))</f>
        <v>#NAME?</v>
      </c>
    </row>
    <row r="3029" spans="2:5" x14ac:dyDescent="0.25">
      <c r="B3029" t="e">
        <f t="shared" ca="1" si="95"/>
        <v>#NAME?</v>
      </c>
      <c r="C3029">
        <v>2986</v>
      </c>
      <c r="D3029" t="e">
        <f t="shared" ca="1" si="94"/>
        <v>#NAME?</v>
      </c>
      <c r="E3029" s="115" t="e">
        <f t="array" aca="1" ref="E3029" ca="1">IF(OR(C3028=0,AND(B3030=0,C3030=0)),"",IFERROR(INDEX($F$27:$F$36,MATCH(C3029,($F$27:$F$36)*($D$27:$D$36&lt;&gt;0),0)),IF(OR(AND(D3029=0,B3029=0,B3030&lt;&gt;0),AND(D3029*D3028&lt;0,B3029&lt;&gt;0)),IF(D3029=0,C3029,C3029*(1-ABS(D3029)/(ABS(D3029)+ABS(D3028)))+C3028*(1-ABS(D3028)/(ABS(D3029)+ABS(D3028)))),"")))</f>
        <v>#NAME?</v>
      </c>
    </row>
    <row r="3030" spans="2:5" x14ac:dyDescent="0.25">
      <c r="B3030" t="e">
        <f t="shared" ca="1" si="95"/>
        <v>#NAME?</v>
      </c>
      <c r="C3030">
        <v>2987</v>
      </c>
      <c r="D3030" t="e">
        <f t="shared" ca="1" si="94"/>
        <v>#NAME?</v>
      </c>
      <c r="E3030" s="115" t="e">
        <f t="array" aca="1" ref="E3030" ca="1">IF(OR(C3029=0,AND(B3031=0,C3031=0)),"",IFERROR(INDEX($F$27:$F$36,MATCH(C3030,($F$27:$F$36)*($D$27:$D$36&lt;&gt;0),0)),IF(OR(AND(D3030=0,B3030=0,B3031&lt;&gt;0),AND(D3030*D3029&lt;0,B3030&lt;&gt;0)),IF(D3030=0,C3030,C3030*(1-ABS(D3030)/(ABS(D3030)+ABS(D3029)))+C3029*(1-ABS(D3029)/(ABS(D3030)+ABS(D3029)))),"")))</f>
        <v>#NAME?</v>
      </c>
    </row>
    <row r="3031" spans="2:5" x14ac:dyDescent="0.25">
      <c r="B3031" t="e">
        <f t="shared" ca="1" si="95"/>
        <v>#NAME?</v>
      </c>
      <c r="C3031">
        <v>2988</v>
      </c>
      <c r="D3031" t="e">
        <f t="shared" ca="1" si="94"/>
        <v>#NAME?</v>
      </c>
      <c r="E3031" s="115" t="e">
        <f t="array" aca="1" ref="E3031" ca="1">IF(OR(C3030=0,AND(B3032=0,C3032=0)),"",IFERROR(INDEX($F$27:$F$36,MATCH(C3031,($F$27:$F$36)*($D$27:$D$36&lt;&gt;0),0)),IF(OR(AND(D3031=0,B3031=0,B3032&lt;&gt;0),AND(D3031*D3030&lt;0,B3031&lt;&gt;0)),IF(D3031=0,C3031,C3031*(1-ABS(D3031)/(ABS(D3031)+ABS(D3030)))+C3030*(1-ABS(D3030)/(ABS(D3031)+ABS(D3030)))),"")))</f>
        <v>#NAME?</v>
      </c>
    </row>
    <row r="3032" spans="2:5" x14ac:dyDescent="0.25">
      <c r="B3032" t="e">
        <f t="shared" ca="1" si="95"/>
        <v>#NAME?</v>
      </c>
      <c r="C3032">
        <v>2989</v>
      </c>
      <c r="D3032" t="e">
        <f t="shared" ca="1" si="94"/>
        <v>#NAME?</v>
      </c>
      <c r="E3032" s="115" t="e">
        <f t="array" aca="1" ref="E3032" ca="1">IF(OR(C3031=0,AND(B3033=0,C3033=0)),"",IFERROR(INDEX($F$27:$F$36,MATCH(C3032,($F$27:$F$36)*($D$27:$D$36&lt;&gt;0),0)),IF(OR(AND(D3032=0,B3032=0,B3033&lt;&gt;0),AND(D3032*D3031&lt;0,B3032&lt;&gt;0)),IF(D3032=0,C3032,C3032*(1-ABS(D3032)/(ABS(D3032)+ABS(D3031)))+C3031*(1-ABS(D3031)/(ABS(D3032)+ABS(D3031)))),"")))</f>
        <v>#NAME?</v>
      </c>
    </row>
    <row r="3033" spans="2:5" x14ac:dyDescent="0.25">
      <c r="B3033" t="e">
        <f t="shared" ca="1" si="95"/>
        <v>#NAME?</v>
      </c>
      <c r="C3033">
        <v>2990</v>
      </c>
      <c r="D3033" t="e">
        <f t="shared" ca="1" si="94"/>
        <v>#NAME?</v>
      </c>
      <c r="E3033" s="115" t="e">
        <f t="array" aca="1" ref="E3033" ca="1">IF(OR(C3032=0,AND(B3034=0,C3034=0)),"",IFERROR(INDEX($F$27:$F$36,MATCH(C3033,($F$27:$F$36)*($D$27:$D$36&lt;&gt;0),0)),IF(OR(AND(D3033=0,B3033=0,B3034&lt;&gt;0),AND(D3033*D3032&lt;0,B3033&lt;&gt;0)),IF(D3033=0,C3033,C3033*(1-ABS(D3033)/(ABS(D3033)+ABS(D3032)))+C3032*(1-ABS(D3032)/(ABS(D3033)+ABS(D3032)))),"")))</f>
        <v>#NAME?</v>
      </c>
    </row>
    <row r="3034" spans="2:5" x14ac:dyDescent="0.25">
      <c r="B3034" t="e">
        <f t="shared" ca="1" si="95"/>
        <v>#NAME?</v>
      </c>
      <c r="C3034">
        <v>2991</v>
      </c>
      <c r="D3034" t="e">
        <f t="shared" ca="1" si="94"/>
        <v>#NAME?</v>
      </c>
      <c r="E3034" s="115" t="e">
        <f t="array" aca="1" ref="E3034" ca="1">IF(OR(C3033=0,AND(B3035=0,C3035=0)),"",IFERROR(INDEX($F$27:$F$36,MATCH(C3034,($F$27:$F$36)*($D$27:$D$36&lt;&gt;0),0)),IF(OR(AND(D3034=0,B3034=0,B3035&lt;&gt;0),AND(D3034*D3033&lt;0,B3034&lt;&gt;0)),IF(D3034=0,C3034,C3034*(1-ABS(D3034)/(ABS(D3034)+ABS(D3033)))+C3033*(1-ABS(D3033)/(ABS(D3034)+ABS(D3033)))),"")))</f>
        <v>#NAME?</v>
      </c>
    </row>
    <row r="3035" spans="2:5" x14ac:dyDescent="0.25">
      <c r="B3035" t="e">
        <f t="shared" ca="1" si="95"/>
        <v>#NAME?</v>
      </c>
      <c r="C3035">
        <v>2992</v>
      </c>
      <c r="D3035" t="e">
        <f t="shared" ca="1" si="94"/>
        <v>#NAME?</v>
      </c>
      <c r="E3035" s="115" t="e">
        <f t="array" aca="1" ref="E3035" ca="1">IF(OR(C3034=0,AND(B3036=0,C3036=0)),"",IFERROR(INDEX($F$27:$F$36,MATCH(C3035,($F$27:$F$36)*($D$27:$D$36&lt;&gt;0),0)),IF(OR(AND(D3035=0,B3035=0,B3036&lt;&gt;0),AND(D3035*D3034&lt;0,B3035&lt;&gt;0)),IF(D3035=0,C3035,C3035*(1-ABS(D3035)/(ABS(D3035)+ABS(D3034)))+C3034*(1-ABS(D3034)/(ABS(D3035)+ABS(D3034)))),"")))</f>
        <v>#NAME?</v>
      </c>
    </row>
    <row r="3036" spans="2:5" x14ac:dyDescent="0.25">
      <c r="B3036" t="e">
        <f t="shared" ca="1" si="95"/>
        <v>#NAME?</v>
      </c>
      <c r="C3036">
        <v>2993</v>
      </c>
      <c r="D3036" t="e">
        <f t="shared" ca="1" si="94"/>
        <v>#NAME?</v>
      </c>
      <c r="E3036" s="115" t="e">
        <f t="array" aca="1" ref="E3036" ca="1">IF(OR(C3035=0,AND(B3037=0,C3037=0)),"",IFERROR(INDEX($F$27:$F$36,MATCH(C3036,($F$27:$F$36)*($D$27:$D$36&lt;&gt;0),0)),IF(OR(AND(D3036=0,B3036=0,B3037&lt;&gt;0),AND(D3036*D3035&lt;0,B3036&lt;&gt;0)),IF(D3036=0,C3036,C3036*(1-ABS(D3036)/(ABS(D3036)+ABS(D3035)))+C3035*(1-ABS(D3035)/(ABS(D3036)+ABS(D3035)))),"")))</f>
        <v>#NAME?</v>
      </c>
    </row>
    <row r="3037" spans="2:5" x14ac:dyDescent="0.25">
      <c r="B3037" t="e">
        <f t="shared" ca="1" si="95"/>
        <v>#NAME?</v>
      </c>
      <c r="C3037">
        <v>2994</v>
      </c>
      <c r="D3037" t="e">
        <f t="shared" ca="1" si="94"/>
        <v>#NAME?</v>
      </c>
      <c r="E3037" s="115" t="e">
        <f t="array" aca="1" ref="E3037" ca="1">IF(OR(C3036=0,AND(B3038=0,C3038=0)),"",IFERROR(INDEX($F$27:$F$36,MATCH(C3037,($F$27:$F$36)*($D$27:$D$36&lt;&gt;0),0)),IF(OR(AND(D3037=0,B3037=0,B3038&lt;&gt;0),AND(D3037*D3036&lt;0,B3037&lt;&gt;0)),IF(D3037=0,C3037,C3037*(1-ABS(D3037)/(ABS(D3037)+ABS(D3036)))+C3036*(1-ABS(D3036)/(ABS(D3037)+ABS(D3036)))),"")))</f>
        <v>#NAME?</v>
      </c>
    </row>
    <row r="3038" spans="2:5" x14ac:dyDescent="0.25">
      <c r="B3038" t="e">
        <f t="shared" ca="1" si="95"/>
        <v>#NAME?</v>
      </c>
      <c r="C3038">
        <v>2995</v>
      </c>
      <c r="D3038" t="e">
        <f t="shared" ca="1" si="94"/>
        <v>#NAME?</v>
      </c>
      <c r="E3038" s="115" t="e">
        <f t="array" aca="1" ref="E3038" ca="1">IF(OR(C3037=0,AND(B3039=0,C3039=0)),"",IFERROR(INDEX($F$27:$F$36,MATCH(C3038,($F$27:$F$36)*($D$27:$D$36&lt;&gt;0),0)),IF(OR(AND(D3038=0,B3038=0,B3039&lt;&gt;0),AND(D3038*D3037&lt;0,B3038&lt;&gt;0)),IF(D3038=0,C3038,C3038*(1-ABS(D3038)/(ABS(D3038)+ABS(D3037)))+C3037*(1-ABS(D3037)/(ABS(D3038)+ABS(D3037)))),"")))</f>
        <v>#NAME?</v>
      </c>
    </row>
    <row r="3039" spans="2:5" x14ac:dyDescent="0.25">
      <c r="B3039" t="e">
        <f t="shared" ca="1" si="95"/>
        <v>#NAME?</v>
      </c>
      <c r="C3039">
        <v>2996</v>
      </c>
      <c r="D3039" t="e">
        <f t="shared" ca="1" si="94"/>
        <v>#NAME?</v>
      </c>
      <c r="E3039" s="115" t="e">
        <f t="array" aca="1" ref="E3039" ca="1">IF(OR(C3038=0,AND(B3040=0,C3040=0)),"",IFERROR(INDEX($F$27:$F$36,MATCH(C3039,($F$27:$F$36)*($D$27:$D$36&lt;&gt;0),0)),IF(OR(AND(D3039=0,B3039=0,B3040&lt;&gt;0),AND(D3039*D3038&lt;0,B3039&lt;&gt;0)),IF(D3039=0,C3039,C3039*(1-ABS(D3039)/(ABS(D3039)+ABS(D3038)))+C3038*(1-ABS(D3038)/(ABS(D3039)+ABS(D3038)))),"")))</f>
        <v>#NAME?</v>
      </c>
    </row>
    <row r="3040" spans="2:5" x14ac:dyDescent="0.25">
      <c r="B3040" t="e">
        <f t="shared" ca="1" si="95"/>
        <v>#NAME?</v>
      </c>
      <c r="C3040">
        <v>2997</v>
      </c>
      <c r="D3040" t="e">
        <f t="shared" ca="1" si="94"/>
        <v>#NAME?</v>
      </c>
      <c r="E3040" s="115" t="e">
        <f t="array" aca="1" ref="E3040" ca="1">IF(OR(C3039=0,AND(B3041=0,C3041=0)),"",IFERROR(INDEX($F$27:$F$36,MATCH(C3040,($F$27:$F$36)*($D$27:$D$36&lt;&gt;0),0)),IF(OR(AND(D3040=0,B3040=0,B3041&lt;&gt;0),AND(D3040*D3039&lt;0,B3040&lt;&gt;0)),IF(D3040=0,C3040,C3040*(1-ABS(D3040)/(ABS(D3040)+ABS(D3039)))+C3039*(1-ABS(D3039)/(ABS(D3040)+ABS(D3039)))),"")))</f>
        <v>#NAME?</v>
      </c>
    </row>
    <row r="3041" spans="2:5" x14ac:dyDescent="0.25">
      <c r="B3041" t="e">
        <f t="shared" ca="1" si="95"/>
        <v>#NAME?</v>
      </c>
      <c r="C3041">
        <v>2998</v>
      </c>
      <c r="D3041" t="e">
        <f t="shared" ca="1" si="94"/>
        <v>#NAME?</v>
      </c>
      <c r="E3041" s="115" t="e">
        <f t="array" aca="1" ref="E3041" ca="1">IF(OR(C3040=0,AND(B3042=0,C3042=0)),"",IFERROR(INDEX($F$27:$F$36,MATCH(C3041,($F$27:$F$36)*($D$27:$D$36&lt;&gt;0),0)),IF(OR(AND(D3041=0,B3041=0,B3042&lt;&gt;0),AND(D3041*D3040&lt;0,B3041&lt;&gt;0)),IF(D3041=0,C3041,C3041*(1-ABS(D3041)/(ABS(D3041)+ABS(D3040)))+C3040*(1-ABS(D3040)/(ABS(D3041)+ABS(D3040)))),"")))</f>
        <v>#NAME?</v>
      </c>
    </row>
    <row r="3042" spans="2:5" x14ac:dyDescent="0.25">
      <c r="B3042" t="e">
        <f t="shared" ca="1" si="95"/>
        <v>#NAME?</v>
      </c>
      <c r="C3042">
        <v>2999</v>
      </c>
      <c r="D3042" t="e">
        <f t="shared" ca="1" si="94"/>
        <v>#NAME?</v>
      </c>
      <c r="E3042" s="115" t="e">
        <f t="array" aca="1" ref="E3042" ca="1">IF(OR(C3041=0,AND(B3043=0,C3043=0)),"",IFERROR(INDEX($F$27:$F$36,MATCH(C3042,($F$27:$F$36)*($D$27:$D$36&lt;&gt;0),0)),IF(OR(AND(D3042=0,B3042=0,B3043&lt;&gt;0),AND(D3042*D3041&lt;0,B3042&lt;&gt;0)),IF(D3042=0,C3042,C3042*(1-ABS(D3042)/(ABS(D3042)+ABS(D3041)))+C3041*(1-ABS(D3041)/(ABS(D3042)+ABS(D3041)))),"")))</f>
        <v>#NAME?</v>
      </c>
    </row>
    <row r="3043" spans="2:5" x14ac:dyDescent="0.25">
      <c r="B3043" t="e">
        <f t="shared" ca="1" si="95"/>
        <v>#NAME?</v>
      </c>
      <c r="C3043">
        <v>3000</v>
      </c>
      <c r="D3043" t="e">
        <f t="shared" ca="1" si="94"/>
        <v>#NAME?</v>
      </c>
      <c r="E3043" s="115" t="e">
        <f t="array" aca="1" ref="E3043" ca="1">IF(OR(C3042=0,AND(B3044=0,C3044=0)),"",IFERROR(INDEX($F$27:$F$36,MATCH(C3043,($F$27:$F$36)*($D$27:$D$36&lt;&gt;0),0)),IF(OR(AND(D3043=0,B3043=0,B3044&lt;&gt;0),AND(D3043*D3042&lt;0,B3043&lt;&gt;0)),IF(D3043=0,C3043,C3043*(1-ABS(D3043)/(ABS(D3043)+ABS(D3042)))+C3042*(1-ABS(D3042)/(ABS(D3043)+ABS(D3042)))),"")))</f>
        <v>#NAME?</v>
      </c>
    </row>
    <row r="3044" spans="2:5" x14ac:dyDescent="0.25">
      <c r="B3044" t="e">
        <f t="shared" ca="1" si="95"/>
        <v>#NAME?</v>
      </c>
      <c r="C3044">
        <v>3001</v>
      </c>
      <c r="D3044" t="e">
        <f t="shared" ca="1" si="94"/>
        <v>#NAME?</v>
      </c>
      <c r="E3044" s="115" t="e">
        <f t="array" aca="1" ref="E3044" ca="1">IF(OR(C3043=0,AND(B3045=0,C3045=0)),"",IFERROR(INDEX($F$27:$F$36,MATCH(C3044,($F$27:$F$36)*($D$27:$D$36&lt;&gt;0),0)),IF(OR(AND(D3044=0,B3044=0,B3045&lt;&gt;0),AND(D3044*D3043&lt;0,B3044&lt;&gt;0)),IF(D3044=0,C3044,C3044*(1-ABS(D3044)/(ABS(D3044)+ABS(D3043)))+C3043*(1-ABS(D3043)/(ABS(D3044)+ABS(D3043)))),"")))</f>
        <v>#NAME?</v>
      </c>
    </row>
    <row r="3045" spans="2:5" x14ac:dyDescent="0.25">
      <c r="B3045" t="e">
        <f t="shared" ca="1" si="95"/>
        <v>#NAME?</v>
      </c>
      <c r="C3045">
        <v>3002</v>
      </c>
      <c r="D3045" t="e">
        <f t="shared" ca="1" si="94"/>
        <v>#NAME?</v>
      </c>
      <c r="E3045" s="115" t="e">
        <f t="array" aca="1" ref="E3045" ca="1">IF(OR(C3044=0,AND(B3046=0,C3046=0)),"",IFERROR(INDEX($F$27:$F$36,MATCH(C3045,($F$27:$F$36)*($D$27:$D$36&lt;&gt;0),0)),IF(OR(AND(D3045=0,B3045=0,B3046&lt;&gt;0),AND(D3045*D3044&lt;0,B3045&lt;&gt;0)),IF(D3045=0,C3045,C3045*(1-ABS(D3045)/(ABS(D3045)+ABS(D3044)))+C3044*(1-ABS(D3044)/(ABS(D3045)+ABS(D3044)))),"")))</f>
        <v>#NAME?</v>
      </c>
    </row>
    <row r="3046" spans="2:5" x14ac:dyDescent="0.25">
      <c r="B3046" t="e">
        <f t="shared" ca="1" si="95"/>
        <v>#NAME?</v>
      </c>
      <c r="C3046">
        <v>3003</v>
      </c>
      <c r="D3046" t="e">
        <f t="shared" ca="1" si="94"/>
        <v>#NAME?</v>
      </c>
      <c r="E3046" s="115" t="e">
        <f t="array" aca="1" ref="E3046" ca="1">IF(OR(C3045=0,AND(B3047=0,C3047=0)),"",IFERROR(INDEX($F$27:$F$36,MATCH(C3046,($F$27:$F$36)*($D$27:$D$36&lt;&gt;0),0)),IF(OR(AND(D3046=0,B3046=0,B3047&lt;&gt;0),AND(D3046*D3045&lt;0,B3046&lt;&gt;0)),IF(D3046=0,C3046,C3046*(1-ABS(D3046)/(ABS(D3046)+ABS(D3045)))+C3045*(1-ABS(D3045)/(ABS(D3046)+ABS(D3045)))),"")))</f>
        <v>#NAME?</v>
      </c>
    </row>
    <row r="3047" spans="2:5" x14ac:dyDescent="0.25">
      <c r="B3047" t="e">
        <f t="shared" ca="1" si="95"/>
        <v>#NAME?</v>
      </c>
      <c r="C3047">
        <v>3004</v>
      </c>
      <c r="D3047" t="e">
        <f t="shared" ca="1" si="94"/>
        <v>#NAME?</v>
      </c>
      <c r="E3047" s="115" t="e">
        <f t="array" aca="1" ref="E3047" ca="1">IF(OR(C3046=0,AND(B3048=0,C3048=0)),"",IFERROR(INDEX($F$27:$F$36,MATCH(C3047,($F$27:$F$36)*($D$27:$D$36&lt;&gt;0),0)),IF(OR(AND(D3047=0,B3047=0,B3048&lt;&gt;0),AND(D3047*D3046&lt;0,B3047&lt;&gt;0)),IF(D3047=0,C3047,C3047*(1-ABS(D3047)/(ABS(D3047)+ABS(D3046)))+C3046*(1-ABS(D3046)/(ABS(D3047)+ABS(D3046)))),"")))</f>
        <v>#NAME?</v>
      </c>
    </row>
    <row r="3048" spans="2:5" x14ac:dyDescent="0.25">
      <c r="B3048" t="e">
        <f t="shared" ca="1" si="95"/>
        <v>#NAME?</v>
      </c>
      <c r="C3048">
        <v>3005</v>
      </c>
      <c r="D3048" t="e">
        <f t="shared" ca="1" si="94"/>
        <v>#NAME?</v>
      </c>
      <c r="E3048" s="115" t="e">
        <f t="array" aca="1" ref="E3048" ca="1">IF(OR(C3047=0,AND(B3049=0,C3049=0)),"",IFERROR(INDEX($F$27:$F$36,MATCH(C3048,($F$27:$F$36)*($D$27:$D$36&lt;&gt;0),0)),IF(OR(AND(D3048=0,B3048=0,B3049&lt;&gt;0),AND(D3048*D3047&lt;0,B3048&lt;&gt;0)),IF(D3048=0,C3048,C3048*(1-ABS(D3048)/(ABS(D3048)+ABS(D3047)))+C3047*(1-ABS(D3047)/(ABS(D3048)+ABS(D3047)))),"")))</f>
        <v>#NAME?</v>
      </c>
    </row>
    <row r="3049" spans="2:5" x14ac:dyDescent="0.25">
      <c r="B3049" t="e">
        <f t="shared" ca="1" si="95"/>
        <v>#NAME?</v>
      </c>
      <c r="C3049">
        <v>3006</v>
      </c>
      <c r="D3049" t="e">
        <f t="shared" ca="1" si="94"/>
        <v>#NAME?</v>
      </c>
      <c r="E3049" s="115" t="e">
        <f t="array" aca="1" ref="E3049" ca="1">IF(OR(C3048=0,AND(B3050=0,C3050=0)),"",IFERROR(INDEX($F$27:$F$36,MATCH(C3049,($F$27:$F$36)*($D$27:$D$36&lt;&gt;0),0)),IF(OR(AND(D3049=0,B3049=0,B3050&lt;&gt;0),AND(D3049*D3048&lt;0,B3049&lt;&gt;0)),IF(D3049=0,C3049,C3049*(1-ABS(D3049)/(ABS(D3049)+ABS(D3048)))+C3048*(1-ABS(D3048)/(ABS(D3049)+ABS(D3048)))),"")))</f>
        <v>#NAME?</v>
      </c>
    </row>
    <row r="3050" spans="2:5" x14ac:dyDescent="0.25">
      <c r="B3050" t="e">
        <f t="shared" ca="1" si="95"/>
        <v>#NAME?</v>
      </c>
      <c r="C3050">
        <v>3007</v>
      </c>
      <c r="D3050" t="e">
        <f t="shared" ca="1" si="94"/>
        <v>#NAME?</v>
      </c>
      <c r="E3050" s="115" t="e">
        <f t="array" aca="1" ref="E3050" ca="1">IF(OR(C3049=0,AND(B3051=0,C3051=0)),"",IFERROR(INDEX($F$27:$F$36,MATCH(C3050,($F$27:$F$36)*($D$27:$D$36&lt;&gt;0),0)),IF(OR(AND(D3050=0,B3050=0,B3051&lt;&gt;0),AND(D3050*D3049&lt;0,B3050&lt;&gt;0)),IF(D3050=0,C3050,C3050*(1-ABS(D3050)/(ABS(D3050)+ABS(D3049)))+C3049*(1-ABS(D3049)/(ABS(D3050)+ABS(D3049)))),"")))</f>
        <v>#NAME?</v>
      </c>
    </row>
    <row r="3051" spans="2:5" x14ac:dyDescent="0.25">
      <c r="B3051" t="e">
        <f t="shared" ca="1" si="95"/>
        <v>#NAME?</v>
      </c>
      <c r="C3051">
        <v>3008</v>
      </c>
      <c r="D3051" t="e">
        <f t="shared" ref="D3051:D3114" ca="1" si="96">SUMPRODUCT(--($J$27:$J$37&gt;0),--($C3051-$F$27:$F$37&gt;0),($D$27:$D$37),($C3051-$F$27:$F$37))+SUMPRODUCT(--($J$27:$J$37&lt;0),--($F$27:$F$37-$C3051&gt;0),($D$27:$D$37),($F$27:$F$37-$C3051))-SUMPRODUCT($D$27:$D$37,$E$27:$E$37)</f>
        <v>#NAME?</v>
      </c>
      <c r="E3051" s="115" t="e">
        <f t="array" aca="1" ref="E3051" ca="1">IF(OR(C3050=0,AND(B3052=0,C3052=0)),"",IFERROR(INDEX($F$27:$F$36,MATCH(C3051,($F$27:$F$36)*($D$27:$D$36&lt;&gt;0),0)),IF(OR(AND(D3051=0,B3051=0,B3052&lt;&gt;0),AND(D3051*D3050&lt;0,B3051&lt;&gt;0)),IF(D3051=0,C3051,C3051*(1-ABS(D3051)/(ABS(D3051)+ABS(D3050)))+C3050*(1-ABS(D3050)/(ABS(D3051)+ABS(D3050)))),"")))</f>
        <v>#NAME?</v>
      </c>
    </row>
    <row r="3052" spans="2:5" x14ac:dyDescent="0.25">
      <c r="B3052" t="e">
        <f t="shared" ref="B3052:B3115" ca="1" si="97">ROUND((D3052-D3051)/(C3052-C3051),12)</f>
        <v>#NAME?</v>
      </c>
      <c r="C3052">
        <v>3009</v>
      </c>
      <c r="D3052" t="e">
        <f t="shared" ca="1" si="96"/>
        <v>#NAME?</v>
      </c>
      <c r="E3052" s="115" t="e">
        <f t="array" aca="1" ref="E3052" ca="1">IF(OR(C3051=0,AND(B3053=0,C3053=0)),"",IFERROR(INDEX($F$27:$F$36,MATCH(C3052,($F$27:$F$36)*($D$27:$D$36&lt;&gt;0),0)),IF(OR(AND(D3052=0,B3052=0,B3053&lt;&gt;0),AND(D3052*D3051&lt;0,B3052&lt;&gt;0)),IF(D3052=0,C3052,C3052*(1-ABS(D3052)/(ABS(D3052)+ABS(D3051)))+C3051*(1-ABS(D3051)/(ABS(D3052)+ABS(D3051)))),"")))</f>
        <v>#NAME?</v>
      </c>
    </row>
    <row r="3053" spans="2:5" x14ac:dyDescent="0.25">
      <c r="B3053" t="e">
        <f t="shared" ca="1" si="97"/>
        <v>#NAME?</v>
      </c>
      <c r="C3053">
        <v>3010</v>
      </c>
      <c r="D3053" t="e">
        <f t="shared" ca="1" si="96"/>
        <v>#NAME?</v>
      </c>
      <c r="E3053" s="115" t="e">
        <f t="array" aca="1" ref="E3053" ca="1">IF(OR(C3052=0,AND(B3054=0,C3054=0)),"",IFERROR(INDEX($F$27:$F$36,MATCH(C3053,($F$27:$F$36)*($D$27:$D$36&lt;&gt;0),0)),IF(OR(AND(D3053=0,B3053=0,B3054&lt;&gt;0),AND(D3053*D3052&lt;0,B3053&lt;&gt;0)),IF(D3053=0,C3053,C3053*(1-ABS(D3053)/(ABS(D3053)+ABS(D3052)))+C3052*(1-ABS(D3052)/(ABS(D3053)+ABS(D3052)))),"")))</f>
        <v>#NAME?</v>
      </c>
    </row>
    <row r="3054" spans="2:5" x14ac:dyDescent="0.25">
      <c r="B3054" t="e">
        <f t="shared" ca="1" si="97"/>
        <v>#NAME?</v>
      </c>
      <c r="C3054">
        <v>3011</v>
      </c>
      <c r="D3054" t="e">
        <f t="shared" ca="1" si="96"/>
        <v>#NAME?</v>
      </c>
      <c r="E3054" s="115" t="e">
        <f t="array" aca="1" ref="E3054" ca="1">IF(OR(C3053=0,AND(B3055=0,C3055=0)),"",IFERROR(INDEX($F$27:$F$36,MATCH(C3054,($F$27:$F$36)*($D$27:$D$36&lt;&gt;0),0)),IF(OR(AND(D3054=0,B3054=0,B3055&lt;&gt;0),AND(D3054*D3053&lt;0,B3054&lt;&gt;0)),IF(D3054=0,C3054,C3054*(1-ABS(D3054)/(ABS(D3054)+ABS(D3053)))+C3053*(1-ABS(D3053)/(ABS(D3054)+ABS(D3053)))),"")))</f>
        <v>#NAME?</v>
      </c>
    </row>
    <row r="3055" spans="2:5" x14ac:dyDescent="0.25">
      <c r="B3055" t="e">
        <f t="shared" ca="1" si="97"/>
        <v>#NAME?</v>
      </c>
      <c r="C3055">
        <v>3012</v>
      </c>
      <c r="D3055" t="e">
        <f t="shared" ca="1" si="96"/>
        <v>#NAME?</v>
      </c>
      <c r="E3055" s="115" t="e">
        <f t="array" aca="1" ref="E3055" ca="1">IF(OR(C3054=0,AND(B3056=0,C3056=0)),"",IFERROR(INDEX($F$27:$F$36,MATCH(C3055,($F$27:$F$36)*($D$27:$D$36&lt;&gt;0),0)),IF(OR(AND(D3055=0,B3055=0,B3056&lt;&gt;0),AND(D3055*D3054&lt;0,B3055&lt;&gt;0)),IF(D3055=0,C3055,C3055*(1-ABS(D3055)/(ABS(D3055)+ABS(D3054)))+C3054*(1-ABS(D3054)/(ABS(D3055)+ABS(D3054)))),"")))</f>
        <v>#NAME?</v>
      </c>
    </row>
    <row r="3056" spans="2:5" x14ac:dyDescent="0.25">
      <c r="B3056" t="e">
        <f t="shared" ca="1" si="97"/>
        <v>#NAME?</v>
      </c>
      <c r="C3056">
        <v>3013</v>
      </c>
      <c r="D3056" t="e">
        <f t="shared" ca="1" si="96"/>
        <v>#NAME?</v>
      </c>
      <c r="E3056" s="115" t="e">
        <f t="array" aca="1" ref="E3056" ca="1">IF(OR(C3055=0,AND(B3057=0,C3057=0)),"",IFERROR(INDEX($F$27:$F$36,MATCH(C3056,($F$27:$F$36)*($D$27:$D$36&lt;&gt;0),0)),IF(OR(AND(D3056=0,B3056=0,B3057&lt;&gt;0),AND(D3056*D3055&lt;0,B3056&lt;&gt;0)),IF(D3056=0,C3056,C3056*(1-ABS(D3056)/(ABS(D3056)+ABS(D3055)))+C3055*(1-ABS(D3055)/(ABS(D3056)+ABS(D3055)))),"")))</f>
        <v>#NAME?</v>
      </c>
    </row>
    <row r="3057" spans="2:5" x14ac:dyDescent="0.25">
      <c r="B3057" t="e">
        <f t="shared" ca="1" si="97"/>
        <v>#NAME?</v>
      </c>
      <c r="C3057">
        <v>3014</v>
      </c>
      <c r="D3057" t="e">
        <f t="shared" ca="1" si="96"/>
        <v>#NAME?</v>
      </c>
      <c r="E3057" s="115" t="e">
        <f t="array" aca="1" ref="E3057" ca="1">IF(OR(C3056=0,AND(B3058=0,C3058=0)),"",IFERROR(INDEX($F$27:$F$36,MATCH(C3057,($F$27:$F$36)*($D$27:$D$36&lt;&gt;0),0)),IF(OR(AND(D3057=0,B3057=0,B3058&lt;&gt;0),AND(D3057*D3056&lt;0,B3057&lt;&gt;0)),IF(D3057=0,C3057,C3057*(1-ABS(D3057)/(ABS(D3057)+ABS(D3056)))+C3056*(1-ABS(D3056)/(ABS(D3057)+ABS(D3056)))),"")))</f>
        <v>#NAME?</v>
      </c>
    </row>
    <row r="3058" spans="2:5" x14ac:dyDescent="0.25">
      <c r="B3058" t="e">
        <f t="shared" ca="1" si="97"/>
        <v>#NAME?</v>
      </c>
      <c r="C3058">
        <v>3015</v>
      </c>
      <c r="D3058" t="e">
        <f t="shared" ca="1" si="96"/>
        <v>#NAME?</v>
      </c>
      <c r="E3058" s="115" t="e">
        <f t="array" aca="1" ref="E3058" ca="1">IF(OR(C3057=0,AND(B3059=0,C3059=0)),"",IFERROR(INDEX($F$27:$F$36,MATCH(C3058,($F$27:$F$36)*($D$27:$D$36&lt;&gt;0),0)),IF(OR(AND(D3058=0,B3058=0,B3059&lt;&gt;0),AND(D3058*D3057&lt;0,B3058&lt;&gt;0)),IF(D3058=0,C3058,C3058*(1-ABS(D3058)/(ABS(D3058)+ABS(D3057)))+C3057*(1-ABS(D3057)/(ABS(D3058)+ABS(D3057)))),"")))</f>
        <v>#NAME?</v>
      </c>
    </row>
    <row r="3059" spans="2:5" x14ac:dyDescent="0.25">
      <c r="B3059" t="e">
        <f t="shared" ca="1" si="97"/>
        <v>#NAME?</v>
      </c>
      <c r="C3059">
        <v>3016</v>
      </c>
      <c r="D3059" t="e">
        <f t="shared" ca="1" si="96"/>
        <v>#NAME?</v>
      </c>
      <c r="E3059" s="115" t="e">
        <f t="array" aca="1" ref="E3059" ca="1">IF(OR(C3058=0,AND(B3060=0,C3060=0)),"",IFERROR(INDEX($F$27:$F$36,MATCH(C3059,($F$27:$F$36)*($D$27:$D$36&lt;&gt;0),0)),IF(OR(AND(D3059=0,B3059=0,B3060&lt;&gt;0),AND(D3059*D3058&lt;0,B3059&lt;&gt;0)),IF(D3059=0,C3059,C3059*(1-ABS(D3059)/(ABS(D3059)+ABS(D3058)))+C3058*(1-ABS(D3058)/(ABS(D3059)+ABS(D3058)))),"")))</f>
        <v>#NAME?</v>
      </c>
    </row>
    <row r="3060" spans="2:5" x14ac:dyDescent="0.25">
      <c r="B3060" t="e">
        <f t="shared" ca="1" si="97"/>
        <v>#NAME?</v>
      </c>
      <c r="C3060">
        <v>3017</v>
      </c>
      <c r="D3060" t="e">
        <f t="shared" ca="1" si="96"/>
        <v>#NAME?</v>
      </c>
      <c r="E3060" s="115" t="e">
        <f t="array" aca="1" ref="E3060" ca="1">IF(OR(C3059=0,AND(B3061=0,C3061=0)),"",IFERROR(INDEX($F$27:$F$36,MATCH(C3060,($F$27:$F$36)*($D$27:$D$36&lt;&gt;0),0)),IF(OR(AND(D3060=0,B3060=0,B3061&lt;&gt;0),AND(D3060*D3059&lt;0,B3060&lt;&gt;0)),IF(D3060=0,C3060,C3060*(1-ABS(D3060)/(ABS(D3060)+ABS(D3059)))+C3059*(1-ABS(D3059)/(ABS(D3060)+ABS(D3059)))),"")))</f>
        <v>#NAME?</v>
      </c>
    </row>
    <row r="3061" spans="2:5" x14ac:dyDescent="0.25">
      <c r="B3061" t="e">
        <f t="shared" ca="1" si="97"/>
        <v>#NAME?</v>
      </c>
      <c r="C3061">
        <v>3018</v>
      </c>
      <c r="D3061" t="e">
        <f t="shared" ca="1" si="96"/>
        <v>#NAME?</v>
      </c>
      <c r="E3061" s="115" t="e">
        <f t="array" aca="1" ref="E3061" ca="1">IF(OR(C3060=0,AND(B3062=0,C3062=0)),"",IFERROR(INDEX($F$27:$F$36,MATCH(C3061,($F$27:$F$36)*($D$27:$D$36&lt;&gt;0),0)),IF(OR(AND(D3061=0,B3061=0,B3062&lt;&gt;0),AND(D3061*D3060&lt;0,B3061&lt;&gt;0)),IF(D3061=0,C3061,C3061*(1-ABS(D3061)/(ABS(D3061)+ABS(D3060)))+C3060*(1-ABS(D3060)/(ABS(D3061)+ABS(D3060)))),"")))</f>
        <v>#NAME?</v>
      </c>
    </row>
    <row r="3062" spans="2:5" x14ac:dyDescent="0.25">
      <c r="B3062" t="e">
        <f t="shared" ca="1" si="97"/>
        <v>#NAME?</v>
      </c>
      <c r="C3062">
        <v>3019</v>
      </c>
      <c r="D3062" t="e">
        <f t="shared" ca="1" si="96"/>
        <v>#NAME?</v>
      </c>
      <c r="E3062" s="115" t="e">
        <f t="array" aca="1" ref="E3062" ca="1">IF(OR(C3061=0,AND(B3063=0,C3063=0)),"",IFERROR(INDEX($F$27:$F$36,MATCH(C3062,($F$27:$F$36)*($D$27:$D$36&lt;&gt;0),0)),IF(OR(AND(D3062=0,B3062=0,B3063&lt;&gt;0),AND(D3062*D3061&lt;0,B3062&lt;&gt;0)),IF(D3062=0,C3062,C3062*(1-ABS(D3062)/(ABS(D3062)+ABS(D3061)))+C3061*(1-ABS(D3061)/(ABS(D3062)+ABS(D3061)))),"")))</f>
        <v>#NAME?</v>
      </c>
    </row>
    <row r="3063" spans="2:5" x14ac:dyDescent="0.25">
      <c r="B3063" t="e">
        <f t="shared" ca="1" si="97"/>
        <v>#NAME?</v>
      </c>
      <c r="C3063">
        <v>3020</v>
      </c>
      <c r="D3063" t="e">
        <f t="shared" ca="1" si="96"/>
        <v>#NAME?</v>
      </c>
      <c r="E3063" s="115" t="e">
        <f t="array" aca="1" ref="E3063" ca="1">IF(OR(C3062=0,AND(B3064=0,C3064=0)),"",IFERROR(INDEX($F$27:$F$36,MATCH(C3063,($F$27:$F$36)*($D$27:$D$36&lt;&gt;0),0)),IF(OR(AND(D3063=0,B3063=0,B3064&lt;&gt;0),AND(D3063*D3062&lt;0,B3063&lt;&gt;0)),IF(D3063=0,C3063,C3063*(1-ABS(D3063)/(ABS(D3063)+ABS(D3062)))+C3062*(1-ABS(D3062)/(ABS(D3063)+ABS(D3062)))),"")))</f>
        <v>#NAME?</v>
      </c>
    </row>
    <row r="3064" spans="2:5" x14ac:dyDescent="0.25">
      <c r="B3064" t="e">
        <f t="shared" ca="1" si="97"/>
        <v>#NAME?</v>
      </c>
      <c r="C3064">
        <v>3021</v>
      </c>
      <c r="D3064" t="e">
        <f t="shared" ca="1" si="96"/>
        <v>#NAME?</v>
      </c>
      <c r="E3064" s="115" t="e">
        <f t="array" aca="1" ref="E3064" ca="1">IF(OR(C3063=0,AND(B3065=0,C3065=0)),"",IFERROR(INDEX($F$27:$F$36,MATCH(C3064,($F$27:$F$36)*($D$27:$D$36&lt;&gt;0),0)),IF(OR(AND(D3064=0,B3064=0,B3065&lt;&gt;0),AND(D3064*D3063&lt;0,B3064&lt;&gt;0)),IF(D3064=0,C3064,C3064*(1-ABS(D3064)/(ABS(D3064)+ABS(D3063)))+C3063*(1-ABS(D3063)/(ABS(D3064)+ABS(D3063)))),"")))</f>
        <v>#NAME?</v>
      </c>
    </row>
    <row r="3065" spans="2:5" x14ac:dyDescent="0.25">
      <c r="B3065" t="e">
        <f t="shared" ca="1" si="97"/>
        <v>#NAME?</v>
      </c>
      <c r="C3065">
        <v>3022</v>
      </c>
      <c r="D3065" t="e">
        <f t="shared" ca="1" si="96"/>
        <v>#NAME?</v>
      </c>
      <c r="E3065" s="115" t="e">
        <f t="array" aca="1" ref="E3065" ca="1">IF(OR(C3064=0,AND(B3066=0,C3066=0)),"",IFERROR(INDEX($F$27:$F$36,MATCH(C3065,($F$27:$F$36)*($D$27:$D$36&lt;&gt;0),0)),IF(OR(AND(D3065=0,B3065=0,B3066&lt;&gt;0),AND(D3065*D3064&lt;0,B3065&lt;&gt;0)),IF(D3065=0,C3065,C3065*(1-ABS(D3065)/(ABS(D3065)+ABS(D3064)))+C3064*(1-ABS(D3064)/(ABS(D3065)+ABS(D3064)))),"")))</f>
        <v>#NAME?</v>
      </c>
    </row>
    <row r="3066" spans="2:5" x14ac:dyDescent="0.25">
      <c r="B3066" t="e">
        <f t="shared" ca="1" si="97"/>
        <v>#NAME?</v>
      </c>
      <c r="C3066">
        <v>3023</v>
      </c>
      <c r="D3066" t="e">
        <f t="shared" ca="1" si="96"/>
        <v>#NAME?</v>
      </c>
      <c r="E3066" s="115" t="e">
        <f t="array" aca="1" ref="E3066" ca="1">IF(OR(C3065=0,AND(B3067=0,C3067=0)),"",IFERROR(INDEX($F$27:$F$36,MATCH(C3066,($F$27:$F$36)*($D$27:$D$36&lt;&gt;0),0)),IF(OR(AND(D3066=0,B3066=0,B3067&lt;&gt;0),AND(D3066*D3065&lt;0,B3066&lt;&gt;0)),IF(D3066=0,C3066,C3066*(1-ABS(D3066)/(ABS(D3066)+ABS(D3065)))+C3065*(1-ABS(D3065)/(ABS(D3066)+ABS(D3065)))),"")))</f>
        <v>#NAME?</v>
      </c>
    </row>
    <row r="3067" spans="2:5" x14ac:dyDescent="0.25">
      <c r="B3067" t="e">
        <f t="shared" ca="1" si="97"/>
        <v>#NAME?</v>
      </c>
      <c r="C3067">
        <v>3024</v>
      </c>
      <c r="D3067" t="e">
        <f t="shared" ca="1" si="96"/>
        <v>#NAME?</v>
      </c>
      <c r="E3067" s="115" t="e">
        <f t="array" aca="1" ref="E3067" ca="1">IF(OR(C3066=0,AND(B3068=0,C3068=0)),"",IFERROR(INDEX($F$27:$F$36,MATCH(C3067,($F$27:$F$36)*($D$27:$D$36&lt;&gt;0),0)),IF(OR(AND(D3067=0,B3067=0,B3068&lt;&gt;0),AND(D3067*D3066&lt;0,B3067&lt;&gt;0)),IF(D3067=0,C3067,C3067*(1-ABS(D3067)/(ABS(D3067)+ABS(D3066)))+C3066*(1-ABS(D3066)/(ABS(D3067)+ABS(D3066)))),"")))</f>
        <v>#NAME?</v>
      </c>
    </row>
    <row r="3068" spans="2:5" x14ac:dyDescent="0.25">
      <c r="B3068" t="e">
        <f t="shared" ca="1" si="97"/>
        <v>#NAME?</v>
      </c>
      <c r="C3068">
        <v>3025</v>
      </c>
      <c r="D3068" t="e">
        <f t="shared" ca="1" si="96"/>
        <v>#NAME?</v>
      </c>
      <c r="E3068" s="115" t="e">
        <f t="array" aca="1" ref="E3068" ca="1">IF(OR(C3067=0,AND(B3069=0,C3069=0)),"",IFERROR(INDEX($F$27:$F$36,MATCH(C3068,($F$27:$F$36)*($D$27:$D$36&lt;&gt;0),0)),IF(OR(AND(D3068=0,B3068=0,B3069&lt;&gt;0),AND(D3068*D3067&lt;0,B3068&lt;&gt;0)),IF(D3068=0,C3068,C3068*(1-ABS(D3068)/(ABS(D3068)+ABS(D3067)))+C3067*(1-ABS(D3067)/(ABS(D3068)+ABS(D3067)))),"")))</f>
        <v>#NAME?</v>
      </c>
    </row>
    <row r="3069" spans="2:5" x14ac:dyDescent="0.25">
      <c r="B3069" t="e">
        <f t="shared" ca="1" si="97"/>
        <v>#NAME?</v>
      </c>
      <c r="C3069">
        <v>3026</v>
      </c>
      <c r="D3069" t="e">
        <f t="shared" ca="1" si="96"/>
        <v>#NAME?</v>
      </c>
      <c r="E3069" s="115" t="e">
        <f t="array" aca="1" ref="E3069" ca="1">IF(OR(C3068=0,AND(B3070=0,C3070=0)),"",IFERROR(INDEX($F$27:$F$36,MATCH(C3069,($F$27:$F$36)*($D$27:$D$36&lt;&gt;0),0)),IF(OR(AND(D3069=0,B3069=0,B3070&lt;&gt;0),AND(D3069*D3068&lt;0,B3069&lt;&gt;0)),IF(D3069=0,C3069,C3069*(1-ABS(D3069)/(ABS(D3069)+ABS(D3068)))+C3068*(1-ABS(D3068)/(ABS(D3069)+ABS(D3068)))),"")))</f>
        <v>#NAME?</v>
      </c>
    </row>
    <row r="3070" spans="2:5" x14ac:dyDescent="0.25">
      <c r="B3070" t="e">
        <f t="shared" ca="1" si="97"/>
        <v>#NAME?</v>
      </c>
      <c r="C3070">
        <v>3027</v>
      </c>
      <c r="D3070" t="e">
        <f t="shared" ca="1" si="96"/>
        <v>#NAME?</v>
      </c>
      <c r="E3070" s="115" t="e">
        <f t="array" aca="1" ref="E3070" ca="1">IF(OR(C3069=0,AND(B3071=0,C3071=0)),"",IFERROR(INDEX($F$27:$F$36,MATCH(C3070,($F$27:$F$36)*($D$27:$D$36&lt;&gt;0),0)),IF(OR(AND(D3070=0,B3070=0,B3071&lt;&gt;0),AND(D3070*D3069&lt;0,B3070&lt;&gt;0)),IF(D3070=0,C3070,C3070*(1-ABS(D3070)/(ABS(D3070)+ABS(D3069)))+C3069*(1-ABS(D3069)/(ABS(D3070)+ABS(D3069)))),"")))</f>
        <v>#NAME?</v>
      </c>
    </row>
    <row r="3071" spans="2:5" x14ac:dyDescent="0.25">
      <c r="B3071" t="e">
        <f t="shared" ca="1" si="97"/>
        <v>#NAME?</v>
      </c>
      <c r="C3071">
        <v>3028</v>
      </c>
      <c r="D3071" t="e">
        <f t="shared" ca="1" si="96"/>
        <v>#NAME?</v>
      </c>
      <c r="E3071" s="115" t="e">
        <f t="array" aca="1" ref="E3071" ca="1">IF(OR(C3070=0,AND(B3072=0,C3072=0)),"",IFERROR(INDEX($F$27:$F$36,MATCH(C3071,($F$27:$F$36)*($D$27:$D$36&lt;&gt;0),0)),IF(OR(AND(D3071=0,B3071=0,B3072&lt;&gt;0),AND(D3071*D3070&lt;0,B3071&lt;&gt;0)),IF(D3071=0,C3071,C3071*(1-ABS(D3071)/(ABS(D3071)+ABS(D3070)))+C3070*(1-ABS(D3070)/(ABS(D3071)+ABS(D3070)))),"")))</f>
        <v>#NAME?</v>
      </c>
    </row>
    <row r="3072" spans="2:5" x14ac:dyDescent="0.25">
      <c r="B3072" t="e">
        <f t="shared" ca="1" si="97"/>
        <v>#NAME?</v>
      </c>
      <c r="C3072">
        <v>3029</v>
      </c>
      <c r="D3072" t="e">
        <f t="shared" ca="1" si="96"/>
        <v>#NAME?</v>
      </c>
      <c r="E3072" s="115" t="e">
        <f t="array" aca="1" ref="E3072" ca="1">IF(OR(C3071=0,AND(B3073=0,C3073=0)),"",IFERROR(INDEX($F$27:$F$36,MATCH(C3072,($F$27:$F$36)*($D$27:$D$36&lt;&gt;0),0)),IF(OR(AND(D3072=0,B3072=0,B3073&lt;&gt;0),AND(D3072*D3071&lt;0,B3072&lt;&gt;0)),IF(D3072=0,C3072,C3072*(1-ABS(D3072)/(ABS(D3072)+ABS(D3071)))+C3071*(1-ABS(D3071)/(ABS(D3072)+ABS(D3071)))),"")))</f>
        <v>#NAME?</v>
      </c>
    </row>
    <row r="3073" spans="2:5" x14ac:dyDescent="0.25">
      <c r="B3073" t="e">
        <f t="shared" ca="1" si="97"/>
        <v>#NAME?</v>
      </c>
      <c r="C3073">
        <v>3030</v>
      </c>
      <c r="D3073" t="e">
        <f t="shared" ca="1" si="96"/>
        <v>#NAME?</v>
      </c>
      <c r="E3073" s="115" t="e">
        <f t="array" aca="1" ref="E3073" ca="1">IF(OR(C3072=0,AND(B3074=0,C3074=0)),"",IFERROR(INDEX($F$27:$F$36,MATCH(C3073,($F$27:$F$36)*($D$27:$D$36&lt;&gt;0),0)),IF(OR(AND(D3073=0,B3073=0,B3074&lt;&gt;0),AND(D3073*D3072&lt;0,B3073&lt;&gt;0)),IF(D3073=0,C3073,C3073*(1-ABS(D3073)/(ABS(D3073)+ABS(D3072)))+C3072*(1-ABS(D3072)/(ABS(D3073)+ABS(D3072)))),"")))</f>
        <v>#NAME?</v>
      </c>
    </row>
    <row r="3074" spans="2:5" x14ac:dyDescent="0.25">
      <c r="B3074" t="e">
        <f t="shared" ca="1" si="97"/>
        <v>#NAME?</v>
      </c>
      <c r="C3074">
        <v>3031</v>
      </c>
      <c r="D3074" t="e">
        <f t="shared" ca="1" si="96"/>
        <v>#NAME?</v>
      </c>
      <c r="E3074" s="115" t="e">
        <f t="array" aca="1" ref="E3074" ca="1">IF(OR(C3073=0,AND(B3075=0,C3075=0)),"",IFERROR(INDEX($F$27:$F$36,MATCH(C3074,($F$27:$F$36)*($D$27:$D$36&lt;&gt;0),0)),IF(OR(AND(D3074=0,B3074=0,B3075&lt;&gt;0),AND(D3074*D3073&lt;0,B3074&lt;&gt;0)),IF(D3074=0,C3074,C3074*(1-ABS(D3074)/(ABS(D3074)+ABS(D3073)))+C3073*(1-ABS(D3073)/(ABS(D3074)+ABS(D3073)))),"")))</f>
        <v>#NAME?</v>
      </c>
    </row>
    <row r="3075" spans="2:5" x14ac:dyDescent="0.25">
      <c r="B3075" t="e">
        <f t="shared" ca="1" si="97"/>
        <v>#NAME?</v>
      </c>
      <c r="C3075">
        <v>3032</v>
      </c>
      <c r="D3075" t="e">
        <f t="shared" ca="1" si="96"/>
        <v>#NAME?</v>
      </c>
      <c r="E3075" s="115" t="e">
        <f t="array" aca="1" ref="E3075" ca="1">IF(OR(C3074=0,AND(B3076=0,C3076=0)),"",IFERROR(INDEX($F$27:$F$36,MATCH(C3075,($F$27:$F$36)*($D$27:$D$36&lt;&gt;0),0)),IF(OR(AND(D3075=0,B3075=0,B3076&lt;&gt;0),AND(D3075*D3074&lt;0,B3075&lt;&gt;0)),IF(D3075=0,C3075,C3075*(1-ABS(D3075)/(ABS(D3075)+ABS(D3074)))+C3074*(1-ABS(D3074)/(ABS(D3075)+ABS(D3074)))),"")))</f>
        <v>#NAME?</v>
      </c>
    </row>
    <row r="3076" spans="2:5" x14ac:dyDescent="0.25">
      <c r="B3076" t="e">
        <f t="shared" ca="1" si="97"/>
        <v>#NAME?</v>
      </c>
      <c r="C3076">
        <v>3033</v>
      </c>
      <c r="D3076" t="e">
        <f t="shared" ca="1" si="96"/>
        <v>#NAME?</v>
      </c>
      <c r="E3076" s="115" t="e">
        <f t="array" aca="1" ref="E3076" ca="1">IF(OR(C3075=0,AND(B3077=0,C3077=0)),"",IFERROR(INDEX($F$27:$F$36,MATCH(C3076,($F$27:$F$36)*($D$27:$D$36&lt;&gt;0),0)),IF(OR(AND(D3076=0,B3076=0,B3077&lt;&gt;0),AND(D3076*D3075&lt;0,B3076&lt;&gt;0)),IF(D3076=0,C3076,C3076*(1-ABS(D3076)/(ABS(D3076)+ABS(D3075)))+C3075*(1-ABS(D3075)/(ABS(D3076)+ABS(D3075)))),"")))</f>
        <v>#NAME?</v>
      </c>
    </row>
    <row r="3077" spans="2:5" x14ac:dyDescent="0.25">
      <c r="B3077" t="e">
        <f t="shared" ca="1" si="97"/>
        <v>#NAME?</v>
      </c>
      <c r="C3077">
        <v>3034</v>
      </c>
      <c r="D3077" t="e">
        <f t="shared" ca="1" si="96"/>
        <v>#NAME?</v>
      </c>
      <c r="E3077" s="115" t="e">
        <f t="array" aca="1" ref="E3077" ca="1">IF(OR(C3076=0,AND(B3078=0,C3078=0)),"",IFERROR(INDEX($F$27:$F$36,MATCH(C3077,($F$27:$F$36)*($D$27:$D$36&lt;&gt;0),0)),IF(OR(AND(D3077=0,B3077=0,B3078&lt;&gt;0),AND(D3077*D3076&lt;0,B3077&lt;&gt;0)),IF(D3077=0,C3077,C3077*(1-ABS(D3077)/(ABS(D3077)+ABS(D3076)))+C3076*(1-ABS(D3076)/(ABS(D3077)+ABS(D3076)))),"")))</f>
        <v>#NAME?</v>
      </c>
    </row>
    <row r="3078" spans="2:5" x14ac:dyDescent="0.25">
      <c r="B3078" t="e">
        <f t="shared" ca="1" si="97"/>
        <v>#NAME?</v>
      </c>
      <c r="C3078">
        <v>3035</v>
      </c>
      <c r="D3078" t="e">
        <f t="shared" ca="1" si="96"/>
        <v>#NAME?</v>
      </c>
      <c r="E3078" s="115" t="e">
        <f t="array" aca="1" ref="E3078" ca="1">IF(OR(C3077=0,AND(B3079=0,C3079=0)),"",IFERROR(INDEX($F$27:$F$36,MATCH(C3078,($F$27:$F$36)*($D$27:$D$36&lt;&gt;0),0)),IF(OR(AND(D3078=0,B3078=0,B3079&lt;&gt;0),AND(D3078*D3077&lt;0,B3078&lt;&gt;0)),IF(D3078=0,C3078,C3078*(1-ABS(D3078)/(ABS(D3078)+ABS(D3077)))+C3077*(1-ABS(D3077)/(ABS(D3078)+ABS(D3077)))),"")))</f>
        <v>#NAME?</v>
      </c>
    </row>
    <row r="3079" spans="2:5" x14ac:dyDescent="0.25">
      <c r="B3079" t="e">
        <f t="shared" ca="1" si="97"/>
        <v>#NAME?</v>
      </c>
      <c r="C3079">
        <v>3036</v>
      </c>
      <c r="D3079" t="e">
        <f t="shared" ca="1" si="96"/>
        <v>#NAME?</v>
      </c>
      <c r="E3079" s="115" t="e">
        <f t="array" aca="1" ref="E3079" ca="1">IF(OR(C3078=0,AND(B3080=0,C3080=0)),"",IFERROR(INDEX($F$27:$F$36,MATCH(C3079,($F$27:$F$36)*($D$27:$D$36&lt;&gt;0),0)),IF(OR(AND(D3079=0,B3079=0,B3080&lt;&gt;0),AND(D3079*D3078&lt;0,B3079&lt;&gt;0)),IF(D3079=0,C3079,C3079*(1-ABS(D3079)/(ABS(D3079)+ABS(D3078)))+C3078*(1-ABS(D3078)/(ABS(D3079)+ABS(D3078)))),"")))</f>
        <v>#NAME?</v>
      </c>
    </row>
    <row r="3080" spans="2:5" x14ac:dyDescent="0.25">
      <c r="B3080" t="e">
        <f t="shared" ca="1" si="97"/>
        <v>#NAME?</v>
      </c>
      <c r="C3080">
        <v>3037</v>
      </c>
      <c r="D3080" t="e">
        <f t="shared" ca="1" si="96"/>
        <v>#NAME?</v>
      </c>
      <c r="E3080" s="115" t="e">
        <f t="array" aca="1" ref="E3080" ca="1">IF(OR(C3079=0,AND(B3081=0,C3081=0)),"",IFERROR(INDEX($F$27:$F$36,MATCH(C3080,($F$27:$F$36)*($D$27:$D$36&lt;&gt;0),0)),IF(OR(AND(D3080=0,B3080=0,B3081&lt;&gt;0),AND(D3080*D3079&lt;0,B3080&lt;&gt;0)),IF(D3080=0,C3080,C3080*(1-ABS(D3080)/(ABS(D3080)+ABS(D3079)))+C3079*(1-ABS(D3079)/(ABS(D3080)+ABS(D3079)))),"")))</f>
        <v>#NAME?</v>
      </c>
    </row>
    <row r="3081" spans="2:5" x14ac:dyDescent="0.25">
      <c r="B3081" t="e">
        <f t="shared" ca="1" si="97"/>
        <v>#NAME?</v>
      </c>
      <c r="C3081">
        <v>3038</v>
      </c>
      <c r="D3081" t="e">
        <f t="shared" ca="1" si="96"/>
        <v>#NAME?</v>
      </c>
      <c r="E3081" s="115" t="e">
        <f t="array" aca="1" ref="E3081" ca="1">IF(OR(C3080=0,AND(B3082=0,C3082=0)),"",IFERROR(INDEX($F$27:$F$36,MATCH(C3081,($F$27:$F$36)*($D$27:$D$36&lt;&gt;0),0)),IF(OR(AND(D3081=0,B3081=0,B3082&lt;&gt;0),AND(D3081*D3080&lt;0,B3081&lt;&gt;0)),IF(D3081=0,C3081,C3081*(1-ABS(D3081)/(ABS(D3081)+ABS(D3080)))+C3080*(1-ABS(D3080)/(ABS(D3081)+ABS(D3080)))),"")))</f>
        <v>#NAME?</v>
      </c>
    </row>
    <row r="3082" spans="2:5" x14ac:dyDescent="0.25">
      <c r="B3082" t="e">
        <f t="shared" ca="1" si="97"/>
        <v>#NAME?</v>
      </c>
      <c r="C3082">
        <v>3039</v>
      </c>
      <c r="D3082" t="e">
        <f t="shared" ca="1" si="96"/>
        <v>#NAME?</v>
      </c>
      <c r="E3082" s="115" t="e">
        <f t="array" aca="1" ref="E3082" ca="1">IF(OR(C3081=0,AND(B3083=0,C3083=0)),"",IFERROR(INDEX($F$27:$F$36,MATCH(C3082,($F$27:$F$36)*($D$27:$D$36&lt;&gt;0),0)),IF(OR(AND(D3082=0,B3082=0,B3083&lt;&gt;0),AND(D3082*D3081&lt;0,B3082&lt;&gt;0)),IF(D3082=0,C3082,C3082*(1-ABS(D3082)/(ABS(D3082)+ABS(D3081)))+C3081*(1-ABS(D3081)/(ABS(D3082)+ABS(D3081)))),"")))</f>
        <v>#NAME?</v>
      </c>
    </row>
    <row r="3083" spans="2:5" x14ac:dyDescent="0.25">
      <c r="B3083" t="e">
        <f t="shared" ca="1" si="97"/>
        <v>#NAME?</v>
      </c>
      <c r="C3083">
        <v>3040</v>
      </c>
      <c r="D3083" t="e">
        <f t="shared" ca="1" si="96"/>
        <v>#NAME?</v>
      </c>
      <c r="E3083" s="115" t="e">
        <f t="array" aca="1" ref="E3083" ca="1">IF(OR(C3082=0,AND(B3084=0,C3084=0)),"",IFERROR(INDEX($F$27:$F$36,MATCH(C3083,($F$27:$F$36)*($D$27:$D$36&lt;&gt;0),0)),IF(OR(AND(D3083=0,B3083=0,B3084&lt;&gt;0),AND(D3083*D3082&lt;0,B3083&lt;&gt;0)),IF(D3083=0,C3083,C3083*(1-ABS(D3083)/(ABS(D3083)+ABS(D3082)))+C3082*(1-ABS(D3082)/(ABS(D3083)+ABS(D3082)))),"")))</f>
        <v>#NAME?</v>
      </c>
    </row>
    <row r="3084" spans="2:5" x14ac:dyDescent="0.25">
      <c r="B3084" t="e">
        <f t="shared" ca="1" si="97"/>
        <v>#NAME?</v>
      </c>
      <c r="C3084">
        <v>3041</v>
      </c>
      <c r="D3084" t="e">
        <f t="shared" ca="1" si="96"/>
        <v>#NAME?</v>
      </c>
      <c r="E3084" s="115" t="e">
        <f t="array" aca="1" ref="E3084" ca="1">IF(OR(C3083=0,AND(B3085=0,C3085=0)),"",IFERROR(INDEX($F$27:$F$36,MATCH(C3084,($F$27:$F$36)*($D$27:$D$36&lt;&gt;0),0)),IF(OR(AND(D3084=0,B3084=0,B3085&lt;&gt;0),AND(D3084*D3083&lt;0,B3084&lt;&gt;0)),IF(D3084=0,C3084,C3084*(1-ABS(D3084)/(ABS(D3084)+ABS(D3083)))+C3083*(1-ABS(D3083)/(ABS(D3084)+ABS(D3083)))),"")))</f>
        <v>#NAME?</v>
      </c>
    </row>
    <row r="3085" spans="2:5" x14ac:dyDescent="0.25">
      <c r="B3085" t="e">
        <f t="shared" ca="1" si="97"/>
        <v>#NAME?</v>
      </c>
      <c r="C3085">
        <v>3042</v>
      </c>
      <c r="D3085" t="e">
        <f t="shared" ca="1" si="96"/>
        <v>#NAME?</v>
      </c>
      <c r="E3085" s="115" t="e">
        <f t="array" aca="1" ref="E3085" ca="1">IF(OR(C3084=0,AND(B3086=0,C3086=0)),"",IFERROR(INDEX($F$27:$F$36,MATCH(C3085,($F$27:$F$36)*($D$27:$D$36&lt;&gt;0),0)),IF(OR(AND(D3085=0,B3085=0,B3086&lt;&gt;0),AND(D3085*D3084&lt;0,B3085&lt;&gt;0)),IF(D3085=0,C3085,C3085*(1-ABS(D3085)/(ABS(D3085)+ABS(D3084)))+C3084*(1-ABS(D3084)/(ABS(D3085)+ABS(D3084)))),"")))</f>
        <v>#NAME?</v>
      </c>
    </row>
    <row r="3086" spans="2:5" x14ac:dyDescent="0.25">
      <c r="B3086" t="e">
        <f t="shared" ca="1" si="97"/>
        <v>#NAME?</v>
      </c>
      <c r="C3086">
        <v>3043</v>
      </c>
      <c r="D3086" t="e">
        <f t="shared" ca="1" si="96"/>
        <v>#NAME?</v>
      </c>
      <c r="E3086" s="115" t="e">
        <f t="array" aca="1" ref="E3086" ca="1">IF(OR(C3085=0,AND(B3087=0,C3087=0)),"",IFERROR(INDEX($F$27:$F$36,MATCH(C3086,($F$27:$F$36)*($D$27:$D$36&lt;&gt;0),0)),IF(OR(AND(D3086=0,B3086=0,B3087&lt;&gt;0),AND(D3086*D3085&lt;0,B3086&lt;&gt;0)),IF(D3086=0,C3086,C3086*(1-ABS(D3086)/(ABS(D3086)+ABS(D3085)))+C3085*(1-ABS(D3085)/(ABS(D3086)+ABS(D3085)))),"")))</f>
        <v>#NAME?</v>
      </c>
    </row>
    <row r="3087" spans="2:5" x14ac:dyDescent="0.25">
      <c r="B3087" t="e">
        <f t="shared" ca="1" si="97"/>
        <v>#NAME?</v>
      </c>
      <c r="C3087">
        <v>3044</v>
      </c>
      <c r="D3087" t="e">
        <f t="shared" ca="1" si="96"/>
        <v>#NAME?</v>
      </c>
      <c r="E3087" s="115" t="e">
        <f t="array" aca="1" ref="E3087" ca="1">IF(OR(C3086=0,AND(B3088=0,C3088=0)),"",IFERROR(INDEX($F$27:$F$36,MATCH(C3087,($F$27:$F$36)*($D$27:$D$36&lt;&gt;0),0)),IF(OR(AND(D3087=0,B3087=0,B3088&lt;&gt;0),AND(D3087*D3086&lt;0,B3087&lt;&gt;0)),IF(D3087=0,C3087,C3087*(1-ABS(D3087)/(ABS(D3087)+ABS(D3086)))+C3086*(1-ABS(D3086)/(ABS(D3087)+ABS(D3086)))),"")))</f>
        <v>#NAME?</v>
      </c>
    </row>
    <row r="3088" spans="2:5" x14ac:dyDescent="0.25">
      <c r="B3088" t="e">
        <f t="shared" ca="1" si="97"/>
        <v>#NAME?</v>
      </c>
      <c r="C3088">
        <v>3045</v>
      </c>
      <c r="D3088" t="e">
        <f t="shared" ca="1" si="96"/>
        <v>#NAME?</v>
      </c>
      <c r="E3088" s="115" t="e">
        <f t="array" aca="1" ref="E3088" ca="1">IF(OR(C3087=0,AND(B3089=0,C3089=0)),"",IFERROR(INDEX($F$27:$F$36,MATCH(C3088,($F$27:$F$36)*($D$27:$D$36&lt;&gt;0),0)),IF(OR(AND(D3088=0,B3088=0,B3089&lt;&gt;0),AND(D3088*D3087&lt;0,B3088&lt;&gt;0)),IF(D3088=0,C3088,C3088*(1-ABS(D3088)/(ABS(D3088)+ABS(D3087)))+C3087*(1-ABS(D3087)/(ABS(D3088)+ABS(D3087)))),"")))</f>
        <v>#NAME?</v>
      </c>
    </row>
    <row r="3089" spans="2:5" x14ac:dyDescent="0.25">
      <c r="B3089" t="e">
        <f t="shared" ca="1" si="97"/>
        <v>#NAME?</v>
      </c>
      <c r="C3089">
        <v>3046</v>
      </c>
      <c r="D3089" t="e">
        <f t="shared" ca="1" si="96"/>
        <v>#NAME?</v>
      </c>
      <c r="E3089" s="115" t="e">
        <f t="array" aca="1" ref="E3089" ca="1">IF(OR(C3088=0,AND(B3090=0,C3090=0)),"",IFERROR(INDEX($F$27:$F$36,MATCH(C3089,($F$27:$F$36)*($D$27:$D$36&lt;&gt;0),0)),IF(OR(AND(D3089=0,B3089=0,B3090&lt;&gt;0),AND(D3089*D3088&lt;0,B3089&lt;&gt;0)),IF(D3089=0,C3089,C3089*(1-ABS(D3089)/(ABS(D3089)+ABS(D3088)))+C3088*(1-ABS(D3088)/(ABS(D3089)+ABS(D3088)))),"")))</f>
        <v>#NAME?</v>
      </c>
    </row>
    <row r="3090" spans="2:5" x14ac:dyDescent="0.25">
      <c r="B3090" t="e">
        <f t="shared" ca="1" si="97"/>
        <v>#NAME?</v>
      </c>
      <c r="C3090">
        <v>3047</v>
      </c>
      <c r="D3090" t="e">
        <f t="shared" ca="1" si="96"/>
        <v>#NAME?</v>
      </c>
      <c r="E3090" s="115" t="e">
        <f t="array" aca="1" ref="E3090" ca="1">IF(OR(C3089=0,AND(B3091=0,C3091=0)),"",IFERROR(INDEX($F$27:$F$36,MATCH(C3090,($F$27:$F$36)*($D$27:$D$36&lt;&gt;0),0)),IF(OR(AND(D3090=0,B3090=0,B3091&lt;&gt;0),AND(D3090*D3089&lt;0,B3090&lt;&gt;0)),IF(D3090=0,C3090,C3090*(1-ABS(D3090)/(ABS(D3090)+ABS(D3089)))+C3089*(1-ABS(D3089)/(ABS(D3090)+ABS(D3089)))),"")))</f>
        <v>#NAME?</v>
      </c>
    </row>
    <row r="3091" spans="2:5" x14ac:dyDescent="0.25">
      <c r="B3091" t="e">
        <f t="shared" ca="1" si="97"/>
        <v>#NAME?</v>
      </c>
      <c r="C3091">
        <v>3048</v>
      </c>
      <c r="D3091" t="e">
        <f t="shared" ca="1" si="96"/>
        <v>#NAME?</v>
      </c>
      <c r="E3091" s="115" t="e">
        <f t="array" aca="1" ref="E3091" ca="1">IF(OR(C3090=0,AND(B3092=0,C3092=0)),"",IFERROR(INDEX($F$27:$F$36,MATCH(C3091,($F$27:$F$36)*($D$27:$D$36&lt;&gt;0),0)),IF(OR(AND(D3091=0,B3091=0,B3092&lt;&gt;0),AND(D3091*D3090&lt;0,B3091&lt;&gt;0)),IF(D3091=0,C3091,C3091*(1-ABS(D3091)/(ABS(D3091)+ABS(D3090)))+C3090*(1-ABS(D3090)/(ABS(D3091)+ABS(D3090)))),"")))</f>
        <v>#NAME?</v>
      </c>
    </row>
    <row r="3092" spans="2:5" x14ac:dyDescent="0.25">
      <c r="B3092" t="e">
        <f t="shared" ca="1" si="97"/>
        <v>#NAME?</v>
      </c>
      <c r="C3092">
        <v>3049</v>
      </c>
      <c r="D3092" t="e">
        <f t="shared" ca="1" si="96"/>
        <v>#NAME?</v>
      </c>
      <c r="E3092" s="115" t="e">
        <f t="array" aca="1" ref="E3092" ca="1">IF(OR(C3091=0,AND(B3093=0,C3093=0)),"",IFERROR(INDEX($F$27:$F$36,MATCH(C3092,($F$27:$F$36)*($D$27:$D$36&lt;&gt;0),0)),IF(OR(AND(D3092=0,B3092=0,B3093&lt;&gt;0),AND(D3092*D3091&lt;0,B3092&lt;&gt;0)),IF(D3092=0,C3092,C3092*(1-ABS(D3092)/(ABS(D3092)+ABS(D3091)))+C3091*(1-ABS(D3091)/(ABS(D3092)+ABS(D3091)))),"")))</f>
        <v>#NAME?</v>
      </c>
    </row>
    <row r="3093" spans="2:5" x14ac:dyDescent="0.25">
      <c r="B3093" t="e">
        <f t="shared" ca="1" si="97"/>
        <v>#NAME?</v>
      </c>
      <c r="C3093">
        <v>3050</v>
      </c>
      <c r="D3093" t="e">
        <f t="shared" ca="1" si="96"/>
        <v>#NAME?</v>
      </c>
      <c r="E3093" s="115" t="e">
        <f t="array" aca="1" ref="E3093" ca="1">IF(OR(C3092=0,AND(B3094=0,C3094=0)),"",IFERROR(INDEX($F$27:$F$36,MATCH(C3093,($F$27:$F$36)*($D$27:$D$36&lt;&gt;0),0)),IF(OR(AND(D3093=0,B3093=0,B3094&lt;&gt;0),AND(D3093*D3092&lt;0,B3093&lt;&gt;0)),IF(D3093=0,C3093,C3093*(1-ABS(D3093)/(ABS(D3093)+ABS(D3092)))+C3092*(1-ABS(D3092)/(ABS(D3093)+ABS(D3092)))),"")))</f>
        <v>#NAME?</v>
      </c>
    </row>
    <row r="3094" spans="2:5" x14ac:dyDescent="0.25">
      <c r="B3094" t="e">
        <f t="shared" ca="1" si="97"/>
        <v>#NAME?</v>
      </c>
      <c r="C3094">
        <v>3051</v>
      </c>
      <c r="D3094" t="e">
        <f t="shared" ca="1" si="96"/>
        <v>#NAME?</v>
      </c>
      <c r="E3094" s="115" t="e">
        <f t="array" aca="1" ref="E3094" ca="1">IF(OR(C3093=0,AND(B3095=0,C3095=0)),"",IFERROR(INDEX($F$27:$F$36,MATCH(C3094,($F$27:$F$36)*($D$27:$D$36&lt;&gt;0),0)),IF(OR(AND(D3094=0,B3094=0,B3095&lt;&gt;0),AND(D3094*D3093&lt;0,B3094&lt;&gt;0)),IF(D3094=0,C3094,C3094*(1-ABS(D3094)/(ABS(D3094)+ABS(D3093)))+C3093*(1-ABS(D3093)/(ABS(D3094)+ABS(D3093)))),"")))</f>
        <v>#NAME?</v>
      </c>
    </row>
    <row r="3095" spans="2:5" x14ac:dyDescent="0.25">
      <c r="B3095" t="e">
        <f t="shared" ca="1" si="97"/>
        <v>#NAME?</v>
      </c>
      <c r="C3095">
        <v>3052</v>
      </c>
      <c r="D3095" t="e">
        <f t="shared" ca="1" si="96"/>
        <v>#NAME?</v>
      </c>
      <c r="E3095" s="115" t="e">
        <f t="array" aca="1" ref="E3095" ca="1">IF(OR(C3094=0,AND(B3096=0,C3096=0)),"",IFERROR(INDEX($F$27:$F$36,MATCH(C3095,($F$27:$F$36)*($D$27:$D$36&lt;&gt;0),0)),IF(OR(AND(D3095=0,B3095=0,B3096&lt;&gt;0),AND(D3095*D3094&lt;0,B3095&lt;&gt;0)),IF(D3095=0,C3095,C3095*(1-ABS(D3095)/(ABS(D3095)+ABS(D3094)))+C3094*(1-ABS(D3094)/(ABS(D3095)+ABS(D3094)))),"")))</f>
        <v>#NAME?</v>
      </c>
    </row>
    <row r="3096" spans="2:5" x14ac:dyDescent="0.25">
      <c r="B3096" t="e">
        <f t="shared" ca="1" si="97"/>
        <v>#NAME?</v>
      </c>
      <c r="C3096">
        <v>3053</v>
      </c>
      <c r="D3096" t="e">
        <f t="shared" ca="1" si="96"/>
        <v>#NAME?</v>
      </c>
      <c r="E3096" s="115" t="e">
        <f t="array" aca="1" ref="E3096" ca="1">IF(OR(C3095=0,AND(B3097=0,C3097=0)),"",IFERROR(INDEX($F$27:$F$36,MATCH(C3096,($F$27:$F$36)*($D$27:$D$36&lt;&gt;0),0)),IF(OR(AND(D3096=0,B3096=0,B3097&lt;&gt;0),AND(D3096*D3095&lt;0,B3096&lt;&gt;0)),IF(D3096=0,C3096,C3096*(1-ABS(D3096)/(ABS(D3096)+ABS(D3095)))+C3095*(1-ABS(D3095)/(ABS(D3096)+ABS(D3095)))),"")))</f>
        <v>#NAME?</v>
      </c>
    </row>
    <row r="3097" spans="2:5" x14ac:dyDescent="0.25">
      <c r="B3097" t="e">
        <f t="shared" ca="1" si="97"/>
        <v>#NAME?</v>
      </c>
      <c r="C3097">
        <v>3054</v>
      </c>
      <c r="D3097" t="e">
        <f t="shared" ca="1" si="96"/>
        <v>#NAME?</v>
      </c>
      <c r="E3097" s="115" t="e">
        <f t="array" aca="1" ref="E3097" ca="1">IF(OR(C3096=0,AND(B3098=0,C3098=0)),"",IFERROR(INDEX($F$27:$F$36,MATCH(C3097,($F$27:$F$36)*($D$27:$D$36&lt;&gt;0),0)),IF(OR(AND(D3097=0,B3097=0,B3098&lt;&gt;0),AND(D3097*D3096&lt;0,B3097&lt;&gt;0)),IF(D3097=0,C3097,C3097*(1-ABS(D3097)/(ABS(D3097)+ABS(D3096)))+C3096*(1-ABS(D3096)/(ABS(D3097)+ABS(D3096)))),"")))</f>
        <v>#NAME?</v>
      </c>
    </row>
    <row r="3098" spans="2:5" x14ac:dyDescent="0.25">
      <c r="B3098" t="e">
        <f t="shared" ca="1" si="97"/>
        <v>#NAME?</v>
      </c>
      <c r="C3098">
        <v>3055</v>
      </c>
      <c r="D3098" t="e">
        <f t="shared" ca="1" si="96"/>
        <v>#NAME?</v>
      </c>
      <c r="E3098" s="115" t="e">
        <f t="array" aca="1" ref="E3098" ca="1">IF(OR(C3097=0,AND(B3099=0,C3099=0)),"",IFERROR(INDEX($F$27:$F$36,MATCH(C3098,($F$27:$F$36)*($D$27:$D$36&lt;&gt;0),0)),IF(OR(AND(D3098=0,B3098=0,B3099&lt;&gt;0),AND(D3098*D3097&lt;0,B3098&lt;&gt;0)),IF(D3098=0,C3098,C3098*(1-ABS(D3098)/(ABS(D3098)+ABS(D3097)))+C3097*(1-ABS(D3097)/(ABS(D3098)+ABS(D3097)))),"")))</f>
        <v>#NAME?</v>
      </c>
    </row>
    <row r="3099" spans="2:5" x14ac:dyDescent="0.25">
      <c r="B3099" t="e">
        <f t="shared" ca="1" si="97"/>
        <v>#NAME?</v>
      </c>
      <c r="C3099">
        <v>3056</v>
      </c>
      <c r="D3099" t="e">
        <f t="shared" ca="1" si="96"/>
        <v>#NAME?</v>
      </c>
      <c r="E3099" s="115" t="e">
        <f t="array" aca="1" ref="E3099" ca="1">IF(OR(C3098=0,AND(B3100=0,C3100=0)),"",IFERROR(INDEX($F$27:$F$36,MATCH(C3099,($F$27:$F$36)*($D$27:$D$36&lt;&gt;0),0)),IF(OR(AND(D3099=0,B3099=0,B3100&lt;&gt;0),AND(D3099*D3098&lt;0,B3099&lt;&gt;0)),IF(D3099=0,C3099,C3099*(1-ABS(D3099)/(ABS(D3099)+ABS(D3098)))+C3098*(1-ABS(D3098)/(ABS(D3099)+ABS(D3098)))),"")))</f>
        <v>#NAME?</v>
      </c>
    </row>
    <row r="3100" spans="2:5" x14ac:dyDescent="0.25">
      <c r="B3100" t="e">
        <f t="shared" ca="1" si="97"/>
        <v>#NAME?</v>
      </c>
      <c r="C3100">
        <v>3057</v>
      </c>
      <c r="D3100" t="e">
        <f t="shared" ca="1" si="96"/>
        <v>#NAME?</v>
      </c>
      <c r="E3100" s="115" t="e">
        <f t="array" aca="1" ref="E3100" ca="1">IF(OR(C3099=0,AND(B3101=0,C3101=0)),"",IFERROR(INDEX($F$27:$F$36,MATCH(C3100,($F$27:$F$36)*($D$27:$D$36&lt;&gt;0),0)),IF(OR(AND(D3100=0,B3100=0,B3101&lt;&gt;0),AND(D3100*D3099&lt;0,B3100&lt;&gt;0)),IF(D3100=0,C3100,C3100*(1-ABS(D3100)/(ABS(D3100)+ABS(D3099)))+C3099*(1-ABS(D3099)/(ABS(D3100)+ABS(D3099)))),"")))</f>
        <v>#NAME?</v>
      </c>
    </row>
    <row r="3101" spans="2:5" x14ac:dyDescent="0.25">
      <c r="B3101" t="e">
        <f t="shared" ca="1" si="97"/>
        <v>#NAME?</v>
      </c>
      <c r="C3101">
        <v>3058</v>
      </c>
      <c r="D3101" t="e">
        <f t="shared" ca="1" si="96"/>
        <v>#NAME?</v>
      </c>
      <c r="E3101" s="115" t="e">
        <f t="array" aca="1" ref="E3101" ca="1">IF(OR(C3100=0,AND(B3102=0,C3102=0)),"",IFERROR(INDEX($F$27:$F$36,MATCH(C3101,($F$27:$F$36)*($D$27:$D$36&lt;&gt;0),0)),IF(OR(AND(D3101=0,B3101=0,B3102&lt;&gt;0),AND(D3101*D3100&lt;0,B3101&lt;&gt;0)),IF(D3101=0,C3101,C3101*(1-ABS(D3101)/(ABS(D3101)+ABS(D3100)))+C3100*(1-ABS(D3100)/(ABS(D3101)+ABS(D3100)))),"")))</f>
        <v>#NAME?</v>
      </c>
    </row>
    <row r="3102" spans="2:5" x14ac:dyDescent="0.25">
      <c r="B3102" t="e">
        <f t="shared" ca="1" si="97"/>
        <v>#NAME?</v>
      </c>
      <c r="C3102">
        <v>3059</v>
      </c>
      <c r="D3102" t="e">
        <f t="shared" ca="1" si="96"/>
        <v>#NAME?</v>
      </c>
      <c r="E3102" s="115" t="e">
        <f t="array" aca="1" ref="E3102" ca="1">IF(OR(C3101=0,AND(B3103=0,C3103=0)),"",IFERROR(INDEX($F$27:$F$36,MATCH(C3102,($F$27:$F$36)*($D$27:$D$36&lt;&gt;0),0)),IF(OR(AND(D3102=0,B3102=0,B3103&lt;&gt;0),AND(D3102*D3101&lt;0,B3102&lt;&gt;0)),IF(D3102=0,C3102,C3102*(1-ABS(D3102)/(ABS(D3102)+ABS(D3101)))+C3101*(1-ABS(D3101)/(ABS(D3102)+ABS(D3101)))),"")))</f>
        <v>#NAME?</v>
      </c>
    </row>
    <row r="3103" spans="2:5" x14ac:dyDescent="0.25">
      <c r="B3103" t="e">
        <f t="shared" ca="1" si="97"/>
        <v>#NAME?</v>
      </c>
      <c r="C3103">
        <v>3060</v>
      </c>
      <c r="D3103" t="e">
        <f t="shared" ca="1" si="96"/>
        <v>#NAME?</v>
      </c>
      <c r="E3103" s="115" t="e">
        <f t="array" aca="1" ref="E3103" ca="1">IF(OR(C3102=0,AND(B3104=0,C3104=0)),"",IFERROR(INDEX($F$27:$F$36,MATCH(C3103,($F$27:$F$36)*($D$27:$D$36&lt;&gt;0),0)),IF(OR(AND(D3103=0,B3103=0,B3104&lt;&gt;0),AND(D3103*D3102&lt;0,B3103&lt;&gt;0)),IF(D3103=0,C3103,C3103*(1-ABS(D3103)/(ABS(D3103)+ABS(D3102)))+C3102*(1-ABS(D3102)/(ABS(D3103)+ABS(D3102)))),"")))</f>
        <v>#NAME?</v>
      </c>
    </row>
    <row r="3104" spans="2:5" x14ac:dyDescent="0.25">
      <c r="B3104" t="e">
        <f t="shared" ca="1" si="97"/>
        <v>#NAME?</v>
      </c>
      <c r="C3104">
        <v>3061</v>
      </c>
      <c r="D3104" t="e">
        <f t="shared" ca="1" si="96"/>
        <v>#NAME?</v>
      </c>
      <c r="E3104" s="115" t="e">
        <f t="array" aca="1" ref="E3104" ca="1">IF(OR(C3103=0,AND(B3105=0,C3105=0)),"",IFERROR(INDEX($F$27:$F$36,MATCH(C3104,($F$27:$F$36)*($D$27:$D$36&lt;&gt;0),0)),IF(OR(AND(D3104=0,B3104=0,B3105&lt;&gt;0),AND(D3104*D3103&lt;0,B3104&lt;&gt;0)),IF(D3104=0,C3104,C3104*(1-ABS(D3104)/(ABS(D3104)+ABS(D3103)))+C3103*(1-ABS(D3103)/(ABS(D3104)+ABS(D3103)))),"")))</f>
        <v>#NAME?</v>
      </c>
    </row>
    <row r="3105" spans="2:5" x14ac:dyDescent="0.25">
      <c r="B3105" t="e">
        <f t="shared" ca="1" si="97"/>
        <v>#NAME?</v>
      </c>
      <c r="C3105">
        <v>3062</v>
      </c>
      <c r="D3105" t="e">
        <f t="shared" ca="1" si="96"/>
        <v>#NAME?</v>
      </c>
      <c r="E3105" s="115" t="e">
        <f t="array" aca="1" ref="E3105" ca="1">IF(OR(C3104=0,AND(B3106=0,C3106=0)),"",IFERROR(INDEX($F$27:$F$36,MATCH(C3105,($F$27:$F$36)*($D$27:$D$36&lt;&gt;0),0)),IF(OR(AND(D3105=0,B3105=0,B3106&lt;&gt;0),AND(D3105*D3104&lt;0,B3105&lt;&gt;0)),IF(D3105=0,C3105,C3105*(1-ABS(D3105)/(ABS(D3105)+ABS(D3104)))+C3104*(1-ABS(D3104)/(ABS(D3105)+ABS(D3104)))),"")))</f>
        <v>#NAME?</v>
      </c>
    </row>
    <row r="3106" spans="2:5" x14ac:dyDescent="0.25">
      <c r="B3106" t="e">
        <f t="shared" ca="1" si="97"/>
        <v>#NAME?</v>
      </c>
      <c r="C3106">
        <v>3063</v>
      </c>
      <c r="D3106" t="e">
        <f t="shared" ca="1" si="96"/>
        <v>#NAME?</v>
      </c>
      <c r="E3106" s="115" t="e">
        <f t="array" aca="1" ref="E3106" ca="1">IF(OR(C3105=0,AND(B3107=0,C3107=0)),"",IFERROR(INDEX($F$27:$F$36,MATCH(C3106,($F$27:$F$36)*($D$27:$D$36&lt;&gt;0),0)),IF(OR(AND(D3106=0,B3106=0,B3107&lt;&gt;0),AND(D3106*D3105&lt;0,B3106&lt;&gt;0)),IF(D3106=0,C3106,C3106*(1-ABS(D3106)/(ABS(D3106)+ABS(D3105)))+C3105*(1-ABS(D3105)/(ABS(D3106)+ABS(D3105)))),"")))</f>
        <v>#NAME?</v>
      </c>
    </row>
    <row r="3107" spans="2:5" x14ac:dyDescent="0.25">
      <c r="B3107" t="e">
        <f t="shared" ca="1" si="97"/>
        <v>#NAME?</v>
      </c>
      <c r="C3107">
        <v>3064</v>
      </c>
      <c r="D3107" t="e">
        <f t="shared" ca="1" si="96"/>
        <v>#NAME?</v>
      </c>
      <c r="E3107" s="115" t="e">
        <f t="array" aca="1" ref="E3107" ca="1">IF(OR(C3106=0,AND(B3108=0,C3108=0)),"",IFERROR(INDEX($F$27:$F$36,MATCH(C3107,($F$27:$F$36)*($D$27:$D$36&lt;&gt;0),0)),IF(OR(AND(D3107=0,B3107=0,B3108&lt;&gt;0),AND(D3107*D3106&lt;0,B3107&lt;&gt;0)),IF(D3107=0,C3107,C3107*(1-ABS(D3107)/(ABS(D3107)+ABS(D3106)))+C3106*(1-ABS(D3106)/(ABS(D3107)+ABS(D3106)))),"")))</f>
        <v>#NAME?</v>
      </c>
    </row>
    <row r="3108" spans="2:5" x14ac:dyDescent="0.25">
      <c r="B3108" t="e">
        <f t="shared" ca="1" si="97"/>
        <v>#NAME?</v>
      </c>
      <c r="C3108">
        <v>3065</v>
      </c>
      <c r="D3108" t="e">
        <f t="shared" ca="1" si="96"/>
        <v>#NAME?</v>
      </c>
      <c r="E3108" s="115" t="e">
        <f t="array" aca="1" ref="E3108" ca="1">IF(OR(C3107=0,AND(B3109=0,C3109=0)),"",IFERROR(INDEX($F$27:$F$36,MATCH(C3108,($F$27:$F$36)*($D$27:$D$36&lt;&gt;0),0)),IF(OR(AND(D3108=0,B3108=0,B3109&lt;&gt;0),AND(D3108*D3107&lt;0,B3108&lt;&gt;0)),IF(D3108=0,C3108,C3108*(1-ABS(D3108)/(ABS(D3108)+ABS(D3107)))+C3107*(1-ABS(D3107)/(ABS(D3108)+ABS(D3107)))),"")))</f>
        <v>#NAME?</v>
      </c>
    </row>
    <row r="3109" spans="2:5" x14ac:dyDescent="0.25">
      <c r="B3109" t="e">
        <f t="shared" ca="1" si="97"/>
        <v>#NAME?</v>
      </c>
      <c r="C3109">
        <v>3066</v>
      </c>
      <c r="D3109" t="e">
        <f t="shared" ca="1" si="96"/>
        <v>#NAME?</v>
      </c>
      <c r="E3109" s="115" t="e">
        <f t="array" aca="1" ref="E3109" ca="1">IF(OR(C3108=0,AND(B3110=0,C3110=0)),"",IFERROR(INDEX($F$27:$F$36,MATCH(C3109,($F$27:$F$36)*($D$27:$D$36&lt;&gt;0),0)),IF(OR(AND(D3109=0,B3109=0,B3110&lt;&gt;0),AND(D3109*D3108&lt;0,B3109&lt;&gt;0)),IF(D3109=0,C3109,C3109*(1-ABS(D3109)/(ABS(D3109)+ABS(D3108)))+C3108*(1-ABS(D3108)/(ABS(D3109)+ABS(D3108)))),"")))</f>
        <v>#NAME?</v>
      </c>
    </row>
    <row r="3110" spans="2:5" x14ac:dyDescent="0.25">
      <c r="B3110" t="e">
        <f t="shared" ca="1" si="97"/>
        <v>#NAME?</v>
      </c>
      <c r="C3110">
        <v>3067</v>
      </c>
      <c r="D3110" t="e">
        <f t="shared" ca="1" si="96"/>
        <v>#NAME?</v>
      </c>
      <c r="E3110" s="115" t="e">
        <f t="array" aca="1" ref="E3110" ca="1">IF(OR(C3109=0,AND(B3111=0,C3111=0)),"",IFERROR(INDEX($F$27:$F$36,MATCH(C3110,($F$27:$F$36)*($D$27:$D$36&lt;&gt;0),0)),IF(OR(AND(D3110=0,B3110=0,B3111&lt;&gt;0),AND(D3110*D3109&lt;0,B3110&lt;&gt;0)),IF(D3110=0,C3110,C3110*(1-ABS(D3110)/(ABS(D3110)+ABS(D3109)))+C3109*(1-ABS(D3109)/(ABS(D3110)+ABS(D3109)))),"")))</f>
        <v>#NAME?</v>
      </c>
    </row>
    <row r="3111" spans="2:5" x14ac:dyDescent="0.25">
      <c r="B3111" t="e">
        <f t="shared" ca="1" si="97"/>
        <v>#NAME?</v>
      </c>
      <c r="C3111">
        <v>3068</v>
      </c>
      <c r="D3111" t="e">
        <f t="shared" ca="1" si="96"/>
        <v>#NAME?</v>
      </c>
      <c r="E3111" s="115" t="e">
        <f t="array" aca="1" ref="E3111" ca="1">IF(OR(C3110=0,AND(B3112=0,C3112=0)),"",IFERROR(INDEX($F$27:$F$36,MATCH(C3111,($F$27:$F$36)*($D$27:$D$36&lt;&gt;0),0)),IF(OR(AND(D3111=0,B3111=0,B3112&lt;&gt;0),AND(D3111*D3110&lt;0,B3111&lt;&gt;0)),IF(D3111=0,C3111,C3111*(1-ABS(D3111)/(ABS(D3111)+ABS(D3110)))+C3110*(1-ABS(D3110)/(ABS(D3111)+ABS(D3110)))),"")))</f>
        <v>#NAME?</v>
      </c>
    </row>
    <row r="3112" spans="2:5" x14ac:dyDescent="0.25">
      <c r="B3112" t="e">
        <f t="shared" ca="1" si="97"/>
        <v>#NAME?</v>
      </c>
      <c r="C3112">
        <v>3069</v>
      </c>
      <c r="D3112" t="e">
        <f t="shared" ca="1" si="96"/>
        <v>#NAME?</v>
      </c>
      <c r="E3112" s="115" t="e">
        <f t="array" aca="1" ref="E3112" ca="1">IF(OR(C3111=0,AND(B3113=0,C3113=0)),"",IFERROR(INDEX($F$27:$F$36,MATCH(C3112,($F$27:$F$36)*($D$27:$D$36&lt;&gt;0),0)),IF(OR(AND(D3112=0,B3112=0,B3113&lt;&gt;0),AND(D3112*D3111&lt;0,B3112&lt;&gt;0)),IF(D3112=0,C3112,C3112*(1-ABS(D3112)/(ABS(D3112)+ABS(D3111)))+C3111*(1-ABS(D3111)/(ABS(D3112)+ABS(D3111)))),"")))</f>
        <v>#NAME?</v>
      </c>
    </row>
    <row r="3113" spans="2:5" x14ac:dyDescent="0.25">
      <c r="B3113" t="e">
        <f t="shared" ca="1" si="97"/>
        <v>#NAME?</v>
      </c>
      <c r="C3113">
        <v>3070</v>
      </c>
      <c r="D3113" t="e">
        <f t="shared" ca="1" si="96"/>
        <v>#NAME?</v>
      </c>
      <c r="E3113" s="115" t="e">
        <f t="array" aca="1" ref="E3113" ca="1">IF(OR(C3112=0,AND(B3114=0,C3114=0)),"",IFERROR(INDEX($F$27:$F$36,MATCH(C3113,($F$27:$F$36)*($D$27:$D$36&lt;&gt;0),0)),IF(OR(AND(D3113=0,B3113=0,B3114&lt;&gt;0),AND(D3113*D3112&lt;0,B3113&lt;&gt;0)),IF(D3113=0,C3113,C3113*(1-ABS(D3113)/(ABS(D3113)+ABS(D3112)))+C3112*(1-ABS(D3112)/(ABS(D3113)+ABS(D3112)))),"")))</f>
        <v>#NAME?</v>
      </c>
    </row>
    <row r="3114" spans="2:5" x14ac:dyDescent="0.25">
      <c r="B3114" t="e">
        <f t="shared" ca="1" si="97"/>
        <v>#NAME?</v>
      </c>
      <c r="C3114">
        <v>3071</v>
      </c>
      <c r="D3114" t="e">
        <f t="shared" ca="1" si="96"/>
        <v>#NAME?</v>
      </c>
      <c r="E3114" s="115" t="e">
        <f t="array" aca="1" ref="E3114" ca="1">IF(OR(C3113=0,AND(B3115=0,C3115=0)),"",IFERROR(INDEX($F$27:$F$36,MATCH(C3114,($F$27:$F$36)*($D$27:$D$36&lt;&gt;0),0)),IF(OR(AND(D3114=0,B3114=0,B3115&lt;&gt;0),AND(D3114*D3113&lt;0,B3114&lt;&gt;0)),IF(D3114=0,C3114,C3114*(1-ABS(D3114)/(ABS(D3114)+ABS(D3113)))+C3113*(1-ABS(D3113)/(ABS(D3114)+ABS(D3113)))),"")))</f>
        <v>#NAME?</v>
      </c>
    </row>
    <row r="3115" spans="2:5" x14ac:dyDescent="0.25">
      <c r="B3115" t="e">
        <f t="shared" ca="1" si="97"/>
        <v>#NAME?</v>
      </c>
      <c r="C3115">
        <v>3072</v>
      </c>
      <c r="D3115" t="e">
        <f t="shared" ref="D3115:D3178" ca="1" si="98">SUMPRODUCT(--($J$27:$J$37&gt;0),--($C3115-$F$27:$F$37&gt;0),($D$27:$D$37),($C3115-$F$27:$F$37))+SUMPRODUCT(--($J$27:$J$37&lt;0),--($F$27:$F$37-$C3115&gt;0),($D$27:$D$37),($F$27:$F$37-$C3115))-SUMPRODUCT($D$27:$D$37,$E$27:$E$37)</f>
        <v>#NAME?</v>
      </c>
      <c r="E3115" s="115" t="e">
        <f t="array" aca="1" ref="E3115" ca="1">IF(OR(C3114=0,AND(B3116=0,C3116=0)),"",IFERROR(INDEX($F$27:$F$36,MATCH(C3115,($F$27:$F$36)*($D$27:$D$36&lt;&gt;0),0)),IF(OR(AND(D3115=0,B3115=0,B3116&lt;&gt;0),AND(D3115*D3114&lt;0,B3115&lt;&gt;0)),IF(D3115=0,C3115,C3115*(1-ABS(D3115)/(ABS(D3115)+ABS(D3114)))+C3114*(1-ABS(D3114)/(ABS(D3115)+ABS(D3114)))),"")))</f>
        <v>#NAME?</v>
      </c>
    </row>
    <row r="3116" spans="2:5" x14ac:dyDescent="0.25">
      <c r="B3116" t="e">
        <f t="shared" ref="B3116:B3179" ca="1" si="99">ROUND((D3116-D3115)/(C3116-C3115),12)</f>
        <v>#NAME?</v>
      </c>
      <c r="C3116">
        <v>3073</v>
      </c>
      <c r="D3116" t="e">
        <f t="shared" ca="1" si="98"/>
        <v>#NAME?</v>
      </c>
      <c r="E3116" s="115" t="e">
        <f t="array" aca="1" ref="E3116" ca="1">IF(OR(C3115=0,AND(B3117=0,C3117=0)),"",IFERROR(INDEX($F$27:$F$36,MATCH(C3116,($F$27:$F$36)*($D$27:$D$36&lt;&gt;0),0)),IF(OR(AND(D3116=0,B3116=0,B3117&lt;&gt;0),AND(D3116*D3115&lt;0,B3116&lt;&gt;0)),IF(D3116=0,C3116,C3116*(1-ABS(D3116)/(ABS(D3116)+ABS(D3115)))+C3115*(1-ABS(D3115)/(ABS(D3116)+ABS(D3115)))),"")))</f>
        <v>#NAME?</v>
      </c>
    </row>
    <row r="3117" spans="2:5" x14ac:dyDescent="0.25">
      <c r="B3117" t="e">
        <f t="shared" ca="1" si="99"/>
        <v>#NAME?</v>
      </c>
      <c r="C3117">
        <v>3074</v>
      </c>
      <c r="D3117" t="e">
        <f t="shared" ca="1" si="98"/>
        <v>#NAME?</v>
      </c>
      <c r="E3117" s="115" t="e">
        <f t="array" aca="1" ref="E3117" ca="1">IF(OR(C3116=0,AND(B3118=0,C3118=0)),"",IFERROR(INDEX($F$27:$F$36,MATCH(C3117,($F$27:$F$36)*($D$27:$D$36&lt;&gt;0),0)),IF(OR(AND(D3117=0,B3117=0,B3118&lt;&gt;0),AND(D3117*D3116&lt;0,B3117&lt;&gt;0)),IF(D3117=0,C3117,C3117*(1-ABS(D3117)/(ABS(D3117)+ABS(D3116)))+C3116*(1-ABS(D3116)/(ABS(D3117)+ABS(D3116)))),"")))</f>
        <v>#NAME?</v>
      </c>
    </row>
    <row r="3118" spans="2:5" x14ac:dyDescent="0.25">
      <c r="B3118" t="e">
        <f t="shared" ca="1" si="99"/>
        <v>#NAME?</v>
      </c>
      <c r="C3118">
        <v>3075</v>
      </c>
      <c r="D3118" t="e">
        <f t="shared" ca="1" si="98"/>
        <v>#NAME?</v>
      </c>
      <c r="E3118" s="115" t="e">
        <f t="array" aca="1" ref="E3118" ca="1">IF(OR(C3117=0,AND(B3119=0,C3119=0)),"",IFERROR(INDEX($F$27:$F$36,MATCH(C3118,($F$27:$F$36)*($D$27:$D$36&lt;&gt;0),0)),IF(OR(AND(D3118=0,B3118=0,B3119&lt;&gt;0),AND(D3118*D3117&lt;0,B3118&lt;&gt;0)),IF(D3118=0,C3118,C3118*(1-ABS(D3118)/(ABS(D3118)+ABS(D3117)))+C3117*(1-ABS(D3117)/(ABS(D3118)+ABS(D3117)))),"")))</f>
        <v>#NAME?</v>
      </c>
    </row>
    <row r="3119" spans="2:5" x14ac:dyDescent="0.25">
      <c r="B3119" t="e">
        <f t="shared" ca="1" si="99"/>
        <v>#NAME?</v>
      </c>
      <c r="C3119">
        <v>3076</v>
      </c>
      <c r="D3119" t="e">
        <f t="shared" ca="1" si="98"/>
        <v>#NAME?</v>
      </c>
      <c r="E3119" s="115" t="e">
        <f t="array" aca="1" ref="E3119" ca="1">IF(OR(C3118=0,AND(B3120=0,C3120=0)),"",IFERROR(INDEX($F$27:$F$36,MATCH(C3119,($F$27:$F$36)*($D$27:$D$36&lt;&gt;0),0)),IF(OR(AND(D3119=0,B3119=0,B3120&lt;&gt;0),AND(D3119*D3118&lt;0,B3119&lt;&gt;0)),IF(D3119=0,C3119,C3119*(1-ABS(D3119)/(ABS(D3119)+ABS(D3118)))+C3118*(1-ABS(D3118)/(ABS(D3119)+ABS(D3118)))),"")))</f>
        <v>#NAME?</v>
      </c>
    </row>
    <row r="3120" spans="2:5" x14ac:dyDescent="0.25">
      <c r="B3120" t="e">
        <f t="shared" ca="1" si="99"/>
        <v>#NAME?</v>
      </c>
      <c r="C3120">
        <v>3077</v>
      </c>
      <c r="D3120" t="e">
        <f t="shared" ca="1" si="98"/>
        <v>#NAME?</v>
      </c>
      <c r="E3120" s="115" t="e">
        <f t="array" aca="1" ref="E3120" ca="1">IF(OR(C3119=0,AND(B3121=0,C3121=0)),"",IFERROR(INDEX($F$27:$F$36,MATCH(C3120,($F$27:$F$36)*($D$27:$D$36&lt;&gt;0),0)),IF(OR(AND(D3120=0,B3120=0,B3121&lt;&gt;0),AND(D3120*D3119&lt;0,B3120&lt;&gt;0)),IF(D3120=0,C3120,C3120*(1-ABS(D3120)/(ABS(D3120)+ABS(D3119)))+C3119*(1-ABS(D3119)/(ABS(D3120)+ABS(D3119)))),"")))</f>
        <v>#NAME?</v>
      </c>
    </row>
    <row r="3121" spans="2:5" x14ac:dyDescent="0.25">
      <c r="B3121" t="e">
        <f t="shared" ca="1" si="99"/>
        <v>#NAME?</v>
      </c>
      <c r="C3121">
        <v>3078</v>
      </c>
      <c r="D3121" t="e">
        <f t="shared" ca="1" si="98"/>
        <v>#NAME?</v>
      </c>
      <c r="E3121" s="115" t="e">
        <f t="array" aca="1" ref="E3121" ca="1">IF(OR(C3120=0,AND(B3122=0,C3122=0)),"",IFERROR(INDEX($F$27:$F$36,MATCH(C3121,($F$27:$F$36)*($D$27:$D$36&lt;&gt;0),0)),IF(OR(AND(D3121=0,B3121=0,B3122&lt;&gt;0),AND(D3121*D3120&lt;0,B3121&lt;&gt;0)),IF(D3121=0,C3121,C3121*(1-ABS(D3121)/(ABS(D3121)+ABS(D3120)))+C3120*(1-ABS(D3120)/(ABS(D3121)+ABS(D3120)))),"")))</f>
        <v>#NAME?</v>
      </c>
    </row>
    <row r="3122" spans="2:5" x14ac:dyDescent="0.25">
      <c r="B3122" t="e">
        <f t="shared" ca="1" si="99"/>
        <v>#NAME?</v>
      </c>
      <c r="C3122">
        <v>3079</v>
      </c>
      <c r="D3122" t="e">
        <f t="shared" ca="1" si="98"/>
        <v>#NAME?</v>
      </c>
      <c r="E3122" s="115" t="e">
        <f t="array" aca="1" ref="E3122" ca="1">IF(OR(C3121=0,AND(B3123=0,C3123=0)),"",IFERROR(INDEX($F$27:$F$36,MATCH(C3122,($F$27:$F$36)*($D$27:$D$36&lt;&gt;0),0)),IF(OR(AND(D3122=0,B3122=0,B3123&lt;&gt;0),AND(D3122*D3121&lt;0,B3122&lt;&gt;0)),IF(D3122=0,C3122,C3122*(1-ABS(D3122)/(ABS(D3122)+ABS(D3121)))+C3121*(1-ABS(D3121)/(ABS(D3122)+ABS(D3121)))),"")))</f>
        <v>#NAME?</v>
      </c>
    </row>
    <row r="3123" spans="2:5" x14ac:dyDescent="0.25">
      <c r="B3123" t="e">
        <f t="shared" ca="1" si="99"/>
        <v>#NAME?</v>
      </c>
      <c r="C3123">
        <v>3080</v>
      </c>
      <c r="D3123" t="e">
        <f t="shared" ca="1" si="98"/>
        <v>#NAME?</v>
      </c>
      <c r="E3123" s="115" t="e">
        <f t="array" aca="1" ref="E3123" ca="1">IF(OR(C3122=0,AND(B3124=0,C3124=0)),"",IFERROR(INDEX($F$27:$F$36,MATCH(C3123,($F$27:$F$36)*($D$27:$D$36&lt;&gt;0),0)),IF(OR(AND(D3123=0,B3123=0,B3124&lt;&gt;0),AND(D3123*D3122&lt;0,B3123&lt;&gt;0)),IF(D3123=0,C3123,C3123*(1-ABS(D3123)/(ABS(D3123)+ABS(D3122)))+C3122*(1-ABS(D3122)/(ABS(D3123)+ABS(D3122)))),"")))</f>
        <v>#NAME?</v>
      </c>
    </row>
    <row r="3124" spans="2:5" x14ac:dyDescent="0.25">
      <c r="B3124" t="e">
        <f t="shared" ca="1" si="99"/>
        <v>#NAME?</v>
      </c>
      <c r="C3124">
        <v>3081</v>
      </c>
      <c r="D3124" t="e">
        <f t="shared" ca="1" si="98"/>
        <v>#NAME?</v>
      </c>
      <c r="E3124" s="115" t="e">
        <f t="array" aca="1" ref="E3124" ca="1">IF(OR(C3123=0,AND(B3125=0,C3125=0)),"",IFERROR(INDEX($F$27:$F$36,MATCH(C3124,($F$27:$F$36)*($D$27:$D$36&lt;&gt;0),0)),IF(OR(AND(D3124=0,B3124=0,B3125&lt;&gt;0),AND(D3124*D3123&lt;0,B3124&lt;&gt;0)),IF(D3124=0,C3124,C3124*(1-ABS(D3124)/(ABS(D3124)+ABS(D3123)))+C3123*(1-ABS(D3123)/(ABS(D3124)+ABS(D3123)))),"")))</f>
        <v>#NAME?</v>
      </c>
    </row>
    <row r="3125" spans="2:5" x14ac:dyDescent="0.25">
      <c r="B3125" t="e">
        <f t="shared" ca="1" si="99"/>
        <v>#NAME?</v>
      </c>
      <c r="C3125">
        <v>3082</v>
      </c>
      <c r="D3125" t="e">
        <f t="shared" ca="1" si="98"/>
        <v>#NAME?</v>
      </c>
      <c r="E3125" s="115" t="e">
        <f t="array" aca="1" ref="E3125" ca="1">IF(OR(C3124=0,AND(B3126=0,C3126=0)),"",IFERROR(INDEX($F$27:$F$36,MATCH(C3125,($F$27:$F$36)*($D$27:$D$36&lt;&gt;0),0)),IF(OR(AND(D3125=0,B3125=0,B3126&lt;&gt;0),AND(D3125*D3124&lt;0,B3125&lt;&gt;0)),IF(D3125=0,C3125,C3125*(1-ABS(D3125)/(ABS(D3125)+ABS(D3124)))+C3124*(1-ABS(D3124)/(ABS(D3125)+ABS(D3124)))),"")))</f>
        <v>#NAME?</v>
      </c>
    </row>
    <row r="3126" spans="2:5" x14ac:dyDescent="0.25">
      <c r="B3126" t="e">
        <f t="shared" ca="1" si="99"/>
        <v>#NAME?</v>
      </c>
      <c r="C3126">
        <v>3083</v>
      </c>
      <c r="D3126" t="e">
        <f t="shared" ca="1" si="98"/>
        <v>#NAME?</v>
      </c>
      <c r="E3126" s="115" t="e">
        <f t="array" aca="1" ref="E3126" ca="1">IF(OR(C3125=0,AND(B3127=0,C3127=0)),"",IFERROR(INDEX($F$27:$F$36,MATCH(C3126,($F$27:$F$36)*($D$27:$D$36&lt;&gt;0),0)),IF(OR(AND(D3126=0,B3126=0,B3127&lt;&gt;0),AND(D3126*D3125&lt;0,B3126&lt;&gt;0)),IF(D3126=0,C3126,C3126*(1-ABS(D3126)/(ABS(D3126)+ABS(D3125)))+C3125*(1-ABS(D3125)/(ABS(D3126)+ABS(D3125)))),"")))</f>
        <v>#NAME?</v>
      </c>
    </row>
    <row r="3127" spans="2:5" x14ac:dyDescent="0.25">
      <c r="B3127" t="e">
        <f t="shared" ca="1" si="99"/>
        <v>#NAME?</v>
      </c>
      <c r="C3127">
        <v>3084</v>
      </c>
      <c r="D3127" t="e">
        <f t="shared" ca="1" si="98"/>
        <v>#NAME?</v>
      </c>
      <c r="E3127" s="115" t="e">
        <f t="array" aca="1" ref="E3127" ca="1">IF(OR(C3126=0,AND(B3128=0,C3128=0)),"",IFERROR(INDEX($F$27:$F$36,MATCH(C3127,($F$27:$F$36)*($D$27:$D$36&lt;&gt;0),0)),IF(OR(AND(D3127=0,B3127=0,B3128&lt;&gt;0),AND(D3127*D3126&lt;0,B3127&lt;&gt;0)),IF(D3127=0,C3127,C3127*(1-ABS(D3127)/(ABS(D3127)+ABS(D3126)))+C3126*(1-ABS(D3126)/(ABS(D3127)+ABS(D3126)))),"")))</f>
        <v>#NAME?</v>
      </c>
    </row>
    <row r="3128" spans="2:5" x14ac:dyDescent="0.25">
      <c r="B3128" t="e">
        <f t="shared" ca="1" si="99"/>
        <v>#NAME?</v>
      </c>
      <c r="C3128">
        <v>3085</v>
      </c>
      <c r="D3128" t="e">
        <f t="shared" ca="1" si="98"/>
        <v>#NAME?</v>
      </c>
      <c r="E3128" s="115" t="e">
        <f t="array" aca="1" ref="E3128" ca="1">IF(OR(C3127=0,AND(B3129=0,C3129=0)),"",IFERROR(INDEX($F$27:$F$36,MATCH(C3128,($F$27:$F$36)*($D$27:$D$36&lt;&gt;0),0)),IF(OR(AND(D3128=0,B3128=0,B3129&lt;&gt;0),AND(D3128*D3127&lt;0,B3128&lt;&gt;0)),IF(D3128=0,C3128,C3128*(1-ABS(D3128)/(ABS(D3128)+ABS(D3127)))+C3127*(1-ABS(D3127)/(ABS(D3128)+ABS(D3127)))),"")))</f>
        <v>#NAME?</v>
      </c>
    </row>
    <row r="3129" spans="2:5" x14ac:dyDescent="0.25">
      <c r="B3129" t="e">
        <f t="shared" ca="1" si="99"/>
        <v>#NAME?</v>
      </c>
      <c r="C3129">
        <v>3086</v>
      </c>
      <c r="D3129" t="e">
        <f t="shared" ca="1" si="98"/>
        <v>#NAME?</v>
      </c>
      <c r="E3129" s="115" t="e">
        <f t="array" aca="1" ref="E3129" ca="1">IF(OR(C3128=0,AND(B3130=0,C3130=0)),"",IFERROR(INDEX($F$27:$F$36,MATCH(C3129,($F$27:$F$36)*($D$27:$D$36&lt;&gt;0),0)),IF(OR(AND(D3129=0,B3129=0,B3130&lt;&gt;0),AND(D3129*D3128&lt;0,B3129&lt;&gt;0)),IF(D3129=0,C3129,C3129*(1-ABS(D3129)/(ABS(D3129)+ABS(D3128)))+C3128*(1-ABS(D3128)/(ABS(D3129)+ABS(D3128)))),"")))</f>
        <v>#NAME?</v>
      </c>
    </row>
    <row r="3130" spans="2:5" x14ac:dyDescent="0.25">
      <c r="B3130" t="e">
        <f t="shared" ca="1" si="99"/>
        <v>#NAME?</v>
      </c>
      <c r="C3130">
        <v>3087</v>
      </c>
      <c r="D3130" t="e">
        <f t="shared" ca="1" si="98"/>
        <v>#NAME?</v>
      </c>
      <c r="E3130" s="115" t="e">
        <f t="array" aca="1" ref="E3130" ca="1">IF(OR(C3129=0,AND(B3131=0,C3131=0)),"",IFERROR(INDEX($F$27:$F$36,MATCH(C3130,($F$27:$F$36)*($D$27:$D$36&lt;&gt;0),0)),IF(OR(AND(D3130=0,B3130=0,B3131&lt;&gt;0),AND(D3130*D3129&lt;0,B3130&lt;&gt;0)),IF(D3130=0,C3130,C3130*(1-ABS(D3130)/(ABS(D3130)+ABS(D3129)))+C3129*(1-ABS(D3129)/(ABS(D3130)+ABS(D3129)))),"")))</f>
        <v>#NAME?</v>
      </c>
    </row>
    <row r="3131" spans="2:5" x14ac:dyDescent="0.25">
      <c r="B3131" t="e">
        <f t="shared" ca="1" si="99"/>
        <v>#NAME?</v>
      </c>
      <c r="C3131">
        <v>3088</v>
      </c>
      <c r="D3131" t="e">
        <f t="shared" ca="1" si="98"/>
        <v>#NAME?</v>
      </c>
      <c r="E3131" s="115" t="e">
        <f t="array" aca="1" ref="E3131" ca="1">IF(OR(C3130=0,AND(B3132=0,C3132=0)),"",IFERROR(INDEX($F$27:$F$36,MATCH(C3131,($F$27:$F$36)*($D$27:$D$36&lt;&gt;0),0)),IF(OR(AND(D3131=0,B3131=0,B3132&lt;&gt;0),AND(D3131*D3130&lt;0,B3131&lt;&gt;0)),IF(D3131=0,C3131,C3131*(1-ABS(D3131)/(ABS(D3131)+ABS(D3130)))+C3130*(1-ABS(D3130)/(ABS(D3131)+ABS(D3130)))),"")))</f>
        <v>#NAME?</v>
      </c>
    </row>
    <row r="3132" spans="2:5" x14ac:dyDescent="0.25">
      <c r="B3132" t="e">
        <f t="shared" ca="1" si="99"/>
        <v>#NAME?</v>
      </c>
      <c r="C3132">
        <v>3089</v>
      </c>
      <c r="D3132" t="e">
        <f t="shared" ca="1" si="98"/>
        <v>#NAME?</v>
      </c>
      <c r="E3132" s="115" t="e">
        <f t="array" aca="1" ref="E3132" ca="1">IF(OR(C3131=0,AND(B3133=0,C3133=0)),"",IFERROR(INDEX($F$27:$F$36,MATCH(C3132,($F$27:$F$36)*($D$27:$D$36&lt;&gt;0),0)),IF(OR(AND(D3132=0,B3132=0,B3133&lt;&gt;0),AND(D3132*D3131&lt;0,B3132&lt;&gt;0)),IF(D3132=0,C3132,C3132*(1-ABS(D3132)/(ABS(D3132)+ABS(D3131)))+C3131*(1-ABS(D3131)/(ABS(D3132)+ABS(D3131)))),"")))</f>
        <v>#NAME?</v>
      </c>
    </row>
    <row r="3133" spans="2:5" x14ac:dyDescent="0.25">
      <c r="B3133" t="e">
        <f t="shared" ca="1" si="99"/>
        <v>#NAME?</v>
      </c>
      <c r="C3133">
        <v>3090</v>
      </c>
      <c r="D3133" t="e">
        <f t="shared" ca="1" si="98"/>
        <v>#NAME?</v>
      </c>
      <c r="E3133" s="115" t="e">
        <f t="array" aca="1" ref="E3133" ca="1">IF(OR(C3132=0,AND(B3134=0,C3134=0)),"",IFERROR(INDEX($F$27:$F$36,MATCH(C3133,($F$27:$F$36)*($D$27:$D$36&lt;&gt;0),0)),IF(OR(AND(D3133=0,B3133=0,B3134&lt;&gt;0),AND(D3133*D3132&lt;0,B3133&lt;&gt;0)),IF(D3133=0,C3133,C3133*(1-ABS(D3133)/(ABS(D3133)+ABS(D3132)))+C3132*(1-ABS(D3132)/(ABS(D3133)+ABS(D3132)))),"")))</f>
        <v>#NAME?</v>
      </c>
    </row>
    <row r="3134" spans="2:5" x14ac:dyDescent="0.25">
      <c r="B3134" t="e">
        <f t="shared" ca="1" si="99"/>
        <v>#NAME?</v>
      </c>
      <c r="C3134">
        <v>3091</v>
      </c>
      <c r="D3134" t="e">
        <f t="shared" ca="1" si="98"/>
        <v>#NAME?</v>
      </c>
      <c r="E3134" s="115" t="e">
        <f t="array" aca="1" ref="E3134" ca="1">IF(OR(C3133=0,AND(B3135=0,C3135=0)),"",IFERROR(INDEX($F$27:$F$36,MATCH(C3134,($F$27:$F$36)*($D$27:$D$36&lt;&gt;0),0)),IF(OR(AND(D3134=0,B3134=0,B3135&lt;&gt;0),AND(D3134*D3133&lt;0,B3134&lt;&gt;0)),IF(D3134=0,C3134,C3134*(1-ABS(D3134)/(ABS(D3134)+ABS(D3133)))+C3133*(1-ABS(D3133)/(ABS(D3134)+ABS(D3133)))),"")))</f>
        <v>#NAME?</v>
      </c>
    </row>
    <row r="3135" spans="2:5" x14ac:dyDescent="0.25">
      <c r="B3135" t="e">
        <f t="shared" ca="1" si="99"/>
        <v>#NAME?</v>
      </c>
      <c r="C3135">
        <v>3092</v>
      </c>
      <c r="D3135" t="e">
        <f t="shared" ca="1" si="98"/>
        <v>#NAME?</v>
      </c>
      <c r="E3135" s="115" t="e">
        <f t="array" aca="1" ref="E3135" ca="1">IF(OR(C3134=0,AND(B3136=0,C3136=0)),"",IFERROR(INDEX($F$27:$F$36,MATCH(C3135,($F$27:$F$36)*($D$27:$D$36&lt;&gt;0),0)),IF(OR(AND(D3135=0,B3135=0,B3136&lt;&gt;0),AND(D3135*D3134&lt;0,B3135&lt;&gt;0)),IF(D3135=0,C3135,C3135*(1-ABS(D3135)/(ABS(D3135)+ABS(D3134)))+C3134*(1-ABS(D3134)/(ABS(D3135)+ABS(D3134)))),"")))</f>
        <v>#NAME?</v>
      </c>
    </row>
    <row r="3136" spans="2:5" x14ac:dyDescent="0.25">
      <c r="B3136" t="e">
        <f t="shared" ca="1" si="99"/>
        <v>#NAME?</v>
      </c>
      <c r="C3136">
        <v>3093</v>
      </c>
      <c r="D3136" t="e">
        <f t="shared" ca="1" si="98"/>
        <v>#NAME?</v>
      </c>
      <c r="E3136" s="115" t="e">
        <f t="array" aca="1" ref="E3136" ca="1">IF(OR(C3135=0,AND(B3137=0,C3137=0)),"",IFERROR(INDEX($F$27:$F$36,MATCH(C3136,($F$27:$F$36)*($D$27:$D$36&lt;&gt;0),0)),IF(OR(AND(D3136=0,B3136=0,B3137&lt;&gt;0),AND(D3136*D3135&lt;0,B3136&lt;&gt;0)),IF(D3136=0,C3136,C3136*(1-ABS(D3136)/(ABS(D3136)+ABS(D3135)))+C3135*(1-ABS(D3135)/(ABS(D3136)+ABS(D3135)))),"")))</f>
        <v>#NAME?</v>
      </c>
    </row>
    <row r="3137" spans="2:5" x14ac:dyDescent="0.25">
      <c r="B3137" t="e">
        <f t="shared" ca="1" si="99"/>
        <v>#NAME?</v>
      </c>
      <c r="C3137">
        <v>3094</v>
      </c>
      <c r="D3137" t="e">
        <f t="shared" ca="1" si="98"/>
        <v>#NAME?</v>
      </c>
      <c r="E3137" s="115" t="e">
        <f t="array" aca="1" ref="E3137" ca="1">IF(OR(C3136=0,AND(B3138=0,C3138=0)),"",IFERROR(INDEX($F$27:$F$36,MATCH(C3137,($F$27:$F$36)*($D$27:$D$36&lt;&gt;0),0)),IF(OR(AND(D3137=0,B3137=0,B3138&lt;&gt;0),AND(D3137*D3136&lt;0,B3137&lt;&gt;0)),IF(D3137=0,C3137,C3137*(1-ABS(D3137)/(ABS(D3137)+ABS(D3136)))+C3136*(1-ABS(D3136)/(ABS(D3137)+ABS(D3136)))),"")))</f>
        <v>#NAME?</v>
      </c>
    </row>
    <row r="3138" spans="2:5" x14ac:dyDescent="0.25">
      <c r="B3138" t="e">
        <f t="shared" ca="1" si="99"/>
        <v>#NAME?</v>
      </c>
      <c r="C3138">
        <v>3095</v>
      </c>
      <c r="D3138" t="e">
        <f t="shared" ca="1" si="98"/>
        <v>#NAME?</v>
      </c>
      <c r="E3138" s="115" t="e">
        <f t="array" aca="1" ref="E3138" ca="1">IF(OR(C3137=0,AND(B3139=0,C3139=0)),"",IFERROR(INDEX($F$27:$F$36,MATCH(C3138,($F$27:$F$36)*($D$27:$D$36&lt;&gt;0),0)),IF(OR(AND(D3138=0,B3138=0,B3139&lt;&gt;0),AND(D3138*D3137&lt;0,B3138&lt;&gt;0)),IF(D3138=0,C3138,C3138*(1-ABS(D3138)/(ABS(D3138)+ABS(D3137)))+C3137*(1-ABS(D3137)/(ABS(D3138)+ABS(D3137)))),"")))</f>
        <v>#NAME?</v>
      </c>
    </row>
    <row r="3139" spans="2:5" x14ac:dyDescent="0.25">
      <c r="B3139" t="e">
        <f t="shared" ca="1" si="99"/>
        <v>#NAME?</v>
      </c>
      <c r="C3139">
        <v>3096</v>
      </c>
      <c r="D3139" t="e">
        <f t="shared" ca="1" si="98"/>
        <v>#NAME?</v>
      </c>
      <c r="E3139" s="115" t="e">
        <f t="array" aca="1" ref="E3139" ca="1">IF(OR(C3138=0,AND(B3140=0,C3140=0)),"",IFERROR(INDEX($F$27:$F$36,MATCH(C3139,($F$27:$F$36)*($D$27:$D$36&lt;&gt;0),0)),IF(OR(AND(D3139=0,B3139=0,B3140&lt;&gt;0),AND(D3139*D3138&lt;0,B3139&lt;&gt;0)),IF(D3139=0,C3139,C3139*(1-ABS(D3139)/(ABS(D3139)+ABS(D3138)))+C3138*(1-ABS(D3138)/(ABS(D3139)+ABS(D3138)))),"")))</f>
        <v>#NAME?</v>
      </c>
    </row>
    <row r="3140" spans="2:5" x14ac:dyDescent="0.25">
      <c r="B3140" t="e">
        <f t="shared" ca="1" si="99"/>
        <v>#NAME?</v>
      </c>
      <c r="C3140">
        <v>3097</v>
      </c>
      <c r="D3140" t="e">
        <f t="shared" ca="1" si="98"/>
        <v>#NAME?</v>
      </c>
      <c r="E3140" s="115" t="e">
        <f t="array" aca="1" ref="E3140" ca="1">IF(OR(C3139=0,AND(B3141=0,C3141=0)),"",IFERROR(INDEX($F$27:$F$36,MATCH(C3140,($F$27:$F$36)*($D$27:$D$36&lt;&gt;0),0)),IF(OR(AND(D3140=0,B3140=0,B3141&lt;&gt;0),AND(D3140*D3139&lt;0,B3140&lt;&gt;0)),IF(D3140=0,C3140,C3140*(1-ABS(D3140)/(ABS(D3140)+ABS(D3139)))+C3139*(1-ABS(D3139)/(ABS(D3140)+ABS(D3139)))),"")))</f>
        <v>#NAME?</v>
      </c>
    </row>
    <row r="3141" spans="2:5" x14ac:dyDescent="0.25">
      <c r="B3141" t="e">
        <f t="shared" ca="1" si="99"/>
        <v>#NAME?</v>
      </c>
      <c r="C3141">
        <v>3098</v>
      </c>
      <c r="D3141" t="e">
        <f t="shared" ca="1" si="98"/>
        <v>#NAME?</v>
      </c>
      <c r="E3141" s="115" t="e">
        <f t="array" aca="1" ref="E3141" ca="1">IF(OR(C3140=0,AND(B3142=0,C3142=0)),"",IFERROR(INDEX($F$27:$F$36,MATCH(C3141,($F$27:$F$36)*($D$27:$D$36&lt;&gt;0),0)),IF(OR(AND(D3141=0,B3141=0,B3142&lt;&gt;0),AND(D3141*D3140&lt;0,B3141&lt;&gt;0)),IF(D3141=0,C3141,C3141*(1-ABS(D3141)/(ABS(D3141)+ABS(D3140)))+C3140*(1-ABS(D3140)/(ABS(D3141)+ABS(D3140)))),"")))</f>
        <v>#NAME?</v>
      </c>
    </row>
    <row r="3142" spans="2:5" x14ac:dyDescent="0.25">
      <c r="B3142" t="e">
        <f t="shared" ca="1" si="99"/>
        <v>#NAME?</v>
      </c>
      <c r="C3142">
        <v>3099</v>
      </c>
      <c r="D3142" t="e">
        <f t="shared" ca="1" si="98"/>
        <v>#NAME?</v>
      </c>
      <c r="E3142" s="115" t="e">
        <f t="array" aca="1" ref="E3142" ca="1">IF(OR(C3141=0,AND(B3143=0,C3143=0)),"",IFERROR(INDEX($F$27:$F$36,MATCH(C3142,($F$27:$F$36)*($D$27:$D$36&lt;&gt;0),0)),IF(OR(AND(D3142=0,B3142=0,B3143&lt;&gt;0),AND(D3142*D3141&lt;0,B3142&lt;&gt;0)),IF(D3142=0,C3142,C3142*(1-ABS(D3142)/(ABS(D3142)+ABS(D3141)))+C3141*(1-ABS(D3141)/(ABS(D3142)+ABS(D3141)))),"")))</f>
        <v>#NAME?</v>
      </c>
    </row>
    <row r="3143" spans="2:5" x14ac:dyDescent="0.25">
      <c r="B3143" t="e">
        <f t="shared" ca="1" si="99"/>
        <v>#NAME?</v>
      </c>
      <c r="C3143">
        <v>3100</v>
      </c>
      <c r="D3143" t="e">
        <f t="shared" ca="1" si="98"/>
        <v>#NAME?</v>
      </c>
      <c r="E3143" s="115" t="e">
        <f t="array" aca="1" ref="E3143" ca="1">IF(OR(C3142=0,AND(B3144=0,C3144=0)),"",IFERROR(INDEX($F$27:$F$36,MATCH(C3143,($F$27:$F$36)*($D$27:$D$36&lt;&gt;0),0)),IF(OR(AND(D3143=0,B3143=0,B3144&lt;&gt;0),AND(D3143*D3142&lt;0,B3143&lt;&gt;0)),IF(D3143=0,C3143,C3143*(1-ABS(D3143)/(ABS(D3143)+ABS(D3142)))+C3142*(1-ABS(D3142)/(ABS(D3143)+ABS(D3142)))),"")))</f>
        <v>#NAME?</v>
      </c>
    </row>
    <row r="3144" spans="2:5" x14ac:dyDescent="0.25">
      <c r="B3144" t="e">
        <f t="shared" ca="1" si="99"/>
        <v>#NAME?</v>
      </c>
      <c r="C3144">
        <v>3101</v>
      </c>
      <c r="D3144" t="e">
        <f t="shared" ca="1" si="98"/>
        <v>#NAME?</v>
      </c>
      <c r="E3144" s="115" t="e">
        <f t="array" aca="1" ref="E3144" ca="1">IF(OR(C3143=0,AND(B3145=0,C3145=0)),"",IFERROR(INDEX($F$27:$F$36,MATCH(C3144,($F$27:$F$36)*($D$27:$D$36&lt;&gt;0),0)),IF(OR(AND(D3144=0,B3144=0,B3145&lt;&gt;0),AND(D3144*D3143&lt;0,B3144&lt;&gt;0)),IF(D3144=0,C3144,C3144*(1-ABS(D3144)/(ABS(D3144)+ABS(D3143)))+C3143*(1-ABS(D3143)/(ABS(D3144)+ABS(D3143)))),"")))</f>
        <v>#NAME?</v>
      </c>
    </row>
    <row r="3145" spans="2:5" x14ac:dyDescent="0.25">
      <c r="B3145" t="e">
        <f t="shared" ca="1" si="99"/>
        <v>#NAME?</v>
      </c>
      <c r="C3145">
        <v>3102</v>
      </c>
      <c r="D3145" t="e">
        <f t="shared" ca="1" si="98"/>
        <v>#NAME?</v>
      </c>
      <c r="E3145" s="115" t="e">
        <f t="array" aca="1" ref="E3145" ca="1">IF(OR(C3144=0,AND(B3146=0,C3146=0)),"",IFERROR(INDEX($F$27:$F$36,MATCH(C3145,($F$27:$F$36)*($D$27:$D$36&lt;&gt;0),0)),IF(OR(AND(D3145=0,B3145=0,B3146&lt;&gt;0),AND(D3145*D3144&lt;0,B3145&lt;&gt;0)),IF(D3145=0,C3145,C3145*(1-ABS(D3145)/(ABS(D3145)+ABS(D3144)))+C3144*(1-ABS(D3144)/(ABS(D3145)+ABS(D3144)))),"")))</f>
        <v>#NAME?</v>
      </c>
    </row>
    <row r="3146" spans="2:5" x14ac:dyDescent="0.25">
      <c r="B3146" t="e">
        <f t="shared" ca="1" si="99"/>
        <v>#NAME?</v>
      </c>
      <c r="C3146">
        <v>3103</v>
      </c>
      <c r="D3146" t="e">
        <f t="shared" ca="1" si="98"/>
        <v>#NAME?</v>
      </c>
      <c r="E3146" s="115" t="e">
        <f t="array" aca="1" ref="E3146" ca="1">IF(OR(C3145=0,AND(B3147=0,C3147=0)),"",IFERROR(INDEX($F$27:$F$36,MATCH(C3146,($F$27:$F$36)*($D$27:$D$36&lt;&gt;0),0)),IF(OR(AND(D3146=0,B3146=0,B3147&lt;&gt;0),AND(D3146*D3145&lt;0,B3146&lt;&gt;0)),IF(D3146=0,C3146,C3146*(1-ABS(D3146)/(ABS(D3146)+ABS(D3145)))+C3145*(1-ABS(D3145)/(ABS(D3146)+ABS(D3145)))),"")))</f>
        <v>#NAME?</v>
      </c>
    </row>
    <row r="3147" spans="2:5" x14ac:dyDescent="0.25">
      <c r="B3147" t="e">
        <f t="shared" ca="1" si="99"/>
        <v>#NAME?</v>
      </c>
      <c r="C3147">
        <v>3104</v>
      </c>
      <c r="D3147" t="e">
        <f t="shared" ca="1" si="98"/>
        <v>#NAME?</v>
      </c>
      <c r="E3147" s="115" t="e">
        <f t="array" aca="1" ref="E3147" ca="1">IF(OR(C3146=0,AND(B3148=0,C3148=0)),"",IFERROR(INDEX($F$27:$F$36,MATCH(C3147,($F$27:$F$36)*($D$27:$D$36&lt;&gt;0),0)),IF(OR(AND(D3147=0,B3147=0,B3148&lt;&gt;0),AND(D3147*D3146&lt;0,B3147&lt;&gt;0)),IF(D3147=0,C3147,C3147*(1-ABS(D3147)/(ABS(D3147)+ABS(D3146)))+C3146*(1-ABS(D3146)/(ABS(D3147)+ABS(D3146)))),"")))</f>
        <v>#NAME?</v>
      </c>
    </row>
    <row r="3148" spans="2:5" x14ac:dyDescent="0.25">
      <c r="B3148" t="e">
        <f t="shared" ca="1" si="99"/>
        <v>#NAME?</v>
      </c>
      <c r="C3148">
        <v>3105</v>
      </c>
      <c r="D3148" t="e">
        <f t="shared" ca="1" si="98"/>
        <v>#NAME?</v>
      </c>
      <c r="E3148" s="115" t="e">
        <f t="array" aca="1" ref="E3148" ca="1">IF(OR(C3147=0,AND(B3149=0,C3149=0)),"",IFERROR(INDEX($F$27:$F$36,MATCH(C3148,($F$27:$F$36)*($D$27:$D$36&lt;&gt;0),0)),IF(OR(AND(D3148=0,B3148=0,B3149&lt;&gt;0),AND(D3148*D3147&lt;0,B3148&lt;&gt;0)),IF(D3148=0,C3148,C3148*(1-ABS(D3148)/(ABS(D3148)+ABS(D3147)))+C3147*(1-ABS(D3147)/(ABS(D3148)+ABS(D3147)))),"")))</f>
        <v>#NAME?</v>
      </c>
    </row>
    <row r="3149" spans="2:5" x14ac:dyDescent="0.25">
      <c r="B3149" t="e">
        <f t="shared" ca="1" si="99"/>
        <v>#NAME?</v>
      </c>
      <c r="C3149">
        <v>3106</v>
      </c>
      <c r="D3149" t="e">
        <f t="shared" ca="1" si="98"/>
        <v>#NAME?</v>
      </c>
      <c r="E3149" s="115" t="e">
        <f t="array" aca="1" ref="E3149" ca="1">IF(OR(C3148=0,AND(B3150=0,C3150=0)),"",IFERROR(INDEX($F$27:$F$36,MATCH(C3149,($F$27:$F$36)*($D$27:$D$36&lt;&gt;0),0)),IF(OR(AND(D3149=0,B3149=0,B3150&lt;&gt;0),AND(D3149*D3148&lt;0,B3149&lt;&gt;0)),IF(D3149=0,C3149,C3149*(1-ABS(D3149)/(ABS(D3149)+ABS(D3148)))+C3148*(1-ABS(D3148)/(ABS(D3149)+ABS(D3148)))),"")))</f>
        <v>#NAME?</v>
      </c>
    </row>
    <row r="3150" spans="2:5" x14ac:dyDescent="0.25">
      <c r="B3150" t="e">
        <f t="shared" ca="1" si="99"/>
        <v>#NAME?</v>
      </c>
      <c r="C3150">
        <v>3107</v>
      </c>
      <c r="D3150" t="e">
        <f t="shared" ca="1" si="98"/>
        <v>#NAME?</v>
      </c>
      <c r="E3150" s="115" t="e">
        <f t="array" aca="1" ref="E3150" ca="1">IF(OR(C3149=0,AND(B3151=0,C3151=0)),"",IFERROR(INDEX($F$27:$F$36,MATCH(C3150,($F$27:$F$36)*($D$27:$D$36&lt;&gt;0),0)),IF(OR(AND(D3150=0,B3150=0,B3151&lt;&gt;0),AND(D3150*D3149&lt;0,B3150&lt;&gt;0)),IF(D3150=0,C3150,C3150*(1-ABS(D3150)/(ABS(D3150)+ABS(D3149)))+C3149*(1-ABS(D3149)/(ABS(D3150)+ABS(D3149)))),"")))</f>
        <v>#NAME?</v>
      </c>
    </row>
    <row r="3151" spans="2:5" x14ac:dyDescent="0.25">
      <c r="B3151" t="e">
        <f t="shared" ca="1" si="99"/>
        <v>#NAME?</v>
      </c>
      <c r="C3151">
        <v>3108</v>
      </c>
      <c r="D3151" t="e">
        <f t="shared" ca="1" si="98"/>
        <v>#NAME?</v>
      </c>
      <c r="E3151" s="115" t="e">
        <f t="array" aca="1" ref="E3151" ca="1">IF(OR(C3150=0,AND(B3152=0,C3152=0)),"",IFERROR(INDEX($F$27:$F$36,MATCH(C3151,($F$27:$F$36)*($D$27:$D$36&lt;&gt;0),0)),IF(OR(AND(D3151=0,B3151=0,B3152&lt;&gt;0),AND(D3151*D3150&lt;0,B3151&lt;&gt;0)),IF(D3151=0,C3151,C3151*(1-ABS(D3151)/(ABS(D3151)+ABS(D3150)))+C3150*(1-ABS(D3150)/(ABS(D3151)+ABS(D3150)))),"")))</f>
        <v>#NAME?</v>
      </c>
    </row>
    <row r="3152" spans="2:5" x14ac:dyDescent="0.25">
      <c r="B3152" t="e">
        <f t="shared" ca="1" si="99"/>
        <v>#NAME?</v>
      </c>
      <c r="C3152">
        <v>3109</v>
      </c>
      <c r="D3152" t="e">
        <f t="shared" ca="1" si="98"/>
        <v>#NAME?</v>
      </c>
      <c r="E3152" s="115" t="e">
        <f t="array" aca="1" ref="E3152" ca="1">IF(OR(C3151=0,AND(B3153=0,C3153=0)),"",IFERROR(INDEX($F$27:$F$36,MATCH(C3152,($F$27:$F$36)*($D$27:$D$36&lt;&gt;0),0)),IF(OR(AND(D3152=0,B3152=0,B3153&lt;&gt;0),AND(D3152*D3151&lt;0,B3152&lt;&gt;0)),IF(D3152=0,C3152,C3152*(1-ABS(D3152)/(ABS(D3152)+ABS(D3151)))+C3151*(1-ABS(D3151)/(ABS(D3152)+ABS(D3151)))),"")))</f>
        <v>#NAME?</v>
      </c>
    </row>
    <row r="3153" spans="2:5" x14ac:dyDescent="0.25">
      <c r="B3153" t="e">
        <f t="shared" ca="1" si="99"/>
        <v>#NAME?</v>
      </c>
      <c r="C3153">
        <v>3110</v>
      </c>
      <c r="D3153" t="e">
        <f t="shared" ca="1" si="98"/>
        <v>#NAME?</v>
      </c>
      <c r="E3153" s="115" t="e">
        <f t="array" aca="1" ref="E3153" ca="1">IF(OR(C3152=0,AND(B3154=0,C3154=0)),"",IFERROR(INDEX($F$27:$F$36,MATCH(C3153,($F$27:$F$36)*($D$27:$D$36&lt;&gt;0),0)),IF(OR(AND(D3153=0,B3153=0,B3154&lt;&gt;0),AND(D3153*D3152&lt;0,B3153&lt;&gt;0)),IF(D3153=0,C3153,C3153*(1-ABS(D3153)/(ABS(D3153)+ABS(D3152)))+C3152*(1-ABS(D3152)/(ABS(D3153)+ABS(D3152)))),"")))</f>
        <v>#NAME?</v>
      </c>
    </row>
    <row r="3154" spans="2:5" x14ac:dyDescent="0.25">
      <c r="B3154" t="e">
        <f t="shared" ca="1" si="99"/>
        <v>#NAME?</v>
      </c>
      <c r="C3154">
        <v>3111</v>
      </c>
      <c r="D3154" t="e">
        <f t="shared" ca="1" si="98"/>
        <v>#NAME?</v>
      </c>
      <c r="E3154" s="115" t="e">
        <f t="array" aca="1" ref="E3154" ca="1">IF(OR(C3153=0,AND(B3155=0,C3155=0)),"",IFERROR(INDEX($F$27:$F$36,MATCH(C3154,($F$27:$F$36)*($D$27:$D$36&lt;&gt;0),0)),IF(OR(AND(D3154=0,B3154=0,B3155&lt;&gt;0),AND(D3154*D3153&lt;0,B3154&lt;&gt;0)),IF(D3154=0,C3154,C3154*(1-ABS(D3154)/(ABS(D3154)+ABS(D3153)))+C3153*(1-ABS(D3153)/(ABS(D3154)+ABS(D3153)))),"")))</f>
        <v>#NAME?</v>
      </c>
    </row>
    <row r="3155" spans="2:5" x14ac:dyDescent="0.25">
      <c r="B3155" t="e">
        <f t="shared" ca="1" si="99"/>
        <v>#NAME?</v>
      </c>
      <c r="C3155">
        <v>3112</v>
      </c>
      <c r="D3155" t="e">
        <f t="shared" ca="1" si="98"/>
        <v>#NAME?</v>
      </c>
      <c r="E3155" s="115" t="e">
        <f t="array" aca="1" ref="E3155" ca="1">IF(OR(C3154=0,AND(B3156=0,C3156=0)),"",IFERROR(INDEX($F$27:$F$36,MATCH(C3155,($F$27:$F$36)*($D$27:$D$36&lt;&gt;0),0)),IF(OR(AND(D3155=0,B3155=0,B3156&lt;&gt;0),AND(D3155*D3154&lt;0,B3155&lt;&gt;0)),IF(D3155=0,C3155,C3155*(1-ABS(D3155)/(ABS(D3155)+ABS(D3154)))+C3154*(1-ABS(D3154)/(ABS(D3155)+ABS(D3154)))),"")))</f>
        <v>#NAME?</v>
      </c>
    </row>
    <row r="3156" spans="2:5" x14ac:dyDescent="0.25">
      <c r="B3156" t="e">
        <f t="shared" ca="1" si="99"/>
        <v>#NAME?</v>
      </c>
      <c r="C3156">
        <v>3113</v>
      </c>
      <c r="D3156" t="e">
        <f t="shared" ca="1" si="98"/>
        <v>#NAME?</v>
      </c>
      <c r="E3156" s="115" t="e">
        <f t="array" aca="1" ref="E3156" ca="1">IF(OR(C3155=0,AND(B3157=0,C3157=0)),"",IFERROR(INDEX($F$27:$F$36,MATCH(C3156,($F$27:$F$36)*($D$27:$D$36&lt;&gt;0),0)),IF(OR(AND(D3156=0,B3156=0,B3157&lt;&gt;0),AND(D3156*D3155&lt;0,B3156&lt;&gt;0)),IF(D3156=0,C3156,C3156*(1-ABS(D3156)/(ABS(D3156)+ABS(D3155)))+C3155*(1-ABS(D3155)/(ABS(D3156)+ABS(D3155)))),"")))</f>
        <v>#NAME?</v>
      </c>
    </row>
    <row r="3157" spans="2:5" x14ac:dyDescent="0.25">
      <c r="B3157" t="e">
        <f t="shared" ca="1" si="99"/>
        <v>#NAME?</v>
      </c>
      <c r="C3157">
        <v>3114</v>
      </c>
      <c r="D3157" t="e">
        <f t="shared" ca="1" si="98"/>
        <v>#NAME?</v>
      </c>
      <c r="E3157" s="115" t="e">
        <f t="array" aca="1" ref="E3157" ca="1">IF(OR(C3156=0,AND(B3158=0,C3158=0)),"",IFERROR(INDEX($F$27:$F$36,MATCH(C3157,($F$27:$F$36)*($D$27:$D$36&lt;&gt;0),0)),IF(OR(AND(D3157=0,B3157=0,B3158&lt;&gt;0),AND(D3157*D3156&lt;0,B3157&lt;&gt;0)),IF(D3157=0,C3157,C3157*(1-ABS(D3157)/(ABS(D3157)+ABS(D3156)))+C3156*(1-ABS(D3156)/(ABS(D3157)+ABS(D3156)))),"")))</f>
        <v>#NAME?</v>
      </c>
    </row>
    <row r="3158" spans="2:5" x14ac:dyDescent="0.25">
      <c r="B3158" t="e">
        <f t="shared" ca="1" si="99"/>
        <v>#NAME?</v>
      </c>
      <c r="C3158">
        <v>3115</v>
      </c>
      <c r="D3158" t="e">
        <f t="shared" ca="1" si="98"/>
        <v>#NAME?</v>
      </c>
      <c r="E3158" s="115" t="e">
        <f t="array" aca="1" ref="E3158" ca="1">IF(OR(C3157=0,AND(B3159=0,C3159=0)),"",IFERROR(INDEX($F$27:$F$36,MATCH(C3158,($F$27:$F$36)*($D$27:$D$36&lt;&gt;0),0)),IF(OR(AND(D3158=0,B3158=0,B3159&lt;&gt;0),AND(D3158*D3157&lt;0,B3158&lt;&gt;0)),IF(D3158=0,C3158,C3158*(1-ABS(D3158)/(ABS(D3158)+ABS(D3157)))+C3157*(1-ABS(D3157)/(ABS(D3158)+ABS(D3157)))),"")))</f>
        <v>#NAME?</v>
      </c>
    </row>
    <row r="3159" spans="2:5" x14ac:dyDescent="0.25">
      <c r="B3159" t="e">
        <f t="shared" ca="1" si="99"/>
        <v>#NAME?</v>
      </c>
      <c r="C3159">
        <v>3116</v>
      </c>
      <c r="D3159" t="e">
        <f t="shared" ca="1" si="98"/>
        <v>#NAME?</v>
      </c>
      <c r="E3159" s="115" t="e">
        <f t="array" aca="1" ref="E3159" ca="1">IF(OR(C3158=0,AND(B3160=0,C3160=0)),"",IFERROR(INDEX($F$27:$F$36,MATCH(C3159,($F$27:$F$36)*($D$27:$D$36&lt;&gt;0),0)),IF(OR(AND(D3159=0,B3159=0,B3160&lt;&gt;0),AND(D3159*D3158&lt;0,B3159&lt;&gt;0)),IF(D3159=0,C3159,C3159*(1-ABS(D3159)/(ABS(D3159)+ABS(D3158)))+C3158*(1-ABS(D3158)/(ABS(D3159)+ABS(D3158)))),"")))</f>
        <v>#NAME?</v>
      </c>
    </row>
    <row r="3160" spans="2:5" x14ac:dyDescent="0.25">
      <c r="B3160" t="e">
        <f t="shared" ca="1" si="99"/>
        <v>#NAME?</v>
      </c>
      <c r="C3160">
        <v>3117</v>
      </c>
      <c r="D3160" t="e">
        <f t="shared" ca="1" si="98"/>
        <v>#NAME?</v>
      </c>
      <c r="E3160" s="115" t="e">
        <f t="array" aca="1" ref="E3160" ca="1">IF(OR(C3159=0,AND(B3161=0,C3161=0)),"",IFERROR(INDEX($F$27:$F$36,MATCH(C3160,($F$27:$F$36)*($D$27:$D$36&lt;&gt;0),0)),IF(OR(AND(D3160=0,B3160=0,B3161&lt;&gt;0),AND(D3160*D3159&lt;0,B3160&lt;&gt;0)),IF(D3160=0,C3160,C3160*(1-ABS(D3160)/(ABS(D3160)+ABS(D3159)))+C3159*(1-ABS(D3159)/(ABS(D3160)+ABS(D3159)))),"")))</f>
        <v>#NAME?</v>
      </c>
    </row>
    <row r="3161" spans="2:5" x14ac:dyDescent="0.25">
      <c r="B3161" t="e">
        <f t="shared" ca="1" si="99"/>
        <v>#NAME?</v>
      </c>
      <c r="C3161">
        <v>3118</v>
      </c>
      <c r="D3161" t="e">
        <f t="shared" ca="1" si="98"/>
        <v>#NAME?</v>
      </c>
      <c r="E3161" s="115" t="e">
        <f t="array" aca="1" ref="E3161" ca="1">IF(OR(C3160=0,AND(B3162=0,C3162=0)),"",IFERROR(INDEX($F$27:$F$36,MATCH(C3161,($F$27:$F$36)*($D$27:$D$36&lt;&gt;0),0)),IF(OR(AND(D3161=0,B3161=0,B3162&lt;&gt;0),AND(D3161*D3160&lt;0,B3161&lt;&gt;0)),IF(D3161=0,C3161,C3161*(1-ABS(D3161)/(ABS(D3161)+ABS(D3160)))+C3160*(1-ABS(D3160)/(ABS(D3161)+ABS(D3160)))),"")))</f>
        <v>#NAME?</v>
      </c>
    </row>
    <row r="3162" spans="2:5" x14ac:dyDescent="0.25">
      <c r="B3162" t="e">
        <f t="shared" ca="1" si="99"/>
        <v>#NAME?</v>
      </c>
      <c r="C3162">
        <v>3119</v>
      </c>
      <c r="D3162" t="e">
        <f t="shared" ca="1" si="98"/>
        <v>#NAME?</v>
      </c>
      <c r="E3162" s="115" t="e">
        <f t="array" aca="1" ref="E3162" ca="1">IF(OR(C3161=0,AND(B3163=0,C3163=0)),"",IFERROR(INDEX($F$27:$F$36,MATCH(C3162,($F$27:$F$36)*($D$27:$D$36&lt;&gt;0),0)),IF(OR(AND(D3162=0,B3162=0,B3163&lt;&gt;0),AND(D3162*D3161&lt;0,B3162&lt;&gt;0)),IF(D3162=0,C3162,C3162*(1-ABS(D3162)/(ABS(D3162)+ABS(D3161)))+C3161*(1-ABS(D3161)/(ABS(D3162)+ABS(D3161)))),"")))</f>
        <v>#NAME?</v>
      </c>
    </row>
    <row r="3163" spans="2:5" x14ac:dyDescent="0.25">
      <c r="B3163" t="e">
        <f t="shared" ca="1" si="99"/>
        <v>#NAME?</v>
      </c>
      <c r="C3163">
        <v>3120</v>
      </c>
      <c r="D3163" t="e">
        <f t="shared" ca="1" si="98"/>
        <v>#NAME?</v>
      </c>
      <c r="E3163" s="115" t="e">
        <f t="array" aca="1" ref="E3163" ca="1">IF(OR(C3162=0,AND(B3164=0,C3164=0)),"",IFERROR(INDEX($F$27:$F$36,MATCH(C3163,($F$27:$F$36)*($D$27:$D$36&lt;&gt;0),0)),IF(OR(AND(D3163=0,B3163=0,B3164&lt;&gt;0),AND(D3163*D3162&lt;0,B3163&lt;&gt;0)),IF(D3163=0,C3163,C3163*(1-ABS(D3163)/(ABS(D3163)+ABS(D3162)))+C3162*(1-ABS(D3162)/(ABS(D3163)+ABS(D3162)))),"")))</f>
        <v>#NAME?</v>
      </c>
    </row>
    <row r="3164" spans="2:5" x14ac:dyDescent="0.25">
      <c r="B3164" t="e">
        <f t="shared" ca="1" si="99"/>
        <v>#NAME?</v>
      </c>
      <c r="C3164">
        <v>3121</v>
      </c>
      <c r="D3164" t="e">
        <f t="shared" ca="1" si="98"/>
        <v>#NAME?</v>
      </c>
      <c r="E3164" s="115" t="e">
        <f t="array" aca="1" ref="E3164" ca="1">IF(OR(C3163=0,AND(B3165=0,C3165=0)),"",IFERROR(INDEX($F$27:$F$36,MATCH(C3164,($F$27:$F$36)*($D$27:$D$36&lt;&gt;0),0)),IF(OR(AND(D3164=0,B3164=0,B3165&lt;&gt;0),AND(D3164*D3163&lt;0,B3164&lt;&gt;0)),IF(D3164=0,C3164,C3164*(1-ABS(D3164)/(ABS(D3164)+ABS(D3163)))+C3163*(1-ABS(D3163)/(ABS(D3164)+ABS(D3163)))),"")))</f>
        <v>#NAME?</v>
      </c>
    </row>
    <row r="3165" spans="2:5" x14ac:dyDescent="0.25">
      <c r="B3165" t="e">
        <f t="shared" ca="1" si="99"/>
        <v>#NAME?</v>
      </c>
      <c r="C3165">
        <v>3122</v>
      </c>
      <c r="D3165" t="e">
        <f t="shared" ca="1" si="98"/>
        <v>#NAME?</v>
      </c>
      <c r="E3165" s="115" t="e">
        <f t="array" aca="1" ref="E3165" ca="1">IF(OR(C3164=0,AND(B3166=0,C3166=0)),"",IFERROR(INDEX($F$27:$F$36,MATCH(C3165,($F$27:$F$36)*($D$27:$D$36&lt;&gt;0),0)),IF(OR(AND(D3165=0,B3165=0,B3166&lt;&gt;0),AND(D3165*D3164&lt;0,B3165&lt;&gt;0)),IF(D3165=0,C3165,C3165*(1-ABS(D3165)/(ABS(D3165)+ABS(D3164)))+C3164*(1-ABS(D3164)/(ABS(D3165)+ABS(D3164)))),"")))</f>
        <v>#NAME?</v>
      </c>
    </row>
    <row r="3166" spans="2:5" x14ac:dyDescent="0.25">
      <c r="B3166" t="e">
        <f t="shared" ca="1" si="99"/>
        <v>#NAME?</v>
      </c>
      <c r="C3166">
        <v>3123</v>
      </c>
      <c r="D3166" t="e">
        <f t="shared" ca="1" si="98"/>
        <v>#NAME?</v>
      </c>
      <c r="E3166" s="115" t="e">
        <f t="array" aca="1" ref="E3166" ca="1">IF(OR(C3165=0,AND(B3167=0,C3167=0)),"",IFERROR(INDEX($F$27:$F$36,MATCH(C3166,($F$27:$F$36)*($D$27:$D$36&lt;&gt;0),0)),IF(OR(AND(D3166=0,B3166=0,B3167&lt;&gt;0),AND(D3166*D3165&lt;0,B3166&lt;&gt;0)),IF(D3166=0,C3166,C3166*(1-ABS(D3166)/(ABS(D3166)+ABS(D3165)))+C3165*(1-ABS(D3165)/(ABS(D3166)+ABS(D3165)))),"")))</f>
        <v>#NAME?</v>
      </c>
    </row>
    <row r="3167" spans="2:5" x14ac:dyDescent="0.25">
      <c r="B3167" t="e">
        <f t="shared" ca="1" si="99"/>
        <v>#NAME?</v>
      </c>
      <c r="C3167">
        <v>3124</v>
      </c>
      <c r="D3167" t="e">
        <f t="shared" ca="1" si="98"/>
        <v>#NAME?</v>
      </c>
      <c r="E3167" s="115" t="e">
        <f t="array" aca="1" ref="E3167" ca="1">IF(OR(C3166=0,AND(B3168=0,C3168=0)),"",IFERROR(INDEX($F$27:$F$36,MATCH(C3167,($F$27:$F$36)*($D$27:$D$36&lt;&gt;0),0)),IF(OR(AND(D3167=0,B3167=0,B3168&lt;&gt;0),AND(D3167*D3166&lt;0,B3167&lt;&gt;0)),IF(D3167=0,C3167,C3167*(1-ABS(D3167)/(ABS(D3167)+ABS(D3166)))+C3166*(1-ABS(D3166)/(ABS(D3167)+ABS(D3166)))),"")))</f>
        <v>#NAME?</v>
      </c>
    </row>
    <row r="3168" spans="2:5" x14ac:dyDescent="0.25">
      <c r="B3168" t="e">
        <f t="shared" ca="1" si="99"/>
        <v>#NAME?</v>
      </c>
      <c r="C3168">
        <v>3125</v>
      </c>
      <c r="D3168" t="e">
        <f t="shared" ca="1" si="98"/>
        <v>#NAME?</v>
      </c>
      <c r="E3168" s="115" t="e">
        <f t="array" aca="1" ref="E3168" ca="1">IF(OR(C3167=0,AND(B3169=0,C3169=0)),"",IFERROR(INDEX($F$27:$F$36,MATCH(C3168,($F$27:$F$36)*($D$27:$D$36&lt;&gt;0),0)),IF(OR(AND(D3168=0,B3168=0,B3169&lt;&gt;0),AND(D3168*D3167&lt;0,B3168&lt;&gt;0)),IF(D3168=0,C3168,C3168*(1-ABS(D3168)/(ABS(D3168)+ABS(D3167)))+C3167*(1-ABS(D3167)/(ABS(D3168)+ABS(D3167)))),"")))</f>
        <v>#NAME?</v>
      </c>
    </row>
    <row r="3169" spans="2:5" x14ac:dyDescent="0.25">
      <c r="B3169" t="e">
        <f t="shared" ca="1" si="99"/>
        <v>#NAME?</v>
      </c>
      <c r="C3169">
        <v>3126</v>
      </c>
      <c r="D3169" t="e">
        <f t="shared" ca="1" si="98"/>
        <v>#NAME?</v>
      </c>
      <c r="E3169" s="115" t="e">
        <f t="array" aca="1" ref="E3169" ca="1">IF(OR(C3168=0,AND(B3170=0,C3170=0)),"",IFERROR(INDEX($F$27:$F$36,MATCH(C3169,($F$27:$F$36)*($D$27:$D$36&lt;&gt;0),0)),IF(OR(AND(D3169=0,B3169=0,B3170&lt;&gt;0),AND(D3169*D3168&lt;0,B3169&lt;&gt;0)),IF(D3169=0,C3169,C3169*(1-ABS(D3169)/(ABS(D3169)+ABS(D3168)))+C3168*(1-ABS(D3168)/(ABS(D3169)+ABS(D3168)))),"")))</f>
        <v>#NAME?</v>
      </c>
    </row>
    <row r="3170" spans="2:5" x14ac:dyDescent="0.25">
      <c r="B3170" t="e">
        <f t="shared" ca="1" si="99"/>
        <v>#NAME?</v>
      </c>
      <c r="C3170">
        <v>3127</v>
      </c>
      <c r="D3170" t="e">
        <f t="shared" ca="1" si="98"/>
        <v>#NAME?</v>
      </c>
      <c r="E3170" s="115" t="e">
        <f t="array" aca="1" ref="E3170" ca="1">IF(OR(C3169=0,AND(B3171=0,C3171=0)),"",IFERROR(INDEX($F$27:$F$36,MATCH(C3170,($F$27:$F$36)*($D$27:$D$36&lt;&gt;0),0)),IF(OR(AND(D3170=0,B3170=0,B3171&lt;&gt;0),AND(D3170*D3169&lt;0,B3170&lt;&gt;0)),IF(D3170=0,C3170,C3170*(1-ABS(D3170)/(ABS(D3170)+ABS(D3169)))+C3169*(1-ABS(D3169)/(ABS(D3170)+ABS(D3169)))),"")))</f>
        <v>#NAME?</v>
      </c>
    </row>
    <row r="3171" spans="2:5" x14ac:dyDescent="0.25">
      <c r="B3171" t="e">
        <f t="shared" ca="1" si="99"/>
        <v>#NAME?</v>
      </c>
      <c r="C3171">
        <v>3128</v>
      </c>
      <c r="D3171" t="e">
        <f t="shared" ca="1" si="98"/>
        <v>#NAME?</v>
      </c>
      <c r="E3171" s="115" t="e">
        <f t="array" aca="1" ref="E3171" ca="1">IF(OR(C3170=0,AND(B3172=0,C3172=0)),"",IFERROR(INDEX($F$27:$F$36,MATCH(C3171,($F$27:$F$36)*($D$27:$D$36&lt;&gt;0),0)),IF(OR(AND(D3171=0,B3171=0,B3172&lt;&gt;0),AND(D3171*D3170&lt;0,B3171&lt;&gt;0)),IF(D3171=0,C3171,C3171*(1-ABS(D3171)/(ABS(D3171)+ABS(D3170)))+C3170*(1-ABS(D3170)/(ABS(D3171)+ABS(D3170)))),"")))</f>
        <v>#NAME?</v>
      </c>
    </row>
    <row r="3172" spans="2:5" x14ac:dyDescent="0.25">
      <c r="B3172" t="e">
        <f t="shared" ca="1" si="99"/>
        <v>#NAME?</v>
      </c>
      <c r="C3172">
        <v>3129</v>
      </c>
      <c r="D3172" t="e">
        <f t="shared" ca="1" si="98"/>
        <v>#NAME?</v>
      </c>
      <c r="E3172" s="115" t="e">
        <f t="array" aca="1" ref="E3172" ca="1">IF(OR(C3171=0,AND(B3173=0,C3173=0)),"",IFERROR(INDEX($F$27:$F$36,MATCH(C3172,($F$27:$F$36)*($D$27:$D$36&lt;&gt;0),0)),IF(OR(AND(D3172=0,B3172=0,B3173&lt;&gt;0),AND(D3172*D3171&lt;0,B3172&lt;&gt;0)),IF(D3172=0,C3172,C3172*(1-ABS(D3172)/(ABS(D3172)+ABS(D3171)))+C3171*(1-ABS(D3171)/(ABS(D3172)+ABS(D3171)))),"")))</f>
        <v>#NAME?</v>
      </c>
    </row>
    <row r="3173" spans="2:5" x14ac:dyDescent="0.25">
      <c r="B3173" t="e">
        <f t="shared" ca="1" si="99"/>
        <v>#NAME?</v>
      </c>
      <c r="C3173">
        <v>3130</v>
      </c>
      <c r="D3173" t="e">
        <f t="shared" ca="1" si="98"/>
        <v>#NAME?</v>
      </c>
      <c r="E3173" s="115" t="e">
        <f t="array" aca="1" ref="E3173" ca="1">IF(OR(C3172=0,AND(B3174=0,C3174=0)),"",IFERROR(INDEX($F$27:$F$36,MATCH(C3173,($F$27:$F$36)*($D$27:$D$36&lt;&gt;0),0)),IF(OR(AND(D3173=0,B3173=0,B3174&lt;&gt;0),AND(D3173*D3172&lt;0,B3173&lt;&gt;0)),IF(D3173=0,C3173,C3173*(1-ABS(D3173)/(ABS(D3173)+ABS(D3172)))+C3172*(1-ABS(D3172)/(ABS(D3173)+ABS(D3172)))),"")))</f>
        <v>#NAME?</v>
      </c>
    </row>
    <row r="3174" spans="2:5" x14ac:dyDescent="0.25">
      <c r="B3174" t="e">
        <f t="shared" ca="1" si="99"/>
        <v>#NAME?</v>
      </c>
      <c r="C3174">
        <v>3131</v>
      </c>
      <c r="D3174" t="e">
        <f t="shared" ca="1" si="98"/>
        <v>#NAME?</v>
      </c>
      <c r="E3174" s="115" t="e">
        <f t="array" aca="1" ref="E3174" ca="1">IF(OR(C3173=0,AND(B3175=0,C3175=0)),"",IFERROR(INDEX($F$27:$F$36,MATCH(C3174,($F$27:$F$36)*($D$27:$D$36&lt;&gt;0),0)),IF(OR(AND(D3174=0,B3174=0,B3175&lt;&gt;0),AND(D3174*D3173&lt;0,B3174&lt;&gt;0)),IF(D3174=0,C3174,C3174*(1-ABS(D3174)/(ABS(D3174)+ABS(D3173)))+C3173*(1-ABS(D3173)/(ABS(D3174)+ABS(D3173)))),"")))</f>
        <v>#NAME?</v>
      </c>
    </row>
    <row r="3175" spans="2:5" x14ac:dyDescent="0.25">
      <c r="B3175" t="e">
        <f t="shared" ca="1" si="99"/>
        <v>#NAME?</v>
      </c>
      <c r="C3175">
        <v>3132</v>
      </c>
      <c r="D3175" t="e">
        <f t="shared" ca="1" si="98"/>
        <v>#NAME?</v>
      </c>
      <c r="E3175" s="115" t="e">
        <f t="array" aca="1" ref="E3175" ca="1">IF(OR(C3174=0,AND(B3176=0,C3176=0)),"",IFERROR(INDEX($F$27:$F$36,MATCH(C3175,($F$27:$F$36)*($D$27:$D$36&lt;&gt;0),0)),IF(OR(AND(D3175=0,B3175=0,B3176&lt;&gt;0),AND(D3175*D3174&lt;0,B3175&lt;&gt;0)),IF(D3175=0,C3175,C3175*(1-ABS(D3175)/(ABS(D3175)+ABS(D3174)))+C3174*(1-ABS(D3174)/(ABS(D3175)+ABS(D3174)))),"")))</f>
        <v>#NAME?</v>
      </c>
    </row>
    <row r="3176" spans="2:5" x14ac:dyDescent="0.25">
      <c r="B3176" t="e">
        <f t="shared" ca="1" si="99"/>
        <v>#NAME?</v>
      </c>
      <c r="C3176">
        <v>3133</v>
      </c>
      <c r="D3176" t="e">
        <f t="shared" ca="1" si="98"/>
        <v>#NAME?</v>
      </c>
      <c r="E3176" s="115" t="e">
        <f t="array" aca="1" ref="E3176" ca="1">IF(OR(C3175=0,AND(B3177=0,C3177=0)),"",IFERROR(INDEX($F$27:$F$36,MATCH(C3176,($F$27:$F$36)*($D$27:$D$36&lt;&gt;0),0)),IF(OR(AND(D3176=0,B3176=0,B3177&lt;&gt;0),AND(D3176*D3175&lt;0,B3176&lt;&gt;0)),IF(D3176=0,C3176,C3176*(1-ABS(D3176)/(ABS(D3176)+ABS(D3175)))+C3175*(1-ABS(D3175)/(ABS(D3176)+ABS(D3175)))),"")))</f>
        <v>#NAME?</v>
      </c>
    </row>
    <row r="3177" spans="2:5" x14ac:dyDescent="0.25">
      <c r="B3177" t="e">
        <f t="shared" ca="1" si="99"/>
        <v>#NAME?</v>
      </c>
      <c r="C3177">
        <v>3134</v>
      </c>
      <c r="D3177" t="e">
        <f t="shared" ca="1" si="98"/>
        <v>#NAME?</v>
      </c>
      <c r="E3177" s="115" t="e">
        <f t="array" aca="1" ref="E3177" ca="1">IF(OR(C3176=0,AND(B3178=0,C3178=0)),"",IFERROR(INDEX($F$27:$F$36,MATCH(C3177,($F$27:$F$36)*($D$27:$D$36&lt;&gt;0),0)),IF(OR(AND(D3177=0,B3177=0,B3178&lt;&gt;0),AND(D3177*D3176&lt;0,B3177&lt;&gt;0)),IF(D3177=0,C3177,C3177*(1-ABS(D3177)/(ABS(D3177)+ABS(D3176)))+C3176*(1-ABS(D3176)/(ABS(D3177)+ABS(D3176)))),"")))</f>
        <v>#NAME?</v>
      </c>
    </row>
    <row r="3178" spans="2:5" x14ac:dyDescent="0.25">
      <c r="B3178" t="e">
        <f t="shared" ca="1" si="99"/>
        <v>#NAME?</v>
      </c>
      <c r="C3178">
        <v>3135</v>
      </c>
      <c r="D3178" t="e">
        <f t="shared" ca="1" si="98"/>
        <v>#NAME?</v>
      </c>
      <c r="E3178" s="115" t="e">
        <f t="array" aca="1" ref="E3178" ca="1">IF(OR(C3177=0,AND(B3179=0,C3179=0)),"",IFERROR(INDEX($F$27:$F$36,MATCH(C3178,($F$27:$F$36)*($D$27:$D$36&lt;&gt;0),0)),IF(OR(AND(D3178=0,B3178=0,B3179&lt;&gt;0),AND(D3178*D3177&lt;0,B3178&lt;&gt;0)),IF(D3178=0,C3178,C3178*(1-ABS(D3178)/(ABS(D3178)+ABS(D3177)))+C3177*(1-ABS(D3177)/(ABS(D3178)+ABS(D3177)))),"")))</f>
        <v>#NAME?</v>
      </c>
    </row>
    <row r="3179" spans="2:5" x14ac:dyDescent="0.25">
      <c r="B3179" t="e">
        <f t="shared" ca="1" si="99"/>
        <v>#NAME?</v>
      </c>
      <c r="C3179">
        <v>3136</v>
      </c>
      <c r="D3179" t="e">
        <f t="shared" ref="D3179:D3242" ca="1" si="100">SUMPRODUCT(--($J$27:$J$37&gt;0),--($C3179-$F$27:$F$37&gt;0),($D$27:$D$37),($C3179-$F$27:$F$37))+SUMPRODUCT(--($J$27:$J$37&lt;0),--($F$27:$F$37-$C3179&gt;0),($D$27:$D$37),($F$27:$F$37-$C3179))-SUMPRODUCT($D$27:$D$37,$E$27:$E$37)</f>
        <v>#NAME?</v>
      </c>
      <c r="E3179" s="115" t="e">
        <f t="array" aca="1" ref="E3179" ca="1">IF(OR(C3178=0,AND(B3180=0,C3180=0)),"",IFERROR(INDEX($F$27:$F$36,MATCH(C3179,($F$27:$F$36)*($D$27:$D$36&lt;&gt;0),0)),IF(OR(AND(D3179=0,B3179=0,B3180&lt;&gt;0),AND(D3179*D3178&lt;0,B3179&lt;&gt;0)),IF(D3179=0,C3179,C3179*(1-ABS(D3179)/(ABS(D3179)+ABS(D3178)))+C3178*(1-ABS(D3178)/(ABS(D3179)+ABS(D3178)))),"")))</f>
        <v>#NAME?</v>
      </c>
    </row>
    <row r="3180" spans="2:5" x14ac:dyDescent="0.25">
      <c r="B3180" t="e">
        <f t="shared" ref="B3180:B3243" ca="1" si="101">ROUND((D3180-D3179)/(C3180-C3179),12)</f>
        <v>#NAME?</v>
      </c>
      <c r="C3180">
        <v>3137</v>
      </c>
      <c r="D3180" t="e">
        <f t="shared" ca="1" si="100"/>
        <v>#NAME?</v>
      </c>
      <c r="E3180" s="115" t="e">
        <f t="array" aca="1" ref="E3180" ca="1">IF(OR(C3179=0,AND(B3181=0,C3181=0)),"",IFERROR(INDEX($F$27:$F$36,MATCH(C3180,($F$27:$F$36)*($D$27:$D$36&lt;&gt;0),0)),IF(OR(AND(D3180=0,B3180=0,B3181&lt;&gt;0),AND(D3180*D3179&lt;0,B3180&lt;&gt;0)),IF(D3180=0,C3180,C3180*(1-ABS(D3180)/(ABS(D3180)+ABS(D3179)))+C3179*(1-ABS(D3179)/(ABS(D3180)+ABS(D3179)))),"")))</f>
        <v>#NAME?</v>
      </c>
    </row>
    <row r="3181" spans="2:5" x14ac:dyDescent="0.25">
      <c r="B3181" t="e">
        <f t="shared" ca="1" si="101"/>
        <v>#NAME?</v>
      </c>
      <c r="C3181">
        <v>3138</v>
      </c>
      <c r="D3181" t="e">
        <f t="shared" ca="1" si="100"/>
        <v>#NAME?</v>
      </c>
      <c r="E3181" s="115" t="e">
        <f t="array" aca="1" ref="E3181" ca="1">IF(OR(C3180=0,AND(B3182=0,C3182=0)),"",IFERROR(INDEX($F$27:$F$36,MATCH(C3181,($F$27:$F$36)*($D$27:$D$36&lt;&gt;0),0)),IF(OR(AND(D3181=0,B3181=0,B3182&lt;&gt;0),AND(D3181*D3180&lt;0,B3181&lt;&gt;0)),IF(D3181=0,C3181,C3181*(1-ABS(D3181)/(ABS(D3181)+ABS(D3180)))+C3180*(1-ABS(D3180)/(ABS(D3181)+ABS(D3180)))),"")))</f>
        <v>#NAME?</v>
      </c>
    </row>
    <row r="3182" spans="2:5" x14ac:dyDescent="0.25">
      <c r="B3182" t="e">
        <f t="shared" ca="1" si="101"/>
        <v>#NAME?</v>
      </c>
      <c r="C3182">
        <v>3139</v>
      </c>
      <c r="D3182" t="e">
        <f t="shared" ca="1" si="100"/>
        <v>#NAME?</v>
      </c>
      <c r="E3182" s="115" t="e">
        <f t="array" aca="1" ref="E3182" ca="1">IF(OR(C3181=0,AND(B3183=0,C3183=0)),"",IFERROR(INDEX($F$27:$F$36,MATCH(C3182,($F$27:$F$36)*($D$27:$D$36&lt;&gt;0),0)),IF(OR(AND(D3182=0,B3182=0,B3183&lt;&gt;0),AND(D3182*D3181&lt;0,B3182&lt;&gt;0)),IF(D3182=0,C3182,C3182*(1-ABS(D3182)/(ABS(D3182)+ABS(D3181)))+C3181*(1-ABS(D3181)/(ABS(D3182)+ABS(D3181)))),"")))</f>
        <v>#NAME?</v>
      </c>
    </row>
    <row r="3183" spans="2:5" x14ac:dyDescent="0.25">
      <c r="B3183" t="e">
        <f t="shared" ca="1" si="101"/>
        <v>#NAME?</v>
      </c>
      <c r="C3183">
        <v>3140</v>
      </c>
      <c r="D3183" t="e">
        <f t="shared" ca="1" si="100"/>
        <v>#NAME?</v>
      </c>
      <c r="E3183" s="115" t="e">
        <f t="array" aca="1" ref="E3183" ca="1">IF(OR(C3182=0,AND(B3184=0,C3184=0)),"",IFERROR(INDEX($F$27:$F$36,MATCH(C3183,($F$27:$F$36)*($D$27:$D$36&lt;&gt;0),0)),IF(OR(AND(D3183=0,B3183=0,B3184&lt;&gt;0),AND(D3183*D3182&lt;0,B3183&lt;&gt;0)),IF(D3183=0,C3183,C3183*(1-ABS(D3183)/(ABS(D3183)+ABS(D3182)))+C3182*(1-ABS(D3182)/(ABS(D3183)+ABS(D3182)))),"")))</f>
        <v>#NAME?</v>
      </c>
    </row>
    <row r="3184" spans="2:5" x14ac:dyDescent="0.25">
      <c r="B3184" t="e">
        <f t="shared" ca="1" si="101"/>
        <v>#NAME?</v>
      </c>
      <c r="C3184">
        <v>3141</v>
      </c>
      <c r="D3184" t="e">
        <f t="shared" ca="1" si="100"/>
        <v>#NAME?</v>
      </c>
      <c r="E3184" s="115" t="e">
        <f t="array" aca="1" ref="E3184" ca="1">IF(OR(C3183=0,AND(B3185=0,C3185=0)),"",IFERROR(INDEX($F$27:$F$36,MATCH(C3184,($F$27:$F$36)*($D$27:$D$36&lt;&gt;0),0)),IF(OR(AND(D3184=0,B3184=0,B3185&lt;&gt;0),AND(D3184*D3183&lt;0,B3184&lt;&gt;0)),IF(D3184=0,C3184,C3184*(1-ABS(D3184)/(ABS(D3184)+ABS(D3183)))+C3183*(1-ABS(D3183)/(ABS(D3184)+ABS(D3183)))),"")))</f>
        <v>#NAME?</v>
      </c>
    </row>
    <row r="3185" spans="2:5" x14ac:dyDescent="0.25">
      <c r="B3185" t="e">
        <f t="shared" ca="1" si="101"/>
        <v>#NAME?</v>
      </c>
      <c r="C3185">
        <v>3142</v>
      </c>
      <c r="D3185" t="e">
        <f t="shared" ca="1" si="100"/>
        <v>#NAME?</v>
      </c>
      <c r="E3185" s="115" t="e">
        <f t="array" aca="1" ref="E3185" ca="1">IF(OR(C3184=0,AND(B3186=0,C3186=0)),"",IFERROR(INDEX($F$27:$F$36,MATCH(C3185,($F$27:$F$36)*($D$27:$D$36&lt;&gt;0),0)),IF(OR(AND(D3185=0,B3185=0,B3186&lt;&gt;0),AND(D3185*D3184&lt;0,B3185&lt;&gt;0)),IF(D3185=0,C3185,C3185*(1-ABS(D3185)/(ABS(D3185)+ABS(D3184)))+C3184*(1-ABS(D3184)/(ABS(D3185)+ABS(D3184)))),"")))</f>
        <v>#NAME?</v>
      </c>
    </row>
    <row r="3186" spans="2:5" x14ac:dyDescent="0.25">
      <c r="B3186" t="e">
        <f t="shared" ca="1" si="101"/>
        <v>#NAME?</v>
      </c>
      <c r="C3186">
        <v>3143</v>
      </c>
      <c r="D3186" t="e">
        <f t="shared" ca="1" si="100"/>
        <v>#NAME?</v>
      </c>
      <c r="E3186" s="115" t="e">
        <f t="array" aca="1" ref="E3186" ca="1">IF(OR(C3185=0,AND(B3187=0,C3187=0)),"",IFERROR(INDEX($F$27:$F$36,MATCH(C3186,($F$27:$F$36)*($D$27:$D$36&lt;&gt;0),0)),IF(OR(AND(D3186=0,B3186=0,B3187&lt;&gt;0),AND(D3186*D3185&lt;0,B3186&lt;&gt;0)),IF(D3186=0,C3186,C3186*(1-ABS(D3186)/(ABS(D3186)+ABS(D3185)))+C3185*(1-ABS(D3185)/(ABS(D3186)+ABS(D3185)))),"")))</f>
        <v>#NAME?</v>
      </c>
    </row>
    <row r="3187" spans="2:5" x14ac:dyDescent="0.25">
      <c r="B3187" t="e">
        <f t="shared" ca="1" si="101"/>
        <v>#NAME?</v>
      </c>
      <c r="C3187">
        <v>3144</v>
      </c>
      <c r="D3187" t="e">
        <f t="shared" ca="1" si="100"/>
        <v>#NAME?</v>
      </c>
      <c r="E3187" s="115" t="e">
        <f t="array" aca="1" ref="E3187" ca="1">IF(OR(C3186=0,AND(B3188=0,C3188=0)),"",IFERROR(INDEX($F$27:$F$36,MATCH(C3187,($F$27:$F$36)*($D$27:$D$36&lt;&gt;0),0)),IF(OR(AND(D3187=0,B3187=0,B3188&lt;&gt;0),AND(D3187*D3186&lt;0,B3187&lt;&gt;0)),IF(D3187=0,C3187,C3187*(1-ABS(D3187)/(ABS(D3187)+ABS(D3186)))+C3186*(1-ABS(D3186)/(ABS(D3187)+ABS(D3186)))),"")))</f>
        <v>#NAME?</v>
      </c>
    </row>
    <row r="3188" spans="2:5" x14ac:dyDescent="0.25">
      <c r="B3188" t="e">
        <f t="shared" ca="1" si="101"/>
        <v>#NAME?</v>
      </c>
      <c r="C3188">
        <v>3145</v>
      </c>
      <c r="D3188" t="e">
        <f t="shared" ca="1" si="100"/>
        <v>#NAME?</v>
      </c>
      <c r="E3188" s="115" t="e">
        <f t="array" aca="1" ref="E3188" ca="1">IF(OR(C3187=0,AND(B3189=0,C3189=0)),"",IFERROR(INDEX($F$27:$F$36,MATCH(C3188,($F$27:$F$36)*($D$27:$D$36&lt;&gt;0),0)),IF(OR(AND(D3188=0,B3188=0,B3189&lt;&gt;0),AND(D3188*D3187&lt;0,B3188&lt;&gt;0)),IF(D3188=0,C3188,C3188*(1-ABS(D3188)/(ABS(D3188)+ABS(D3187)))+C3187*(1-ABS(D3187)/(ABS(D3188)+ABS(D3187)))),"")))</f>
        <v>#NAME?</v>
      </c>
    </row>
    <row r="3189" spans="2:5" x14ac:dyDescent="0.25">
      <c r="B3189" t="e">
        <f t="shared" ca="1" si="101"/>
        <v>#NAME?</v>
      </c>
      <c r="C3189">
        <v>3146</v>
      </c>
      <c r="D3189" t="e">
        <f t="shared" ca="1" si="100"/>
        <v>#NAME?</v>
      </c>
      <c r="E3189" s="115" t="e">
        <f t="array" aca="1" ref="E3189" ca="1">IF(OR(C3188=0,AND(B3190=0,C3190=0)),"",IFERROR(INDEX($F$27:$F$36,MATCH(C3189,($F$27:$F$36)*($D$27:$D$36&lt;&gt;0),0)),IF(OR(AND(D3189=0,B3189=0,B3190&lt;&gt;0),AND(D3189*D3188&lt;0,B3189&lt;&gt;0)),IF(D3189=0,C3189,C3189*(1-ABS(D3189)/(ABS(D3189)+ABS(D3188)))+C3188*(1-ABS(D3188)/(ABS(D3189)+ABS(D3188)))),"")))</f>
        <v>#NAME?</v>
      </c>
    </row>
    <row r="3190" spans="2:5" x14ac:dyDescent="0.25">
      <c r="B3190" t="e">
        <f t="shared" ca="1" si="101"/>
        <v>#NAME?</v>
      </c>
      <c r="C3190">
        <v>3147</v>
      </c>
      <c r="D3190" t="e">
        <f t="shared" ca="1" si="100"/>
        <v>#NAME?</v>
      </c>
      <c r="E3190" s="115" t="e">
        <f t="array" aca="1" ref="E3190" ca="1">IF(OR(C3189=0,AND(B3191=0,C3191=0)),"",IFERROR(INDEX($F$27:$F$36,MATCH(C3190,($F$27:$F$36)*($D$27:$D$36&lt;&gt;0),0)),IF(OR(AND(D3190=0,B3190=0,B3191&lt;&gt;0),AND(D3190*D3189&lt;0,B3190&lt;&gt;0)),IF(D3190=0,C3190,C3190*(1-ABS(D3190)/(ABS(D3190)+ABS(D3189)))+C3189*(1-ABS(D3189)/(ABS(D3190)+ABS(D3189)))),"")))</f>
        <v>#NAME?</v>
      </c>
    </row>
    <row r="3191" spans="2:5" x14ac:dyDescent="0.25">
      <c r="B3191" t="e">
        <f t="shared" ca="1" si="101"/>
        <v>#NAME?</v>
      </c>
      <c r="C3191">
        <v>3148</v>
      </c>
      <c r="D3191" t="e">
        <f t="shared" ca="1" si="100"/>
        <v>#NAME?</v>
      </c>
      <c r="E3191" s="115" t="e">
        <f t="array" aca="1" ref="E3191" ca="1">IF(OR(C3190=0,AND(B3192=0,C3192=0)),"",IFERROR(INDEX($F$27:$F$36,MATCH(C3191,($F$27:$F$36)*($D$27:$D$36&lt;&gt;0),0)),IF(OR(AND(D3191=0,B3191=0,B3192&lt;&gt;0),AND(D3191*D3190&lt;0,B3191&lt;&gt;0)),IF(D3191=0,C3191,C3191*(1-ABS(D3191)/(ABS(D3191)+ABS(D3190)))+C3190*(1-ABS(D3190)/(ABS(D3191)+ABS(D3190)))),"")))</f>
        <v>#NAME?</v>
      </c>
    </row>
    <row r="3192" spans="2:5" x14ac:dyDescent="0.25">
      <c r="B3192" t="e">
        <f t="shared" ca="1" si="101"/>
        <v>#NAME?</v>
      </c>
      <c r="C3192">
        <v>3149</v>
      </c>
      <c r="D3192" t="e">
        <f t="shared" ca="1" si="100"/>
        <v>#NAME?</v>
      </c>
      <c r="E3192" s="115" t="e">
        <f t="array" aca="1" ref="E3192" ca="1">IF(OR(C3191=0,AND(B3193=0,C3193=0)),"",IFERROR(INDEX($F$27:$F$36,MATCH(C3192,($F$27:$F$36)*($D$27:$D$36&lt;&gt;0),0)),IF(OR(AND(D3192=0,B3192=0,B3193&lt;&gt;0),AND(D3192*D3191&lt;0,B3192&lt;&gt;0)),IF(D3192=0,C3192,C3192*(1-ABS(D3192)/(ABS(D3192)+ABS(D3191)))+C3191*(1-ABS(D3191)/(ABS(D3192)+ABS(D3191)))),"")))</f>
        <v>#NAME?</v>
      </c>
    </row>
    <row r="3193" spans="2:5" x14ac:dyDescent="0.25">
      <c r="B3193" t="e">
        <f t="shared" ca="1" si="101"/>
        <v>#NAME?</v>
      </c>
      <c r="C3193">
        <v>3150</v>
      </c>
      <c r="D3193" t="e">
        <f t="shared" ca="1" si="100"/>
        <v>#NAME?</v>
      </c>
      <c r="E3193" s="115" t="e">
        <f t="array" aca="1" ref="E3193" ca="1">IF(OR(C3192=0,AND(B3194=0,C3194=0)),"",IFERROR(INDEX($F$27:$F$36,MATCH(C3193,($F$27:$F$36)*($D$27:$D$36&lt;&gt;0),0)),IF(OR(AND(D3193=0,B3193=0,B3194&lt;&gt;0),AND(D3193*D3192&lt;0,B3193&lt;&gt;0)),IF(D3193=0,C3193,C3193*(1-ABS(D3193)/(ABS(D3193)+ABS(D3192)))+C3192*(1-ABS(D3192)/(ABS(D3193)+ABS(D3192)))),"")))</f>
        <v>#NAME?</v>
      </c>
    </row>
    <row r="3194" spans="2:5" x14ac:dyDescent="0.25">
      <c r="B3194" t="e">
        <f t="shared" ca="1" si="101"/>
        <v>#NAME?</v>
      </c>
      <c r="C3194">
        <v>3151</v>
      </c>
      <c r="D3194" t="e">
        <f t="shared" ca="1" si="100"/>
        <v>#NAME?</v>
      </c>
      <c r="E3194" s="115" t="e">
        <f t="array" aca="1" ref="E3194" ca="1">IF(OR(C3193=0,AND(B3195=0,C3195=0)),"",IFERROR(INDEX($F$27:$F$36,MATCH(C3194,($F$27:$F$36)*($D$27:$D$36&lt;&gt;0),0)),IF(OR(AND(D3194=0,B3194=0,B3195&lt;&gt;0),AND(D3194*D3193&lt;0,B3194&lt;&gt;0)),IF(D3194=0,C3194,C3194*(1-ABS(D3194)/(ABS(D3194)+ABS(D3193)))+C3193*(1-ABS(D3193)/(ABS(D3194)+ABS(D3193)))),"")))</f>
        <v>#NAME?</v>
      </c>
    </row>
    <row r="3195" spans="2:5" x14ac:dyDescent="0.25">
      <c r="B3195" t="e">
        <f t="shared" ca="1" si="101"/>
        <v>#NAME?</v>
      </c>
      <c r="C3195">
        <v>3152</v>
      </c>
      <c r="D3195" t="e">
        <f t="shared" ca="1" si="100"/>
        <v>#NAME?</v>
      </c>
      <c r="E3195" s="115" t="e">
        <f t="array" aca="1" ref="E3195" ca="1">IF(OR(C3194=0,AND(B3196=0,C3196=0)),"",IFERROR(INDEX($F$27:$F$36,MATCH(C3195,($F$27:$F$36)*($D$27:$D$36&lt;&gt;0),0)),IF(OR(AND(D3195=0,B3195=0,B3196&lt;&gt;0),AND(D3195*D3194&lt;0,B3195&lt;&gt;0)),IF(D3195=0,C3195,C3195*(1-ABS(D3195)/(ABS(D3195)+ABS(D3194)))+C3194*(1-ABS(D3194)/(ABS(D3195)+ABS(D3194)))),"")))</f>
        <v>#NAME?</v>
      </c>
    </row>
    <row r="3196" spans="2:5" x14ac:dyDescent="0.25">
      <c r="B3196" t="e">
        <f t="shared" ca="1" si="101"/>
        <v>#NAME?</v>
      </c>
      <c r="C3196">
        <v>3153</v>
      </c>
      <c r="D3196" t="e">
        <f t="shared" ca="1" si="100"/>
        <v>#NAME?</v>
      </c>
      <c r="E3196" s="115" t="e">
        <f t="array" aca="1" ref="E3196" ca="1">IF(OR(C3195=0,AND(B3197=0,C3197=0)),"",IFERROR(INDEX($F$27:$F$36,MATCH(C3196,($F$27:$F$36)*($D$27:$D$36&lt;&gt;0),0)),IF(OR(AND(D3196=0,B3196=0,B3197&lt;&gt;0),AND(D3196*D3195&lt;0,B3196&lt;&gt;0)),IF(D3196=0,C3196,C3196*(1-ABS(D3196)/(ABS(D3196)+ABS(D3195)))+C3195*(1-ABS(D3195)/(ABS(D3196)+ABS(D3195)))),"")))</f>
        <v>#NAME?</v>
      </c>
    </row>
    <row r="3197" spans="2:5" x14ac:dyDescent="0.25">
      <c r="B3197" t="e">
        <f t="shared" ca="1" si="101"/>
        <v>#NAME?</v>
      </c>
      <c r="C3197">
        <v>3154</v>
      </c>
      <c r="D3197" t="e">
        <f t="shared" ca="1" si="100"/>
        <v>#NAME?</v>
      </c>
      <c r="E3197" s="115" t="e">
        <f t="array" aca="1" ref="E3197" ca="1">IF(OR(C3196=0,AND(B3198=0,C3198=0)),"",IFERROR(INDEX($F$27:$F$36,MATCH(C3197,($F$27:$F$36)*($D$27:$D$36&lt;&gt;0),0)),IF(OR(AND(D3197=0,B3197=0,B3198&lt;&gt;0),AND(D3197*D3196&lt;0,B3197&lt;&gt;0)),IF(D3197=0,C3197,C3197*(1-ABS(D3197)/(ABS(D3197)+ABS(D3196)))+C3196*(1-ABS(D3196)/(ABS(D3197)+ABS(D3196)))),"")))</f>
        <v>#NAME?</v>
      </c>
    </row>
    <row r="3198" spans="2:5" x14ac:dyDescent="0.25">
      <c r="B3198" t="e">
        <f t="shared" ca="1" si="101"/>
        <v>#NAME?</v>
      </c>
      <c r="C3198">
        <v>3155</v>
      </c>
      <c r="D3198" t="e">
        <f t="shared" ca="1" si="100"/>
        <v>#NAME?</v>
      </c>
      <c r="E3198" s="115" t="e">
        <f t="array" aca="1" ref="E3198" ca="1">IF(OR(C3197=0,AND(B3199=0,C3199=0)),"",IFERROR(INDEX($F$27:$F$36,MATCH(C3198,($F$27:$F$36)*($D$27:$D$36&lt;&gt;0),0)),IF(OR(AND(D3198=0,B3198=0,B3199&lt;&gt;0),AND(D3198*D3197&lt;0,B3198&lt;&gt;0)),IF(D3198=0,C3198,C3198*(1-ABS(D3198)/(ABS(D3198)+ABS(D3197)))+C3197*(1-ABS(D3197)/(ABS(D3198)+ABS(D3197)))),"")))</f>
        <v>#NAME?</v>
      </c>
    </row>
    <row r="3199" spans="2:5" x14ac:dyDescent="0.25">
      <c r="B3199" t="e">
        <f t="shared" ca="1" si="101"/>
        <v>#NAME?</v>
      </c>
      <c r="C3199">
        <v>3156</v>
      </c>
      <c r="D3199" t="e">
        <f t="shared" ca="1" si="100"/>
        <v>#NAME?</v>
      </c>
      <c r="E3199" s="115" t="e">
        <f t="array" aca="1" ref="E3199" ca="1">IF(OR(C3198=0,AND(B3200=0,C3200=0)),"",IFERROR(INDEX($F$27:$F$36,MATCH(C3199,($F$27:$F$36)*($D$27:$D$36&lt;&gt;0),0)),IF(OR(AND(D3199=0,B3199=0,B3200&lt;&gt;0),AND(D3199*D3198&lt;0,B3199&lt;&gt;0)),IF(D3199=0,C3199,C3199*(1-ABS(D3199)/(ABS(D3199)+ABS(D3198)))+C3198*(1-ABS(D3198)/(ABS(D3199)+ABS(D3198)))),"")))</f>
        <v>#NAME?</v>
      </c>
    </row>
    <row r="3200" spans="2:5" x14ac:dyDescent="0.25">
      <c r="B3200" t="e">
        <f t="shared" ca="1" si="101"/>
        <v>#NAME?</v>
      </c>
      <c r="C3200">
        <v>3157</v>
      </c>
      <c r="D3200" t="e">
        <f t="shared" ca="1" si="100"/>
        <v>#NAME?</v>
      </c>
      <c r="E3200" s="115" t="e">
        <f t="array" aca="1" ref="E3200" ca="1">IF(OR(C3199=0,AND(B3201=0,C3201=0)),"",IFERROR(INDEX($F$27:$F$36,MATCH(C3200,($F$27:$F$36)*($D$27:$D$36&lt;&gt;0),0)),IF(OR(AND(D3200=0,B3200=0,B3201&lt;&gt;0),AND(D3200*D3199&lt;0,B3200&lt;&gt;0)),IF(D3200=0,C3200,C3200*(1-ABS(D3200)/(ABS(D3200)+ABS(D3199)))+C3199*(1-ABS(D3199)/(ABS(D3200)+ABS(D3199)))),"")))</f>
        <v>#NAME?</v>
      </c>
    </row>
    <row r="3201" spans="2:5" x14ac:dyDescent="0.25">
      <c r="B3201" t="e">
        <f t="shared" ca="1" si="101"/>
        <v>#NAME?</v>
      </c>
      <c r="C3201">
        <v>3158</v>
      </c>
      <c r="D3201" t="e">
        <f t="shared" ca="1" si="100"/>
        <v>#NAME?</v>
      </c>
      <c r="E3201" s="115" t="e">
        <f t="array" aca="1" ref="E3201" ca="1">IF(OR(C3200=0,AND(B3202=0,C3202=0)),"",IFERROR(INDEX($F$27:$F$36,MATCH(C3201,($F$27:$F$36)*($D$27:$D$36&lt;&gt;0),0)),IF(OR(AND(D3201=0,B3201=0,B3202&lt;&gt;0),AND(D3201*D3200&lt;0,B3201&lt;&gt;0)),IF(D3201=0,C3201,C3201*(1-ABS(D3201)/(ABS(D3201)+ABS(D3200)))+C3200*(1-ABS(D3200)/(ABS(D3201)+ABS(D3200)))),"")))</f>
        <v>#NAME?</v>
      </c>
    </row>
    <row r="3202" spans="2:5" x14ac:dyDescent="0.25">
      <c r="B3202" t="e">
        <f t="shared" ca="1" si="101"/>
        <v>#NAME?</v>
      </c>
      <c r="C3202">
        <v>3159</v>
      </c>
      <c r="D3202" t="e">
        <f t="shared" ca="1" si="100"/>
        <v>#NAME?</v>
      </c>
      <c r="E3202" s="115" t="e">
        <f t="array" aca="1" ref="E3202" ca="1">IF(OR(C3201=0,AND(B3203=0,C3203=0)),"",IFERROR(INDEX($F$27:$F$36,MATCH(C3202,($F$27:$F$36)*($D$27:$D$36&lt;&gt;0),0)),IF(OR(AND(D3202=0,B3202=0,B3203&lt;&gt;0),AND(D3202*D3201&lt;0,B3202&lt;&gt;0)),IF(D3202=0,C3202,C3202*(1-ABS(D3202)/(ABS(D3202)+ABS(D3201)))+C3201*(1-ABS(D3201)/(ABS(D3202)+ABS(D3201)))),"")))</f>
        <v>#NAME?</v>
      </c>
    </row>
    <row r="3203" spans="2:5" x14ac:dyDescent="0.25">
      <c r="B3203" t="e">
        <f t="shared" ca="1" si="101"/>
        <v>#NAME?</v>
      </c>
      <c r="C3203">
        <v>3160</v>
      </c>
      <c r="D3203" t="e">
        <f t="shared" ca="1" si="100"/>
        <v>#NAME?</v>
      </c>
      <c r="E3203" s="115" t="e">
        <f t="array" aca="1" ref="E3203" ca="1">IF(OR(C3202=0,AND(B3204=0,C3204=0)),"",IFERROR(INDEX($F$27:$F$36,MATCH(C3203,($F$27:$F$36)*($D$27:$D$36&lt;&gt;0),0)),IF(OR(AND(D3203=0,B3203=0,B3204&lt;&gt;0),AND(D3203*D3202&lt;0,B3203&lt;&gt;0)),IF(D3203=0,C3203,C3203*(1-ABS(D3203)/(ABS(D3203)+ABS(D3202)))+C3202*(1-ABS(D3202)/(ABS(D3203)+ABS(D3202)))),"")))</f>
        <v>#NAME?</v>
      </c>
    </row>
    <row r="3204" spans="2:5" x14ac:dyDescent="0.25">
      <c r="B3204" t="e">
        <f t="shared" ca="1" si="101"/>
        <v>#NAME?</v>
      </c>
      <c r="C3204">
        <v>3161</v>
      </c>
      <c r="D3204" t="e">
        <f t="shared" ca="1" si="100"/>
        <v>#NAME?</v>
      </c>
      <c r="E3204" s="115" t="e">
        <f t="array" aca="1" ref="E3204" ca="1">IF(OR(C3203=0,AND(B3205=0,C3205=0)),"",IFERROR(INDEX($F$27:$F$36,MATCH(C3204,($F$27:$F$36)*($D$27:$D$36&lt;&gt;0),0)),IF(OR(AND(D3204=0,B3204=0,B3205&lt;&gt;0),AND(D3204*D3203&lt;0,B3204&lt;&gt;0)),IF(D3204=0,C3204,C3204*(1-ABS(D3204)/(ABS(D3204)+ABS(D3203)))+C3203*(1-ABS(D3203)/(ABS(D3204)+ABS(D3203)))),"")))</f>
        <v>#NAME?</v>
      </c>
    </row>
    <row r="3205" spans="2:5" x14ac:dyDescent="0.25">
      <c r="B3205" t="e">
        <f t="shared" ca="1" si="101"/>
        <v>#NAME?</v>
      </c>
      <c r="C3205">
        <v>3162</v>
      </c>
      <c r="D3205" t="e">
        <f t="shared" ca="1" si="100"/>
        <v>#NAME?</v>
      </c>
      <c r="E3205" s="115" t="e">
        <f t="array" aca="1" ref="E3205" ca="1">IF(OR(C3204=0,AND(B3206=0,C3206=0)),"",IFERROR(INDEX($F$27:$F$36,MATCH(C3205,($F$27:$F$36)*($D$27:$D$36&lt;&gt;0),0)),IF(OR(AND(D3205=0,B3205=0,B3206&lt;&gt;0),AND(D3205*D3204&lt;0,B3205&lt;&gt;0)),IF(D3205=0,C3205,C3205*(1-ABS(D3205)/(ABS(D3205)+ABS(D3204)))+C3204*(1-ABS(D3204)/(ABS(D3205)+ABS(D3204)))),"")))</f>
        <v>#NAME?</v>
      </c>
    </row>
    <row r="3206" spans="2:5" x14ac:dyDescent="0.25">
      <c r="B3206" t="e">
        <f t="shared" ca="1" si="101"/>
        <v>#NAME?</v>
      </c>
      <c r="C3206">
        <v>3163</v>
      </c>
      <c r="D3206" t="e">
        <f t="shared" ca="1" si="100"/>
        <v>#NAME?</v>
      </c>
      <c r="E3206" s="115" t="e">
        <f t="array" aca="1" ref="E3206" ca="1">IF(OR(C3205=0,AND(B3207=0,C3207=0)),"",IFERROR(INDEX($F$27:$F$36,MATCH(C3206,($F$27:$F$36)*($D$27:$D$36&lt;&gt;0),0)),IF(OR(AND(D3206=0,B3206=0,B3207&lt;&gt;0),AND(D3206*D3205&lt;0,B3206&lt;&gt;0)),IF(D3206=0,C3206,C3206*(1-ABS(D3206)/(ABS(D3206)+ABS(D3205)))+C3205*(1-ABS(D3205)/(ABS(D3206)+ABS(D3205)))),"")))</f>
        <v>#NAME?</v>
      </c>
    </row>
    <row r="3207" spans="2:5" x14ac:dyDescent="0.25">
      <c r="B3207" t="e">
        <f t="shared" ca="1" si="101"/>
        <v>#NAME?</v>
      </c>
      <c r="C3207">
        <v>3164</v>
      </c>
      <c r="D3207" t="e">
        <f t="shared" ca="1" si="100"/>
        <v>#NAME?</v>
      </c>
      <c r="E3207" s="115" t="e">
        <f t="array" aca="1" ref="E3207" ca="1">IF(OR(C3206=0,AND(B3208=0,C3208=0)),"",IFERROR(INDEX($F$27:$F$36,MATCH(C3207,($F$27:$F$36)*($D$27:$D$36&lt;&gt;0),0)),IF(OR(AND(D3207=0,B3207=0,B3208&lt;&gt;0),AND(D3207*D3206&lt;0,B3207&lt;&gt;0)),IF(D3207=0,C3207,C3207*(1-ABS(D3207)/(ABS(D3207)+ABS(D3206)))+C3206*(1-ABS(D3206)/(ABS(D3207)+ABS(D3206)))),"")))</f>
        <v>#NAME?</v>
      </c>
    </row>
    <row r="3208" spans="2:5" x14ac:dyDescent="0.25">
      <c r="B3208" t="e">
        <f t="shared" ca="1" si="101"/>
        <v>#NAME?</v>
      </c>
      <c r="C3208">
        <v>3165</v>
      </c>
      <c r="D3208" t="e">
        <f t="shared" ca="1" si="100"/>
        <v>#NAME?</v>
      </c>
      <c r="E3208" s="115" t="e">
        <f t="array" aca="1" ref="E3208" ca="1">IF(OR(C3207=0,AND(B3209=0,C3209=0)),"",IFERROR(INDEX($F$27:$F$36,MATCH(C3208,($F$27:$F$36)*($D$27:$D$36&lt;&gt;0),0)),IF(OR(AND(D3208=0,B3208=0,B3209&lt;&gt;0),AND(D3208*D3207&lt;0,B3208&lt;&gt;0)),IF(D3208=0,C3208,C3208*(1-ABS(D3208)/(ABS(D3208)+ABS(D3207)))+C3207*(1-ABS(D3207)/(ABS(D3208)+ABS(D3207)))),"")))</f>
        <v>#NAME?</v>
      </c>
    </row>
    <row r="3209" spans="2:5" x14ac:dyDescent="0.25">
      <c r="B3209" t="e">
        <f t="shared" ca="1" si="101"/>
        <v>#NAME?</v>
      </c>
      <c r="C3209">
        <v>3166</v>
      </c>
      <c r="D3209" t="e">
        <f t="shared" ca="1" si="100"/>
        <v>#NAME?</v>
      </c>
      <c r="E3209" s="115" t="e">
        <f t="array" aca="1" ref="E3209" ca="1">IF(OR(C3208=0,AND(B3210=0,C3210=0)),"",IFERROR(INDEX($F$27:$F$36,MATCH(C3209,($F$27:$F$36)*($D$27:$D$36&lt;&gt;0),0)),IF(OR(AND(D3209=0,B3209=0,B3210&lt;&gt;0),AND(D3209*D3208&lt;0,B3209&lt;&gt;0)),IF(D3209=0,C3209,C3209*(1-ABS(D3209)/(ABS(D3209)+ABS(D3208)))+C3208*(1-ABS(D3208)/(ABS(D3209)+ABS(D3208)))),"")))</f>
        <v>#NAME?</v>
      </c>
    </row>
    <row r="3210" spans="2:5" x14ac:dyDescent="0.25">
      <c r="B3210" t="e">
        <f t="shared" ca="1" si="101"/>
        <v>#NAME?</v>
      </c>
      <c r="C3210">
        <v>3167</v>
      </c>
      <c r="D3210" t="e">
        <f t="shared" ca="1" si="100"/>
        <v>#NAME?</v>
      </c>
      <c r="E3210" s="115" t="e">
        <f t="array" aca="1" ref="E3210" ca="1">IF(OR(C3209=0,AND(B3211=0,C3211=0)),"",IFERROR(INDEX($F$27:$F$36,MATCH(C3210,($F$27:$F$36)*($D$27:$D$36&lt;&gt;0),0)),IF(OR(AND(D3210=0,B3210=0,B3211&lt;&gt;0),AND(D3210*D3209&lt;0,B3210&lt;&gt;0)),IF(D3210=0,C3210,C3210*(1-ABS(D3210)/(ABS(D3210)+ABS(D3209)))+C3209*(1-ABS(D3209)/(ABS(D3210)+ABS(D3209)))),"")))</f>
        <v>#NAME?</v>
      </c>
    </row>
    <row r="3211" spans="2:5" x14ac:dyDescent="0.25">
      <c r="B3211" t="e">
        <f t="shared" ca="1" si="101"/>
        <v>#NAME?</v>
      </c>
      <c r="C3211">
        <v>3168</v>
      </c>
      <c r="D3211" t="e">
        <f t="shared" ca="1" si="100"/>
        <v>#NAME?</v>
      </c>
      <c r="E3211" s="115" t="e">
        <f t="array" aca="1" ref="E3211" ca="1">IF(OR(C3210=0,AND(B3212=0,C3212=0)),"",IFERROR(INDEX($F$27:$F$36,MATCH(C3211,($F$27:$F$36)*($D$27:$D$36&lt;&gt;0),0)),IF(OR(AND(D3211=0,B3211=0,B3212&lt;&gt;0),AND(D3211*D3210&lt;0,B3211&lt;&gt;0)),IF(D3211=0,C3211,C3211*(1-ABS(D3211)/(ABS(D3211)+ABS(D3210)))+C3210*(1-ABS(D3210)/(ABS(D3211)+ABS(D3210)))),"")))</f>
        <v>#NAME?</v>
      </c>
    </row>
    <row r="3212" spans="2:5" x14ac:dyDescent="0.25">
      <c r="B3212" t="e">
        <f t="shared" ca="1" si="101"/>
        <v>#NAME?</v>
      </c>
      <c r="C3212">
        <v>3169</v>
      </c>
      <c r="D3212" t="e">
        <f t="shared" ca="1" si="100"/>
        <v>#NAME?</v>
      </c>
      <c r="E3212" s="115" t="e">
        <f t="array" aca="1" ref="E3212" ca="1">IF(OR(C3211=0,AND(B3213=0,C3213=0)),"",IFERROR(INDEX($F$27:$F$36,MATCH(C3212,($F$27:$F$36)*($D$27:$D$36&lt;&gt;0),0)),IF(OR(AND(D3212=0,B3212=0,B3213&lt;&gt;0),AND(D3212*D3211&lt;0,B3212&lt;&gt;0)),IF(D3212=0,C3212,C3212*(1-ABS(D3212)/(ABS(D3212)+ABS(D3211)))+C3211*(1-ABS(D3211)/(ABS(D3212)+ABS(D3211)))),"")))</f>
        <v>#NAME?</v>
      </c>
    </row>
    <row r="3213" spans="2:5" x14ac:dyDescent="0.25">
      <c r="B3213" t="e">
        <f t="shared" ca="1" si="101"/>
        <v>#NAME?</v>
      </c>
      <c r="C3213">
        <v>3170</v>
      </c>
      <c r="D3213" t="e">
        <f t="shared" ca="1" si="100"/>
        <v>#NAME?</v>
      </c>
      <c r="E3213" s="115" t="e">
        <f t="array" aca="1" ref="E3213" ca="1">IF(OR(C3212=0,AND(B3214=0,C3214=0)),"",IFERROR(INDEX($F$27:$F$36,MATCH(C3213,($F$27:$F$36)*($D$27:$D$36&lt;&gt;0),0)),IF(OR(AND(D3213=0,B3213=0,B3214&lt;&gt;0),AND(D3213*D3212&lt;0,B3213&lt;&gt;0)),IF(D3213=0,C3213,C3213*(1-ABS(D3213)/(ABS(D3213)+ABS(D3212)))+C3212*(1-ABS(D3212)/(ABS(D3213)+ABS(D3212)))),"")))</f>
        <v>#NAME?</v>
      </c>
    </row>
    <row r="3214" spans="2:5" x14ac:dyDescent="0.25">
      <c r="B3214" t="e">
        <f t="shared" ca="1" si="101"/>
        <v>#NAME?</v>
      </c>
      <c r="C3214">
        <v>3171</v>
      </c>
      <c r="D3214" t="e">
        <f t="shared" ca="1" si="100"/>
        <v>#NAME?</v>
      </c>
      <c r="E3214" s="115" t="e">
        <f t="array" aca="1" ref="E3214" ca="1">IF(OR(C3213=0,AND(B3215=0,C3215=0)),"",IFERROR(INDEX($F$27:$F$36,MATCH(C3214,($F$27:$F$36)*($D$27:$D$36&lt;&gt;0),0)),IF(OR(AND(D3214=0,B3214=0,B3215&lt;&gt;0),AND(D3214*D3213&lt;0,B3214&lt;&gt;0)),IF(D3214=0,C3214,C3214*(1-ABS(D3214)/(ABS(D3214)+ABS(D3213)))+C3213*(1-ABS(D3213)/(ABS(D3214)+ABS(D3213)))),"")))</f>
        <v>#NAME?</v>
      </c>
    </row>
    <row r="3215" spans="2:5" x14ac:dyDescent="0.25">
      <c r="B3215" t="e">
        <f t="shared" ca="1" si="101"/>
        <v>#NAME?</v>
      </c>
      <c r="C3215">
        <v>3172</v>
      </c>
      <c r="D3215" t="e">
        <f t="shared" ca="1" si="100"/>
        <v>#NAME?</v>
      </c>
      <c r="E3215" s="115" t="e">
        <f t="array" aca="1" ref="E3215" ca="1">IF(OR(C3214=0,AND(B3216=0,C3216=0)),"",IFERROR(INDEX($F$27:$F$36,MATCH(C3215,($F$27:$F$36)*($D$27:$D$36&lt;&gt;0),0)),IF(OR(AND(D3215=0,B3215=0,B3216&lt;&gt;0),AND(D3215*D3214&lt;0,B3215&lt;&gt;0)),IF(D3215=0,C3215,C3215*(1-ABS(D3215)/(ABS(D3215)+ABS(D3214)))+C3214*(1-ABS(D3214)/(ABS(D3215)+ABS(D3214)))),"")))</f>
        <v>#NAME?</v>
      </c>
    </row>
    <row r="3216" spans="2:5" x14ac:dyDescent="0.25">
      <c r="B3216" t="e">
        <f t="shared" ca="1" si="101"/>
        <v>#NAME?</v>
      </c>
      <c r="C3216">
        <v>3173</v>
      </c>
      <c r="D3216" t="e">
        <f t="shared" ca="1" si="100"/>
        <v>#NAME?</v>
      </c>
      <c r="E3216" s="115" t="e">
        <f t="array" aca="1" ref="E3216" ca="1">IF(OR(C3215=0,AND(B3217=0,C3217=0)),"",IFERROR(INDEX($F$27:$F$36,MATCH(C3216,($F$27:$F$36)*($D$27:$D$36&lt;&gt;0),0)),IF(OR(AND(D3216=0,B3216=0,B3217&lt;&gt;0),AND(D3216*D3215&lt;0,B3216&lt;&gt;0)),IF(D3216=0,C3216,C3216*(1-ABS(D3216)/(ABS(D3216)+ABS(D3215)))+C3215*(1-ABS(D3215)/(ABS(D3216)+ABS(D3215)))),"")))</f>
        <v>#NAME?</v>
      </c>
    </row>
    <row r="3217" spans="2:5" x14ac:dyDescent="0.25">
      <c r="B3217" t="e">
        <f t="shared" ca="1" si="101"/>
        <v>#NAME?</v>
      </c>
      <c r="C3217">
        <v>3174</v>
      </c>
      <c r="D3217" t="e">
        <f t="shared" ca="1" si="100"/>
        <v>#NAME?</v>
      </c>
      <c r="E3217" s="115" t="e">
        <f t="array" aca="1" ref="E3217" ca="1">IF(OR(C3216=0,AND(B3218=0,C3218=0)),"",IFERROR(INDEX($F$27:$F$36,MATCH(C3217,($F$27:$F$36)*($D$27:$D$36&lt;&gt;0),0)),IF(OR(AND(D3217=0,B3217=0,B3218&lt;&gt;0),AND(D3217*D3216&lt;0,B3217&lt;&gt;0)),IF(D3217=0,C3217,C3217*(1-ABS(D3217)/(ABS(D3217)+ABS(D3216)))+C3216*(1-ABS(D3216)/(ABS(D3217)+ABS(D3216)))),"")))</f>
        <v>#NAME?</v>
      </c>
    </row>
    <row r="3218" spans="2:5" x14ac:dyDescent="0.25">
      <c r="B3218" t="e">
        <f t="shared" ca="1" si="101"/>
        <v>#NAME?</v>
      </c>
      <c r="C3218">
        <v>3175</v>
      </c>
      <c r="D3218" t="e">
        <f t="shared" ca="1" si="100"/>
        <v>#NAME?</v>
      </c>
      <c r="E3218" s="115" t="e">
        <f t="array" aca="1" ref="E3218" ca="1">IF(OR(C3217=0,AND(B3219=0,C3219=0)),"",IFERROR(INDEX($F$27:$F$36,MATCH(C3218,($F$27:$F$36)*($D$27:$D$36&lt;&gt;0),0)),IF(OR(AND(D3218=0,B3218=0,B3219&lt;&gt;0),AND(D3218*D3217&lt;0,B3218&lt;&gt;0)),IF(D3218=0,C3218,C3218*(1-ABS(D3218)/(ABS(D3218)+ABS(D3217)))+C3217*(1-ABS(D3217)/(ABS(D3218)+ABS(D3217)))),"")))</f>
        <v>#NAME?</v>
      </c>
    </row>
    <row r="3219" spans="2:5" x14ac:dyDescent="0.25">
      <c r="B3219" t="e">
        <f t="shared" ca="1" si="101"/>
        <v>#NAME?</v>
      </c>
      <c r="C3219">
        <v>3176</v>
      </c>
      <c r="D3219" t="e">
        <f t="shared" ca="1" si="100"/>
        <v>#NAME?</v>
      </c>
      <c r="E3219" s="115" t="e">
        <f t="array" aca="1" ref="E3219" ca="1">IF(OR(C3218=0,AND(B3220=0,C3220=0)),"",IFERROR(INDEX($F$27:$F$36,MATCH(C3219,($F$27:$F$36)*($D$27:$D$36&lt;&gt;0),0)),IF(OR(AND(D3219=0,B3219=0,B3220&lt;&gt;0),AND(D3219*D3218&lt;0,B3219&lt;&gt;0)),IF(D3219=0,C3219,C3219*(1-ABS(D3219)/(ABS(D3219)+ABS(D3218)))+C3218*(1-ABS(D3218)/(ABS(D3219)+ABS(D3218)))),"")))</f>
        <v>#NAME?</v>
      </c>
    </row>
    <row r="3220" spans="2:5" x14ac:dyDescent="0.25">
      <c r="B3220" t="e">
        <f t="shared" ca="1" si="101"/>
        <v>#NAME?</v>
      </c>
      <c r="C3220">
        <v>3177</v>
      </c>
      <c r="D3220" t="e">
        <f t="shared" ca="1" si="100"/>
        <v>#NAME?</v>
      </c>
      <c r="E3220" s="115" t="e">
        <f t="array" aca="1" ref="E3220" ca="1">IF(OR(C3219=0,AND(B3221=0,C3221=0)),"",IFERROR(INDEX($F$27:$F$36,MATCH(C3220,($F$27:$F$36)*($D$27:$D$36&lt;&gt;0),0)),IF(OR(AND(D3220=0,B3220=0,B3221&lt;&gt;0),AND(D3220*D3219&lt;0,B3220&lt;&gt;0)),IF(D3220=0,C3220,C3220*(1-ABS(D3220)/(ABS(D3220)+ABS(D3219)))+C3219*(1-ABS(D3219)/(ABS(D3220)+ABS(D3219)))),"")))</f>
        <v>#NAME?</v>
      </c>
    </row>
    <row r="3221" spans="2:5" x14ac:dyDescent="0.25">
      <c r="B3221" t="e">
        <f t="shared" ca="1" si="101"/>
        <v>#NAME?</v>
      </c>
      <c r="C3221">
        <v>3178</v>
      </c>
      <c r="D3221" t="e">
        <f t="shared" ca="1" si="100"/>
        <v>#NAME?</v>
      </c>
      <c r="E3221" s="115" t="e">
        <f t="array" aca="1" ref="E3221" ca="1">IF(OR(C3220=0,AND(B3222=0,C3222=0)),"",IFERROR(INDEX($F$27:$F$36,MATCH(C3221,($F$27:$F$36)*($D$27:$D$36&lt;&gt;0),0)),IF(OR(AND(D3221=0,B3221=0,B3222&lt;&gt;0),AND(D3221*D3220&lt;0,B3221&lt;&gt;0)),IF(D3221=0,C3221,C3221*(1-ABS(D3221)/(ABS(D3221)+ABS(D3220)))+C3220*(1-ABS(D3220)/(ABS(D3221)+ABS(D3220)))),"")))</f>
        <v>#NAME?</v>
      </c>
    </row>
    <row r="3222" spans="2:5" x14ac:dyDescent="0.25">
      <c r="B3222" t="e">
        <f t="shared" ca="1" si="101"/>
        <v>#NAME?</v>
      </c>
      <c r="C3222">
        <v>3179</v>
      </c>
      <c r="D3222" t="e">
        <f t="shared" ca="1" si="100"/>
        <v>#NAME?</v>
      </c>
      <c r="E3222" s="115" t="e">
        <f t="array" aca="1" ref="E3222" ca="1">IF(OR(C3221=0,AND(B3223=0,C3223=0)),"",IFERROR(INDEX($F$27:$F$36,MATCH(C3222,($F$27:$F$36)*($D$27:$D$36&lt;&gt;0),0)),IF(OR(AND(D3222=0,B3222=0,B3223&lt;&gt;0),AND(D3222*D3221&lt;0,B3222&lt;&gt;0)),IF(D3222=0,C3222,C3222*(1-ABS(D3222)/(ABS(D3222)+ABS(D3221)))+C3221*(1-ABS(D3221)/(ABS(D3222)+ABS(D3221)))),"")))</f>
        <v>#NAME?</v>
      </c>
    </row>
    <row r="3223" spans="2:5" x14ac:dyDescent="0.25">
      <c r="B3223" t="e">
        <f t="shared" ca="1" si="101"/>
        <v>#NAME?</v>
      </c>
      <c r="C3223">
        <v>3180</v>
      </c>
      <c r="D3223" t="e">
        <f t="shared" ca="1" si="100"/>
        <v>#NAME?</v>
      </c>
      <c r="E3223" s="115" t="e">
        <f t="array" aca="1" ref="E3223" ca="1">IF(OR(C3222=0,AND(B3224=0,C3224=0)),"",IFERROR(INDEX($F$27:$F$36,MATCH(C3223,($F$27:$F$36)*($D$27:$D$36&lt;&gt;0),0)),IF(OR(AND(D3223=0,B3223=0,B3224&lt;&gt;0),AND(D3223*D3222&lt;0,B3223&lt;&gt;0)),IF(D3223=0,C3223,C3223*(1-ABS(D3223)/(ABS(D3223)+ABS(D3222)))+C3222*(1-ABS(D3222)/(ABS(D3223)+ABS(D3222)))),"")))</f>
        <v>#NAME?</v>
      </c>
    </row>
    <row r="3224" spans="2:5" x14ac:dyDescent="0.25">
      <c r="B3224" t="e">
        <f t="shared" ca="1" si="101"/>
        <v>#NAME?</v>
      </c>
      <c r="C3224">
        <v>3181</v>
      </c>
      <c r="D3224" t="e">
        <f t="shared" ca="1" si="100"/>
        <v>#NAME?</v>
      </c>
      <c r="E3224" s="115" t="e">
        <f t="array" aca="1" ref="E3224" ca="1">IF(OR(C3223=0,AND(B3225=0,C3225=0)),"",IFERROR(INDEX($F$27:$F$36,MATCH(C3224,($F$27:$F$36)*($D$27:$D$36&lt;&gt;0),0)),IF(OR(AND(D3224=0,B3224=0,B3225&lt;&gt;0),AND(D3224*D3223&lt;0,B3224&lt;&gt;0)),IF(D3224=0,C3224,C3224*(1-ABS(D3224)/(ABS(D3224)+ABS(D3223)))+C3223*(1-ABS(D3223)/(ABS(D3224)+ABS(D3223)))),"")))</f>
        <v>#NAME?</v>
      </c>
    </row>
    <row r="3225" spans="2:5" x14ac:dyDescent="0.25">
      <c r="B3225" t="e">
        <f t="shared" ca="1" si="101"/>
        <v>#NAME?</v>
      </c>
      <c r="C3225">
        <v>3182</v>
      </c>
      <c r="D3225" t="e">
        <f t="shared" ca="1" si="100"/>
        <v>#NAME?</v>
      </c>
      <c r="E3225" s="115" t="e">
        <f t="array" aca="1" ref="E3225" ca="1">IF(OR(C3224=0,AND(B3226=0,C3226=0)),"",IFERROR(INDEX($F$27:$F$36,MATCH(C3225,($F$27:$F$36)*($D$27:$D$36&lt;&gt;0),0)),IF(OR(AND(D3225=0,B3225=0,B3226&lt;&gt;0),AND(D3225*D3224&lt;0,B3225&lt;&gt;0)),IF(D3225=0,C3225,C3225*(1-ABS(D3225)/(ABS(D3225)+ABS(D3224)))+C3224*(1-ABS(D3224)/(ABS(D3225)+ABS(D3224)))),"")))</f>
        <v>#NAME?</v>
      </c>
    </row>
    <row r="3226" spans="2:5" x14ac:dyDescent="0.25">
      <c r="B3226" t="e">
        <f t="shared" ca="1" si="101"/>
        <v>#NAME?</v>
      </c>
      <c r="C3226">
        <v>3183</v>
      </c>
      <c r="D3226" t="e">
        <f t="shared" ca="1" si="100"/>
        <v>#NAME?</v>
      </c>
      <c r="E3226" s="115" t="e">
        <f t="array" aca="1" ref="E3226" ca="1">IF(OR(C3225=0,AND(B3227=0,C3227=0)),"",IFERROR(INDEX($F$27:$F$36,MATCH(C3226,($F$27:$F$36)*($D$27:$D$36&lt;&gt;0),0)),IF(OR(AND(D3226=0,B3226=0,B3227&lt;&gt;0),AND(D3226*D3225&lt;0,B3226&lt;&gt;0)),IF(D3226=0,C3226,C3226*(1-ABS(D3226)/(ABS(D3226)+ABS(D3225)))+C3225*(1-ABS(D3225)/(ABS(D3226)+ABS(D3225)))),"")))</f>
        <v>#NAME?</v>
      </c>
    </row>
    <row r="3227" spans="2:5" x14ac:dyDescent="0.25">
      <c r="B3227" t="e">
        <f t="shared" ca="1" si="101"/>
        <v>#NAME?</v>
      </c>
      <c r="C3227">
        <v>3184</v>
      </c>
      <c r="D3227" t="e">
        <f t="shared" ca="1" si="100"/>
        <v>#NAME?</v>
      </c>
      <c r="E3227" s="115" t="e">
        <f t="array" aca="1" ref="E3227" ca="1">IF(OR(C3226=0,AND(B3228=0,C3228=0)),"",IFERROR(INDEX($F$27:$F$36,MATCH(C3227,($F$27:$F$36)*($D$27:$D$36&lt;&gt;0),0)),IF(OR(AND(D3227=0,B3227=0,B3228&lt;&gt;0),AND(D3227*D3226&lt;0,B3227&lt;&gt;0)),IF(D3227=0,C3227,C3227*(1-ABS(D3227)/(ABS(D3227)+ABS(D3226)))+C3226*(1-ABS(D3226)/(ABS(D3227)+ABS(D3226)))),"")))</f>
        <v>#NAME?</v>
      </c>
    </row>
    <row r="3228" spans="2:5" x14ac:dyDescent="0.25">
      <c r="B3228" t="e">
        <f t="shared" ca="1" si="101"/>
        <v>#NAME?</v>
      </c>
      <c r="C3228">
        <v>3185</v>
      </c>
      <c r="D3228" t="e">
        <f t="shared" ca="1" si="100"/>
        <v>#NAME?</v>
      </c>
      <c r="E3228" s="115" t="e">
        <f t="array" aca="1" ref="E3228" ca="1">IF(OR(C3227=0,AND(B3229=0,C3229=0)),"",IFERROR(INDEX($F$27:$F$36,MATCH(C3228,($F$27:$F$36)*($D$27:$D$36&lt;&gt;0),0)),IF(OR(AND(D3228=0,B3228=0,B3229&lt;&gt;0),AND(D3228*D3227&lt;0,B3228&lt;&gt;0)),IF(D3228=0,C3228,C3228*(1-ABS(D3228)/(ABS(D3228)+ABS(D3227)))+C3227*(1-ABS(D3227)/(ABS(D3228)+ABS(D3227)))),"")))</f>
        <v>#NAME?</v>
      </c>
    </row>
    <row r="3229" spans="2:5" x14ac:dyDescent="0.25">
      <c r="B3229" t="e">
        <f t="shared" ca="1" si="101"/>
        <v>#NAME?</v>
      </c>
      <c r="C3229">
        <v>3186</v>
      </c>
      <c r="D3229" t="e">
        <f t="shared" ca="1" si="100"/>
        <v>#NAME?</v>
      </c>
      <c r="E3229" s="115" t="e">
        <f t="array" aca="1" ref="E3229" ca="1">IF(OR(C3228=0,AND(B3230=0,C3230=0)),"",IFERROR(INDEX($F$27:$F$36,MATCH(C3229,($F$27:$F$36)*($D$27:$D$36&lt;&gt;0),0)),IF(OR(AND(D3229=0,B3229=0,B3230&lt;&gt;0),AND(D3229*D3228&lt;0,B3229&lt;&gt;0)),IF(D3229=0,C3229,C3229*(1-ABS(D3229)/(ABS(D3229)+ABS(D3228)))+C3228*(1-ABS(D3228)/(ABS(D3229)+ABS(D3228)))),"")))</f>
        <v>#NAME?</v>
      </c>
    </row>
    <row r="3230" spans="2:5" x14ac:dyDescent="0.25">
      <c r="B3230" t="e">
        <f t="shared" ca="1" si="101"/>
        <v>#NAME?</v>
      </c>
      <c r="C3230">
        <v>3187</v>
      </c>
      <c r="D3230" t="e">
        <f t="shared" ca="1" si="100"/>
        <v>#NAME?</v>
      </c>
      <c r="E3230" s="115" t="e">
        <f t="array" aca="1" ref="E3230" ca="1">IF(OR(C3229=0,AND(B3231=0,C3231=0)),"",IFERROR(INDEX($F$27:$F$36,MATCH(C3230,($F$27:$F$36)*($D$27:$D$36&lt;&gt;0),0)),IF(OR(AND(D3230=0,B3230=0,B3231&lt;&gt;0),AND(D3230*D3229&lt;0,B3230&lt;&gt;0)),IF(D3230=0,C3230,C3230*(1-ABS(D3230)/(ABS(D3230)+ABS(D3229)))+C3229*(1-ABS(D3229)/(ABS(D3230)+ABS(D3229)))),"")))</f>
        <v>#NAME?</v>
      </c>
    </row>
    <row r="3231" spans="2:5" x14ac:dyDescent="0.25">
      <c r="B3231" t="e">
        <f t="shared" ca="1" si="101"/>
        <v>#NAME?</v>
      </c>
      <c r="C3231">
        <v>3188</v>
      </c>
      <c r="D3231" t="e">
        <f t="shared" ca="1" si="100"/>
        <v>#NAME?</v>
      </c>
      <c r="E3231" s="115" t="e">
        <f t="array" aca="1" ref="E3231" ca="1">IF(OR(C3230=0,AND(B3232=0,C3232=0)),"",IFERROR(INDEX($F$27:$F$36,MATCH(C3231,($F$27:$F$36)*($D$27:$D$36&lt;&gt;0),0)),IF(OR(AND(D3231=0,B3231=0,B3232&lt;&gt;0),AND(D3231*D3230&lt;0,B3231&lt;&gt;0)),IF(D3231=0,C3231,C3231*(1-ABS(D3231)/(ABS(D3231)+ABS(D3230)))+C3230*(1-ABS(D3230)/(ABS(D3231)+ABS(D3230)))),"")))</f>
        <v>#NAME?</v>
      </c>
    </row>
    <row r="3232" spans="2:5" x14ac:dyDescent="0.25">
      <c r="B3232" t="e">
        <f t="shared" ca="1" si="101"/>
        <v>#NAME?</v>
      </c>
      <c r="C3232">
        <v>3189</v>
      </c>
      <c r="D3232" t="e">
        <f t="shared" ca="1" si="100"/>
        <v>#NAME?</v>
      </c>
      <c r="E3232" s="115" t="e">
        <f t="array" aca="1" ref="E3232" ca="1">IF(OR(C3231=0,AND(B3233=0,C3233=0)),"",IFERROR(INDEX($F$27:$F$36,MATCH(C3232,($F$27:$F$36)*($D$27:$D$36&lt;&gt;0),0)),IF(OR(AND(D3232=0,B3232=0,B3233&lt;&gt;0),AND(D3232*D3231&lt;0,B3232&lt;&gt;0)),IF(D3232=0,C3232,C3232*(1-ABS(D3232)/(ABS(D3232)+ABS(D3231)))+C3231*(1-ABS(D3231)/(ABS(D3232)+ABS(D3231)))),"")))</f>
        <v>#NAME?</v>
      </c>
    </row>
    <row r="3233" spans="2:5" x14ac:dyDescent="0.25">
      <c r="B3233" t="e">
        <f t="shared" ca="1" si="101"/>
        <v>#NAME?</v>
      </c>
      <c r="C3233">
        <v>3190</v>
      </c>
      <c r="D3233" t="e">
        <f t="shared" ca="1" si="100"/>
        <v>#NAME?</v>
      </c>
      <c r="E3233" s="115" t="e">
        <f t="array" aca="1" ref="E3233" ca="1">IF(OR(C3232=0,AND(B3234=0,C3234=0)),"",IFERROR(INDEX($F$27:$F$36,MATCH(C3233,($F$27:$F$36)*($D$27:$D$36&lt;&gt;0),0)),IF(OR(AND(D3233=0,B3233=0,B3234&lt;&gt;0),AND(D3233*D3232&lt;0,B3233&lt;&gt;0)),IF(D3233=0,C3233,C3233*(1-ABS(D3233)/(ABS(D3233)+ABS(D3232)))+C3232*(1-ABS(D3232)/(ABS(D3233)+ABS(D3232)))),"")))</f>
        <v>#NAME?</v>
      </c>
    </row>
    <row r="3234" spans="2:5" x14ac:dyDescent="0.25">
      <c r="B3234" t="e">
        <f t="shared" ca="1" si="101"/>
        <v>#NAME?</v>
      </c>
      <c r="C3234">
        <v>3191</v>
      </c>
      <c r="D3234" t="e">
        <f t="shared" ca="1" si="100"/>
        <v>#NAME?</v>
      </c>
      <c r="E3234" s="115" t="e">
        <f t="array" aca="1" ref="E3234" ca="1">IF(OR(C3233=0,AND(B3235=0,C3235=0)),"",IFERROR(INDEX($F$27:$F$36,MATCH(C3234,($F$27:$F$36)*($D$27:$D$36&lt;&gt;0),0)),IF(OR(AND(D3234=0,B3234=0,B3235&lt;&gt;0),AND(D3234*D3233&lt;0,B3234&lt;&gt;0)),IF(D3234=0,C3234,C3234*(1-ABS(D3234)/(ABS(D3234)+ABS(D3233)))+C3233*(1-ABS(D3233)/(ABS(D3234)+ABS(D3233)))),"")))</f>
        <v>#NAME?</v>
      </c>
    </row>
    <row r="3235" spans="2:5" x14ac:dyDescent="0.25">
      <c r="B3235" t="e">
        <f t="shared" ca="1" si="101"/>
        <v>#NAME?</v>
      </c>
      <c r="C3235">
        <v>3192</v>
      </c>
      <c r="D3235" t="e">
        <f t="shared" ca="1" si="100"/>
        <v>#NAME?</v>
      </c>
      <c r="E3235" s="115" t="e">
        <f t="array" aca="1" ref="E3235" ca="1">IF(OR(C3234=0,AND(B3236=0,C3236=0)),"",IFERROR(INDEX($F$27:$F$36,MATCH(C3235,($F$27:$F$36)*($D$27:$D$36&lt;&gt;0),0)),IF(OR(AND(D3235=0,B3235=0,B3236&lt;&gt;0),AND(D3235*D3234&lt;0,B3235&lt;&gt;0)),IF(D3235=0,C3235,C3235*(1-ABS(D3235)/(ABS(D3235)+ABS(D3234)))+C3234*(1-ABS(D3234)/(ABS(D3235)+ABS(D3234)))),"")))</f>
        <v>#NAME?</v>
      </c>
    </row>
    <row r="3236" spans="2:5" x14ac:dyDescent="0.25">
      <c r="B3236" t="e">
        <f t="shared" ca="1" si="101"/>
        <v>#NAME?</v>
      </c>
      <c r="C3236">
        <v>3193</v>
      </c>
      <c r="D3236" t="e">
        <f t="shared" ca="1" si="100"/>
        <v>#NAME?</v>
      </c>
      <c r="E3236" s="115" t="e">
        <f t="array" aca="1" ref="E3236" ca="1">IF(OR(C3235=0,AND(B3237=0,C3237=0)),"",IFERROR(INDEX($F$27:$F$36,MATCH(C3236,($F$27:$F$36)*($D$27:$D$36&lt;&gt;0),0)),IF(OR(AND(D3236=0,B3236=0,B3237&lt;&gt;0),AND(D3236*D3235&lt;0,B3236&lt;&gt;0)),IF(D3236=0,C3236,C3236*(1-ABS(D3236)/(ABS(D3236)+ABS(D3235)))+C3235*(1-ABS(D3235)/(ABS(D3236)+ABS(D3235)))),"")))</f>
        <v>#NAME?</v>
      </c>
    </row>
    <row r="3237" spans="2:5" x14ac:dyDescent="0.25">
      <c r="B3237" t="e">
        <f t="shared" ca="1" si="101"/>
        <v>#NAME?</v>
      </c>
      <c r="C3237">
        <v>3194</v>
      </c>
      <c r="D3237" t="e">
        <f t="shared" ca="1" si="100"/>
        <v>#NAME?</v>
      </c>
      <c r="E3237" s="115" t="e">
        <f t="array" aca="1" ref="E3237" ca="1">IF(OR(C3236=0,AND(B3238=0,C3238=0)),"",IFERROR(INDEX($F$27:$F$36,MATCH(C3237,($F$27:$F$36)*($D$27:$D$36&lt;&gt;0),0)),IF(OR(AND(D3237=0,B3237=0,B3238&lt;&gt;0),AND(D3237*D3236&lt;0,B3237&lt;&gt;0)),IF(D3237=0,C3237,C3237*(1-ABS(D3237)/(ABS(D3237)+ABS(D3236)))+C3236*(1-ABS(D3236)/(ABS(D3237)+ABS(D3236)))),"")))</f>
        <v>#NAME?</v>
      </c>
    </row>
    <row r="3238" spans="2:5" x14ac:dyDescent="0.25">
      <c r="B3238" t="e">
        <f t="shared" ca="1" si="101"/>
        <v>#NAME?</v>
      </c>
      <c r="C3238">
        <v>3195</v>
      </c>
      <c r="D3238" t="e">
        <f t="shared" ca="1" si="100"/>
        <v>#NAME?</v>
      </c>
      <c r="E3238" s="115" t="e">
        <f t="array" aca="1" ref="E3238" ca="1">IF(OR(C3237=0,AND(B3239=0,C3239=0)),"",IFERROR(INDEX($F$27:$F$36,MATCH(C3238,($F$27:$F$36)*($D$27:$D$36&lt;&gt;0),0)),IF(OR(AND(D3238=0,B3238=0,B3239&lt;&gt;0),AND(D3238*D3237&lt;0,B3238&lt;&gt;0)),IF(D3238=0,C3238,C3238*(1-ABS(D3238)/(ABS(D3238)+ABS(D3237)))+C3237*(1-ABS(D3237)/(ABS(D3238)+ABS(D3237)))),"")))</f>
        <v>#NAME?</v>
      </c>
    </row>
    <row r="3239" spans="2:5" x14ac:dyDescent="0.25">
      <c r="B3239" t="e">
        <f t="shared" ca="1" si="101"/>
        <v>#NAME?</v>
      </c>
      <c r="C3239">
        <v>3196</v>
      </c>
      <c r="D3239" t="e">
        <f t="shared" ca="1" si="100"/>
        <v>#NAME?</v>
      </c>
      <c r="E3239" s="115" t="e">
        <f t="array" aca="1" ref="E3239" ca="1">IF(OR(C3238=0,AND(B3240=0,C3240=0)),"",IFERROR(INDEX($F$27:$F$36,MATCH(C3239,($F$27:$F$36)*($D$27:$D$36&lt;&gt;0),0)),IF(OR(AND(D3239=0,B3239=0,B3240&lt;&gt;0),AND(D3239*D3238&lt;0,B3239&lt;&gt;0)),IF(D3239=0,C3239,C3239*(1-ABS(D3239)/(ABS(D3239)+ABS(D3238)))+C3238*(1-ABS(D3238)/(ABS(D3239)+ABS(D3238)))),"")))</f>
        <v>#NAME?</v>
      </c>
    </row>
    <row r="3240" spans="2:5" x14ac:dyDescent="0.25">
      <c r="B3240" t="e">
        <f t="shared" ca="1" si="101"/>
        <v>#NAME?</v>
      </c>
      <c r="C3240">
        <v>3197</v>
      </c>
      <c r="D3240" t="e">
        <f t="shared" ca="1" si="100"/>
        <v>#NAME?</v>
      </c>
      <c r="E3240" s="115" t="e">
        <f t="array" aca="1" ref="E3240" ca="1">IF(OR(C3239=0,AND(B3241=0,C3241=0)),"",IFERROR(INDEX($F$27:$F$36,MATCH(C3240,($F$27:$F$36)*($D$27:$D$36&lt;&gt;0),0)),IF(OR(AND(D3240=0,B3240=0,B3241&lt;&gt;0),AND(D3240*D3239&lt;0,B3240&lt;&gt;0)),IF(D3240=0,C3240,C3240*(1-ABS(D3240)/(ABS(D3240)+ABS(D3239)))+C3239*(1-ABS(D3239)/(ABS(D3240)+ABS(D3239)))),"")))</f>
        <v>#NAME?</v>
      </c>
    </row>
    <row r="3241" spans="2:5" x14ac:dyDescent="0.25">
      <c r="B3241" t="e">
        <f t="shared" ca="1" si="101"/>
        <v>#NAME?</v>
      </c>
      <c r="C3241">
        <v>3198</v>
      </c>
      <c r="D3241" t="e">
        <f t="shared" ca="1" si="100"/>
        <v>#NAME?</v>
      </c>
      <c r="E3241" s="115" t="e">
        <f t="array" aca="1" ref="E3241" ca="1">IF(OR(C3240=0,AND(B3242=0,C3242=0)),"",IFERROR(INDEX($F$27:$F$36,MATCH(C3241,($F$27:$F$36)*($D$27:$D$36&lt;&gt;0),0)),IF(OR(AND(D3241=0,B3241=0,B3242&lt;&gt;0),AND(D3241*D3240&lt;0,B3241&lt;&gt;0)),IF(D3241=0,C3241,C3241*(1-ABS(D3241)/(ABS(D3241)+ABS(D3240)))+C3240*(1-ABS(D3240)/(ABS(D3241)+ABS(D3240)))),"")))</f>
        <v>#NAME?</v>
      </c>
    </row>
    <row r="3242" spans="2:5" x14ac:dyDescent="0.25">
      <c r="B3242" t="e">
        <f t="shared" ca="1" si="101"/>
        <v>#NAME?</v>
      </c>
      <c r="C3242">
        <v>3199</v>
      </c>
      <c r="D3242" t="e">
        <f t="shared" ca="1" si="100"/>
        <v>#NAME?</v>
      </c>
      <c r="E3242" s="115" t="e">
        <f t="array" aca="1" ref="E3242" ca="1">IF(OR(C3241=0,AND(B3243=0,C3243=0)),"",IFERROR(INDEX($F$27:$F$36,MATCH(C3242,($F$27:$F$36)*($D$27:$D$36&lt;&gt;0),0)),IF(OR(AND(D3242=0,B3242=0,B3243&lt;&gt;0),AND(D3242*D3241&lt;0,B3242&lt;&gt;0)),IF(D3242=0,C3242,C3242*(1-ABS(D3242)/(ABS(D3242)+ABS(D3241)))+C3241*(1-ABS(D3241)/(ABS(D3242)+ABS(D3241)))),"")))</f>
        <v>#NAME?</v>
      </c>
    </row>
    <row r="3243" spans="2:5" x14ac:dyDescent="0.25">
      <c r="B3243" t="e">
        <f t="shared" ca="1" si="101"/>
        <v>#NAME?</v>
      </c>
      <c r="C3243">
        <v>3200</v>
      </c>
      <c r="D3243" t="e">
        <f t="shared" ref="D3243:D3306" ca="1" si="102">SUMPRODUCT(--($J$27:$J$37&gt;0),--($C3243-$F$27:$F$37&gt;0),($D$27:$D$37),($C3243-$F$27:$F$37))+SUMPRODUCT(--($J$27:$J$37&lt;0),--($F$27:$F$37-$C3243&gt;0),($D$27:$D$37),($F$27:$F$37-$C3243))-SUMPRODUCT($D$27:$D$37,$E$27:$E$37)</f>
        <v>#NAME?</v>
      </c>
      <c r="E3243" s="115" t="e">
        <f t="array" aca="1" ref="E3243" ca="1">IF(OR(C3242=0,AND(B3244=0,C3244=0)),"",IFERROR(INDEX($F$27:$F$36,MATCH(C3243,($F$27:$F$36)*($D$27:$D$36&lt;&gt;0),0)),IF(OR(AND(D3243=0,B3243=0,B3244&lt;&gt;0),AND(D3243*D3242&lt;0,B3243&lt;&gt;0)),IF(D3243=0,C3243,C3243*(1-ABS(D3243)/(ABS(D3243)+ABS(D3242)))+C3242*(1-ABS(D3242)/(ABS(D3243)+ABS(D3242)))),"")))</f>
        <v>#NAME?</v>
      </c>
    </row>
    <row r="3244" spans="2:5" x14ac:dyDescent="0.25">
      <c r="B3244" t="e">
        <f t="shared" ref="B3244:B3307" ca="1" si="103">ROUND((D3244-D3243)/(C3244-C3243),12)</f>
        <v>#NAME?</v>
      </c>
      <c r="C3244">
        <v>3201</v>
      </c>
      <c r="D3244" t="e">
        <f t="shared" ca="1" si="102"/>
        <v>#NAME?</v>
      </c>
      <c r="E3244" s="115" t="e">
        <f t="array" aca="1" ref="E3244" ca="1">IF(OR(C3243=0,AND(B3245=0,C3245=0)),"",IFERROR(INDEX($F$27:$F$36,MATCH(C3244,($F$27:$F$36)*($D$27:$D$36&lt;&gt;0),0)),IF(OR(AND(D3244=0,B3244=0,B3245&lt;&gt;0),AND(D3244*D3243&lt;0,B3244&lt;&gt;0)),IF(D3244=0,C3244,C3244*(1-ABS(D3244)/(ABS(D3244)+ABS(D3243)))+C3243*(1-ABS(D3243)/(ABS(D3244)+ABS(D3243)))),"")))</f>
        <v>#NAME?</v>
      </c>
    </row>
    <row r="3245" spans="2:5" x14ac:dyDescent="0.25">
      <c r="B3245" t="e">
        <f t="shared" ca="1" si="103"/>
        <v>#NAME?</v>
      </c>
      <c r="C3245">
        <v>3202</v>
      </c>
      <c r="D3245" t="e">
        <f t="shared" ca="1" si="102"/>
        <v>#NAME?</v>
      </c>
      <c r="E3245" s="115" t="e">
        <f t="array" aca="1" ref="E3245" ca="1">IF(OR(C3244=0,AND(B3246=0,C3246=0)),"",IFERROR(INDEX($F$27:$F$36,MATCH(C3245,($F$27:$F$36)*($D$27:$D$36&lt;&gt;0),0)),IF(OR(AND(D3245=0,B3245=0,B3246&lt;&gt;0),AND(D3245*D3244&lt;0,B3245&lt;&gt;0)),IF(D3245=0,C3245,C3245*(1-ABS(D3245)/(ABS(D3245)+ABS(D3244)))+C3244*(1-ABS(D3244)/(ABS(D3245)+ABS(D3244)))),"")))</f>
        <v>#NAME?</v>
      </c>
    </row>
    <row r="3246" spans="2:5" x14ac:dyDescent="0.25">
      <c r="B3246" t="e">
        <f t="shared" ca="1" si="103"/>
        <v>#NAME?</v>
      </c>
      <c r="C3246">
        <v>3203</v>
      </c>
      <c r="D3246" t="e">
        <f t="shared" ca="1" si="102"/>
        <v>#NAME?</v>
      </c>
      <c r="E3246" s="115" t="e">
        <f t="array" aca="1" ref="E3246" ca="1">IF(OR(C3245=0,AND(B3247=0,C3247=0)),"",IFERROR(INDEX($F$27:$F$36,MATCH(C3246,($F$27:$F$36)*($D$27:$D$36&lt;&gt;0),0)),IF(OR(AND(D3246=0,B3246=0,B3247&lt;&gt;0),AND(D3246*D3245&lt;0,B3246&lt;&gt;0)),IF(D3246=0,C3246,C3246*(1-ABS(D3246)/(ABS(D3246)+ABS(D3245)))+C3245*(1-ABS(D3245)/(ABS(D3246)+ABS(D3245)))),"")))</f>
        <v>#NAME?</v>
      </c>
    </row>
    <row r="3247" spans="2:5" x14ac:dyDescent="0.25">
      <c r="B3247" t="e">
        <f t="shared" ca="1" si="103"/>
        <v>#NAME?</v>
      </c>
      <c r="C3247">
        <v>3204</v>
      </c>
      <c r="D3247" t="e">
        <f t="shared" ca="1" si="102"/>
        <v>#NAME?</v>
      </c>
      <c r="E3247" s="115" t="e">
        <f t="array" aca="1" ref="E3247" ca="1">IF(OR(C3246=0,AND(B3248=0,C3248=0)),"",IFERROR(INDEX($F$27:$F$36,MATCH(C3247,($F$27:$F$36)*($D$27:$D$36&lt;&gt;0),0)),IF(OR(AND(D3247=0,B3247=0,B3248&lt;&gt;0),AND(D3247*D3246&lt;0,B3247&lt;&gt;0)),IF(D3247=0,C3247,C3247*(1-ABS(D3247)/(ABS(D3247)+ABS(D3246)))+C3246*(1-ABS(D3246)/(ABS(D3247)+ABS(D3246)))),"")))</f>
        <v>#NAME?</v>
      </c>
    </row>
    <row r="3248" spans="2:5" x14ac:dyDescent="0.25">
      <c r="B3248" t="e">
        <f t="shared" ca="1" si="103"/>
        <v>#NAME?</v>
      </c>
      <c r="C3248">
        <v>3205</v>
      </c>
      <c r="D3248" t="e">
        <f t="shared" ca="1" si="102"/>
        <v>#NAME?</v>
      </c>
      <c r="E3248" s="115" t="e">
        <f t="array" aca="1" ref="E3248" ca="1">IF(OR(C3247=0,AND(B3249=0,C3249=0)),"",IFERROR(INDEX($F$27:$F$36,MATCH(C3248,($F$27:$F$36)*($D$27:$D$36&lt;&gt;0),0)),IF(OR(AND(D3248=0,B3248=0,B3249&lt;&gt;0),AND(D3248*D3247&lt;0,B3248&lt;&gt;0)),IF(D3248=0,C3248,C3248*(1-ABS(D3248)/(ABS(D3248)+ABS(D3247)))+C3247*(1-ABS(D3247)/(ABS(D3248)+ABS(D3247)))),"")))</f>
        <v>#NAME?</v>
      </c>
    </row>
    <row r="3249" spans="2:5" x14ac:dyDescent="0.25">
      <c r="B3249" t="e">
        <f t="shared" ca="1" si="103"/>
        <v>#NAME?</v>
      </c>
      <c r="C3249">
        <v>3206</v>
      </c>
      <c r="D3249" t="e">
        <f t="shared" ca="1" si="102"/>
        <v>#NAME?</v>
      </c>
      <c r="E3249" s="115" t="e">
        <f t="array" aca="1" ref="E3249" ca="1">IF(OR(C3248=0,AND(B3250=0,C3250=0)),"",IFERROR(INDEX($F$27:$F$36,MATCH(C3249,($F$27:$F$36)*($D$27:$D$36&lt;&gt;0),0)),IF(OR(AND(D3249=0,B3249=0,B3250&lt;&gt;0),AND(D3249*D3248&lt;0,B3249&lt;&gt;0)),IF(D3249=0,C3249,C3249*(1-ABS(D3249)/(ABS(D3249)+ABS(D3248)))+C3248*(1-ABS(D3248)/(ABS(D3249)+ABS(D3248)))),"")))</f>
        <v>#NAME?</v>
      </c>
    </row>
    <row r="3250" spans="2:5" x14ac:dyDescent="0.25">
      <c r="B3250" t="e">
        <f t="shared" ca="1" si="103"/>
        <v>#NAME?</v>
      </c>
      <c r="C3250">
        <v>3207</v>
      </c>
      <c r="D3250" t="e">
        <f t="shared" ca="1" si="102"/>
        <v>#NAME?</v>
      </c>
      <c r="E3250" s="115" t="e">
        <f t="array" aca="1" ref="E3250" ca="1">IF(OR(C3249=0,AND(B3251=0,C3251=0)),"",IFERROR(INDEX($F$27:$F$36,MATCH(C3250,($F$27:$F$36)*($D$27:$D$36&lt;&gt;0),0)),IF(OR(AND(D3250=0,B3250=0,B3251&lt;&gt;0),AND(D3250*D3249&lt;0,B3250&lt;&gt;0)),IF(D3250=0,C3250,C3250*(1-ABS(D3250)/(ABS(D3250)+ABS(D3249)))+C3249*(1-ABS(D3249)/(ABS(D3250)+ABS(D3249)))),"")))</f>
        <v>#NAME?</v>
      </c>
    </row>
    <row r="3251" spans="2:5" x14ac:dyDescent="0.25">
      <c r="B3251" t="e">
        <f t="shared" ca="1" si="103"/>
        <v>#NAME?</v>
      </c>
      <c r="C3251">
        <v>3208</v>
      </c>
      <c r="D3251" t="e">
        <f t="shared" ca="1" si="102"/>
        <v>#NAME?</v>
      </c>
      <c r="E3251" s="115" t="e">
        <f t="array" aca="1" ref="E3251" ca="1">IF(OR(C3250=0,AND(B3252=0,C3252=0)),"",IFERROR(INDEX($F$27:$F$36,MATCH(C3251,($F$27:$F$36)*($D$27:$D$36&lt;&gt;0),0)),IF(OR(AND(D3251=0,B3251=0,B3252&lt;&gt;0),AND(D3251*D3250&lt;0,B3251&lt;&gt;0)),IF(D3251=0,C3251,C3251*(1-ABS(D3251)/(ABS(D3251)+ABS(D3250)))+C3250*(1-ABS(D3250)/(ABS(D3251)+ABS(D3250)))),"")))</f>
        <v>#NAME?</v>
      </c>
    </row>
    <row r="3252" spans="2:5" x14ac:dyDescent="0.25">
      <c r="B3252" t="e">
        <f t="shared" ca="1" si="103"/>
        <v>#NAME?</v>
      </c>
      <c r="C3252">
        <v>3209</v>
      </c>
      <c r="D3252" t="e">
        <f t="shared" ca="1" si="102"/>
        <v>#NAME?</v>
      </c>
      <c r="E3252" s="115" t="e">
        <f t="array" aca="1" ref="E3252" ca="1">IF(OR(C3251=0,AND(B3253=0,C3253=0)),"",IFERROR(INDEX($F$27:$F$36,MATCH(C3252,($F$27:$F$36)*($D$27:$D$36&lt;&gt;0),0)),IF(OR(AND(D3252=0,B3252=0,B3253&lt;&gt;0),AND(D3252*D3251&lt;0,B3252&lt;&gt;0)),IF(D3252=0,C3252,C3252*(1-ABS(D3252)/(ABS(D3252)+ABS(D3251)))+C3251*(1-ABS(D3251)/(ABS(D3252)+ABS(D3251)))),"")))</f>
        <v>#NAME?</v>
      </c>
    </row>
    <row r="3253" spans="2:5" x14ac:dyDescent="0.25">
      <c r="B3253" t="e">
        <f t="shared" ca="1" si="103"/>
        <v>#NAME?</v>
      </c>
      <c r="C3253">
        <v>3210</v>
      </c>
      <c r="D3253" t="e">
        <f t="shared" ca="1" si="102"/>
        <v>#NAME?</v>
      </c>
      <c r="E3253" s="115" t="e">
        <f t="array" aca="1" ref="E3253" ca="1">IF(OR(C3252=0,AND(B3254=0,C3254=0)),"",IFERROR(INDEX($F$27:$F$36,MATCH(C3253,($F$27:$F$36)*($D$27:$D$36&lt;&gt;0),0)),IF(OR(AND(D3253=0,B3253=0,B3254&lt;&gt;0),AND(D3253*D3252&lt;0,B3253&lt;&gt;0)),IF(D3253=0,C3253,C3253*(1-ABS(D3253)/(ABS(D3253)+ABS(D3252)))+C3252*(1-ABS(D3252)/(ABS(D3253)+ABS(D3252)))),"")))</f>
        <v>#NAME?</v>
      </c>
    </row>
    <row r="3254" spans="2:5" x14ac:dyDescent="0.25">
      <c r="B3254" t="e">
        <f t="shared" ca="1" si="103"/>
        <v>#NAME?</v>
      </c>
      <c r="C3254">
        <v>3211</v>
      </c>
      <c r="D3254" t="e">
        <f t="shared" ca="1" si="102"/>
        <v>#NAME?</v>
      </c>
      <c r="E3254" s="115" t="e">
        <f t="array" aca="1" ref="E3254" ca="1">IF(OR(C3253=0,AND(B3255=0,C3255=0)),"",IFERROR(INDEX($F$27:$F$36,MATCH(C3254,($F$27:$F$36)*($D$27:$D$36&lt;&gt;0),0)),IF(OR(AND(D3254=0,B3254=0,B3255&lt;&gt;0),AND(D3254*D3253&lt;0,B3254&lt;&gt;0)),IF(D3254=0,C3254,C3254*(1-ABS(D3254)/(ABS(D3254)+ABS(D3253)))+C3253*(1-ABS(D3253)/(ABS(D3254)+ABS(D3253)))),"")))</f>
        <v>#NAME?</v>
      </c>
    </row>
    <row r="3255" spans="2:5" x14ac:dyDescent="0.25">
      <c r="B3255" t="e">
        <f t="shared" ca="1" si="103"/>
        <v>#NAME?</v>
      </c>
      <c r="C3255">
        <v>3212</v>
      </c>
      <c r="D3255" t="e">
        <f t="shared" ca="1" si="102"/>
        <v>#NAME?</v>
      </c>
      <c r="E3255" s="115" t="e">
        <f t="array" aca="1" ref="E3255" ca="1">IF(OR(C3254=0,AND(B3256=0,C3256=0)),"",IFERROR(INDEX($F$27:$F$36,MATCH(C3255,($F$27:$F$36)*($D$27:$D$36&lt;&gt;0),0)),IF(OR(AND(D3255=0,B3255=0,B3256&lt;&gt;0),AND(D3255*D3254&lt;0,B3255&lt;&gt;0)),IF(D3255=0,C3255,C3255*(1-ABS(D3255)/(ABS(D3255)+ABS(D3254)))+C3254*(1-ABS(D3254)/(ABS(D3255)+ABS(D3254)))),"")))</f>
        <v>#NAME?</v>
      </c>
    </row>
    <row r="3256" spans="2:5" x14ac:dyDescent="0.25">
      <c r="B3256" t="e">
        <f t="shared" ca="1" si="103"/>
        <v>#NAME?</v>
      </c>
      <c r="C3256">
        <v>3213</v>
      </c>
      <c r="D3256" t="e">
        <f t="shared" ca="1" si="102"/>
        <v>#NAME?</v>
      </c>
      <c r="E3256" s="115" t="e">
        <f t="array" aca="1" ref="E3256" ca="1">IF(OR(C3255=0,AND(B3257=0,C3257=0)),"",IFERROR(INDEX($F$27:$F$36,MATCH(C3256,($F$27:$F$36)*($D$27:$D$36&lt;&gt;0),0)),IF(OR(AND(D3256=0,B3256=0,B3257&lt;&gt;0),AND(D3256*D3255&lt;0,B3256&lt;&gt;0)),IF(D3256=0,C3256,C3256*(1-ABS(D3256)/(ABS(D3256)+ABS(D3255)))+C3255*(1-ABS(D3255)/(ABS(D3256)+ABS(D3255)))),"")))</f>
        <v>#NAME?</v>
      </c>
    </row>
    <row r="3257" spans="2:5" x14ac:dyDescent="0.25">
      <c r="B3257" t="e">
        <f t="shared" ca="1" si="103"/>
        <v>#NAME?</v>
      </c>
      <c r="C3257">
        <v>3214</v>
      </c>
      <c r="D3257" t="e">
        <f t="shared" ca="1" si="102"/>
        <v>#NAME?</v>
      </c>
      <c r="E3257" s="115" t="e">
        <f t="array" aca="1" ref="E3257" ca="1">IF(OR(C3256=0,AND(B3258=0,C3258=0)),"",IFERROR(INDEX($F$27:$F$36,MATCH(C3257,($F$27:$F$36)*($D$27:$D$36&lt;&gt;0),0)),IF(OR(AND(D3257=0,B3257=0,B3258&lt;&gt;0),AND(D3257*D3256&lt;0,B3257&lt;&gt;0)),IF(D3257=0,C3257,C3257*(1-ABS(D3257)/(ABS(D3257)+ABS(D3256)))+C3256*(1-ABS(D3256)/(ABS(D3257)+ABS(D3256)))),"")))</f>
        <v>#NAME?</v>
      </c>
    </row>
    <row r="3258" spans="2:5" x14ac:dyDescent="0.25">
      <c r="B3258" t="e">
        <f t="shared" ca="1" si="103"/>
        <v>#NAME?</v>
      </c>
      <c r="C3258">
        <v>3215</v>
      </c>
      <c r="D3258" t="e">
        <f t="shared" ca="1" si="102"/>
        <v>#NAME?</v>
      </c>
      <c r="E3258" s="115" t="e">
        <f t="array" aca="1" ref="E3258" ca="1">IF(OR(C3257=0,AND(B3259=0,C3259=0)),"",IFERROR(INDEX($F$27:$F$36,MATCH(C3258,($F$27:$F$36)*($D$27:$D$36&lt;&gt;0),0)),IF(OR(AND(D3258=0,B3258=0,B3259&lt;&gt;0),AND(D3258*D3257&lt;0,B3258&lt;&gt;0)),IF(D3258=0,C3258,C3258*(1-ABS(D3258)/(ABS(D3258)+ABS(D3257)))+C3257*(1-ABS(D3257)/(ABS(D3258)+ABS(D3257)))),"")))</f>
        <v>#NAME?</v>
      </c>
    </row>
    <row r="3259" spans="2:5" x14ac:dyDescent="0.25">
      <c r="B3259" t="e">
        <f t="shared" ca="1" si="103"/>
        <v>#NAME?</v>
      </c>
      <c r="C3259">
        <v>3216</v>
      </c>
      <c r="D3259" t="e">
        <f t="shared" ca="1" si="102"/>
        <v>#NAME?</v>
      </c>
      <c r="E3259" s="115" t="e">
        <f t="array" aca="1" ref="E3259" ca="1">IF(OR(C3258=0,AND(B3260=0,C3260=0)),"",IFERROR(INDEX($F$27:$F$36,MATCH(C3259,($F$27:$F$36)*($D$27:$D$36&lt;&gt;0),0)),IF(OR(AND(D3259=0,B3259=0,B3260&lt;&gt;0),AND(D3259*D3258&lt;0,B3259&lt;&gt;0)),IF(D3259=0,C3259,C3259*(1-ABS(D3259)/(ABS(D3259)+ABS(D3258)))+C3258*(1-ABS(D3258)/(ABS(D3259)+ABS(D3258)))),"")))</f>
        <v>#NAME?</v>
      </c>
    </row>
    <row r="3260" spans="2:5" x14ac:dyDescent="0.25">
      <c r="B3260" t="e">
        <f t="shared" ca="1" si="103"/>
        <v>#NAME?</v>
      </c>
      <c r="C3260">
        <v>3217</v>
      </c>
      <c r="D3260" t="e">
        <f t="shared" ca="1" si="102"/>
        <v>#NAME?</v>
      </c>
      <c r="E3260" s="115" t="e">
        <f t="array" aca="1" ref="E3260" ca="1">IF(OR(C3259=0,AND(B3261=0,C3261=0)),"",IFERROR(INDEX($F$27:$F$36,MATCH(C3260,($F$27:$F$36)*($D$27:$D$36&lt;&gt;0),0)),IF(OR(AND(D3260=0,B3260=0,B3261&lt;&gt;0),AND(D3260*D3259&lt;0,B3260&lt;&gt;0)),IF(D3260=0,C3260,C3260*(1-ABS(D3260)/(ABS(D3260)+ABS(D3259)))+C3259*(1-ABS(D3259)/(ABS(D3260)+ABS(D3259)))),"")))</f>
        <v>#NAME?</v>
      </c>
    </row>
    <row r="3261" spans="2:5" x14ac:dyDescent="0.25">
      <c r="B3261" t="e">
        <f t="shared" ca="1" si="103"/>
        <v>#NAME?</v>
      </c>
      <c r="C3261">
        <v>3218</v>
      </c>
      <c r="D3261" t="e">
        <f t="shared" ca="1" si="102"/>
        <v>#NAME?</v>
      </c>
      <c r="E3261" s="115" t="e">
        <f t="array" aca="1" ref="E3261" ca="1">IF(OR(C3260=0,AND(B3262=0,C3262=0)),"",IFERROR(INDEX($F$27:$F$36,MATCH(C3261,($F$27:$F$36)*($D$27:$D$36&lt;&gt;0),0)),IF(OR(AND(D3261=0,B3261=0,B3262&lt;&gt;0),AND(D3261*D3260&lt;0,B3261&lt;&gt;0)),IF(D3261=0,C3261,C3261*(1-ABS(D3261)/(ABS(D3261)+ABS(D3260)))+C3260*(1-ABS(D3260)/(ABS(D3261)+ABS(D3260)))),"")))</f>
        <v>#NAME?</v>
      </c>
    </row>
    <row r="3262" spans="2:5" x14ac:dyDescent="0.25">
      <c r="B3262" t="e">
        <f t="shared" ca="1" si="103"/>
        <v>#NAME?</v>
      </c>
      <c r="C3262">
        <v>3219</v>
      </c>
      <c r="D3262" t="e">
        <f t="shared" ca="1" si="102"/>
        <v>#NAME?</v>
      </c>
      <c r="E3262" s="115" t="e">
        <f t="array" aca="1" ref="E3262" ca="1">IF(OR(C3261=0,AND(B3263=0,C3263=0)),"",IFERROR(INDEX($F$27:$F$36,MATCH(C3262,($F$27:$F$36)*($D$27:$D$36&lt;&gt;0),0)),IF(OR(AND(D3262=0,B3262=0,B3263&lt;&gt;0),AND(D3262*D3261&lt;0,B3262&lt;&gt;0)),IF(D3262=0,C3262,C3262*(1-ABS(D3262)/(ABS(D3262)+ABS(D3261)))+C3261*(1-ABS(D3261)/(ABS(D3262)+ABS(D3261)))),"")))</f>
        <v>#NAME?</v>
      </c>
    </row>
    <row r="3263" spans="2:5" x14ac:dyDescent="0.25">
      <c r="B3263" t="e">
        <f t="shared" ca="1" si="103"/>
        <v>#NAME?</v>
      </c>
      <c r="C3263">
        <v>3220</v>
      </c>
      <c r="D3263" t="e">
        <f t="shared" ca="1" si="102"/>
        <v>#NAME?</v>
      </c>
      <c r="E3263" s="115" t="e">
        <f t="array" aca="1" ref="E3263" ca="1">IF(OR(C3262=0,AND(B3264=0,C3264=0)),"",IFERROR(INDEX($F$27:$F$36,MATCH(C3263,($F$27:$F$36)*($D$27:$D$36&lt;&gt;0),0)),IF(OR(AND(D3263=0,B3263=0,B3264&lt;&gt;0),AND(D3263*D3262&lt;0,B3263&lt;&gt;0)),IF(D3263=0,C3263,C3263*(1-ABS(D3263)/(ABS(D3263)+ABS(D3262)))+C3262*(1-ABS(D3262)/(ABS(D3263)+ABS(D3262)))),"")))</f>
        <v>#NAME?</v>
      </c>
    </row>
    <row r="3264" spans="2:5" x14ac:dyDescent="0.25">
      <c r="B3264" t="e">
        <f t="shared" ca="1" si="103"/>
        <v>#NAME?</v>
      </c>
      <c r="C3264">
        <v>3221</v>
      </c>
      <c r="D3264" t="e">
        <f t="shared" ca="1" si="102"/>
        <v>#NAME?</v>
      </c>
      <c r="E3264" s="115" t="e">
        <f t="array" aca="1" ref="E3264" ca="1">IF(OR(C3263=0,AND(B3265=0,C3265=0)),"",IFERROR(INDEX($F$27:$F$36,MATCH(C3264,($F$27:$F$36)*($D$27:$D$36&lt;&gt;0),0)),IF(OR(AND(D3264=0,B3264=0,B3265&lt;&gt;0),AND(D3264*D3263&lt;0,B3264&lt;&gt;0)),IF(D3264=0,C3264,C3264*(1-ABS(D3264)/(ABS(D3264)+ABS(D3263)))+C3263*(1-ABS(D3263)/(ABS(D3264)+ABS(D3263)))),"")))</f>
        <v>#NAME?</v>
      </c>
    </row>
    <row r="3265" spans="2:5" x14ac:dyDescent="0.25">
      <c r="B3265" t="e">
        <f t="shared" ca="1" si="103"/>
        <v>#NAME?</v>
      </c>
      <c r="C3265">
        <v>3222</v>
      </c>
      <c r="D3265" t="e">
        <f t="shared" ca="1" si="102"/>
        <v>#NAME?</v>
      </c>
      <c r="E3265" s="115" t="e">
        <f t="array" aca="1" ref="E3265" ca="1">IF(OR(C3264=0,AND(B3266=0,C3266=0)),"",IFERROR(INDEX($F$27:$F$36,MATCH(C3265,($F$27:$F$36)*($D$27:$D$36&lt;&gt;0),0)),IF(OR(AND(D3265=0,B3265=0,B3266&lt;&gt;0),AND(D3265*D3264&lt;0,B3265&lt;&gt;0)),IF(D3265=0,C3265,C3265*(1-ABS(D3265)/(ABS(D3265)+ABS(D3264)))+C3264*(1-ABS(D3264)/(ABS(D3265)+ABS(D3264)))),"")))</f>
        <v>#NAME?</v>
      </c>
    </row>
    <row r="3266" spans="2:5" x14ac:dyDescent="0.25">
      <c r="B3266" t="e">
        <f t="shared" ca="1" si="103"/>
        <v>#NAME?</v>
      </c>
      <c r="C3266">
        <v>3223</v>
      </c>
      <c r="D3266" t="e">
        <f t="shared" ca="1" si="102"/>
        <v>#NAME?</v>
      </c>
      <c r="E3266" s="115" t="e">
        <f t="array" aca="1" ref="E3266" ca="1">IF(OR(C3265=0,AND(B3267=0,C3267=0)),"",IFERROR(INDEX($F$27:$F$36,MATCH(C3266,($F$27:$F$36)*($D$27:$D$36&lt;&gt;0),0)),IF(OR(AND(D3266=0,B3266=0,B3267&lt;&gt;0),AND(D3266*D3265&lt;0,B3266&lt;&gt;0)),IF(D3266=0,C3266,C3266*(1-ABS(D3266)/(ABS(D3266)+ABS(D3265)))+C3265*(1-ABS(D3265)/(ABS(D3266)+ABS(D3265)))),"")))</f>
        <v>#NAME?</v>
      </c>
    </row>
    <row r="3267" spans="2:5" x14ac:dyDescent="0.25">
      <c r="B3267" t="e">
        <f t="shared" ca="1" si="103"/>
        <v>#NAME?</v>
      </c>
      <c r="C3267">
        <v>3224</v>
      </c>
      <c r="D3267" t="e">
        <f t="shared" ca="1" si="102"/>
        <v>#NAME?</v>
      </c>
      <c r="E3267" s="115" t="e">
        <f t="array" aca="1" ref="E3267" ca="1">IF(OR(C3266=0,AND(B3268=0,C3268=0)),"",IFERROR(INDEX($F$27:$F$36,MATCH(C3267,($F$27:$F$36)*($D$27:$D$36&lt;&gt;0),0)),IF(OR(AND(D3267=0,B3267=0,B3268&lt;&gt;0),AND(D3267*D3266&lt;0,B3267&lt;&gt;0)),IF(D3267=0,C3267,C3267*(1-ABS(D3267)/(ABS(D3267)+ABS(D3266)))+C3266*(1-ABS(D3266)/(ABS(D3267)+ABS(D3266)))),"")))</f>
        <v>#NAME?</v>
      </c>
    </row>
    <row r="3268" spans="2:5" x14ac:dyDescent="0.25">
      <c r="B3268" t="e">
        <f t="shared" ca="1" si="103"/>
        <v>#NAME?</v>
      </c>
      <c r="C3268">
        <v>3225</v>
      </c>
      <c r="D3268" t="e">
        <f t="shared" ca="1" si="102"/>
        <v>#NAME?</v>
      </c>
      <c r="E3268" s="115" t="e">
        <f t="array" aca="1" ref="E3268" ca="1">IF(OR(C3267=0,AND(B3269=0,C3269=0)),"",IFERROR(INDEX($F$27:$F$36,MATCH(C3268,($F$27:$F$36)*($D$27:$D$36&lt;&gt;0),0)),IF(OR(AND(D3268=0,B3268=0,B3269&lt;&gt;0),AND(D3268*D3267&lt;0,B3268&lt;&gt;0)),IF(D3268=0,C3268,C3268*(1-ABS(D3268)/(ABS(D3268)+ABS(D3267)))+C3267*(1-ABS(D3267)/(ABS(D3268)+ABS(D3267)))),"")))</f>
        <v>#NAME?</v>
      </c>
    </row>
    <row r="3269" spans="2:5" x14ac:dyDescent="0.25">
      <c r="B3269" t="e">
        <f t="shared" ca="1" si="103"/>
        <v>#NAME?</v>
      </c>
      <c r="C3269">
        <v>3226</v>
      </c>
      <c r="D3269" t="e">
        <f t="shared" ca="1" si="102"/>
        <v>#NAME?</v>
      </c>
      <c r="E3269" s="115" t="e">
        <f t="array" aca="1" ref="E3269" ca="1">IF(OR(C3268=0,AND(B3270=0,C3270=0)),"",IFERROR(INDEX($F$27:$F$36,MATCH(C3269,($F$27:$F$36)*($D$27:$D$36&lt;&gt;0),0)),IF(OR(AND(D3269=0,B3269=0,B3270&lt;&gt;0),AND(D3269*D3268&lt;0,B3269&lt;&gt;0)),IF(D3269=0,C3269,C3269*(1-ABS(D3269)/(ABS(D3269)+ABS(D3268)))+C3268*(1-ABS(D3268)/(ABS(D3269)+ABS(D3268)))),"")))</f>
        <v>#NAME?</v>
      </c>
    </row>
    <row r="3270" spans="2:5" x14ac:dyDescent="0.25">
      <c r="B3270" t="e">
        <f t="shared" ca="1" si="103"/>
        <v>#NAME?</v>
      </c>
      <c r="C3270">
        <v>3227</v>
      </c>
      <c r="D3270" t="e">
        <f t="shared" ca="1" si="102"/>
        <v>#NAME?</v>
      </c>
      <c r="E3270" s="115" t="e">
        <f t="array" aca="1" ref="E3270" ca="1">IF(OR(C3269=0,AND(B3271=0,C3271=0)),"",IFERROR(INDEX($F$27:$F$36,MATCH(C3270,($F$27:$F$36)*($D$27:$D$36&lt;&gt;0),0)),IF(OR(AND(D3270=0,B3270=0,B3271&lt;&gt;0),AND(D3270*D3269&lt;0,B3270&lt;&gt;0)),IF(D3270=0,C3270,C3270*(1-ABS(D3270)/(ABS(D3270)+ABS(D3269)))+C3269*(1-ABS(D3269)/(ABS(D3270)+ABS(D3269)))),"")))</f>
        <v>#NAME?</v>
      </c>
    </row>
    <row r="3271" spans="2:5" x14ac:dyDescent="0.25">
      <c r="B3271" t="e">
        <f t="shared" ca="1" si="103"/>
        <v>#NAME?</v>
      </c>
      <c r="C3271">
        <v>3228</v>
      </c>
      <c r="D3271" t="e">
        <f t="shared" ca="1" si="102"/>
        <v>#NAME?</v>
      </c>
      <c r="E3271" s="115" t="e">
        <f t="array" aca="1" ref="E3271" ca="1">IF(OR(C3270=0,AND(B3272=0,C3272=0)),"",IFERROR(INDEX($F$27:$F$36,MATCH(C3271,($F$27:$F$36)*($D$27:$D$36&lt;&gt;0),0)),IF(OR(AND(D3271=0,B3271=0,B3272&lt;&gt;0),AND(D3271*D3270&lt;0,B3271&lt;&gt;0)),IF(D3271=0,C3271,C3271*(1-ABS(D3271)/(ABS(D3271)+ABS(D3270)))+C3270*(1-ABS(D3270)/(ABS(D3271)+ABS(D3270)))),"")))</f>
        <v>#NAME?</v>
      </c>
    </row>
    <row r="3272" spans="2:5" x14ac:dyDescent="0.25">
      <c r="B3272" t="e">
        <f t="shared" ca="1" si="103"/>
        <v>#NAME?</v>
      </c>
      <c r="C3272">
        <v>3229</v>
      </c>
      <c r="D3272" t="e">
        <f t="shared" ca="1" si="102"/>
        <v>#NAME?</v>
      </c>
      <c r="E3272" s="115" t="e">
        <f t="array" aca="1" ref="E3272" ca="1">IF(OR(C3271=0,AND(B3273=0,C3273=0)),"",IFERROR(INDEX($F$27:$F$36,MATCH(C3272,($F$27:$F$36)*($D$27:$D$36&lt;&gt;0),0)),IF(OR(AND(D3272=0,B3272=0,B3273&lt;&gt;0),AND(D3272*D3271&lt;0,B3272&lt;&gt;0)),IF(D3272=0,C3272,C3272*(1-ABS(D3272)/(ABS(D3272)+ABS(D3271)))+C3271*(1-ABS(D3271)/(ABS(D3272)+ABS(D3271)))),"")))</f>
        <v>#NAME?</v>
      </c>
    </row>
    <row r="3273" spans="2:5" x14ac:dyDescent="0.25">
      <c r="B3273" t="e">
        <f t="shared" ca="1" si="103"/>
        <v>#NAME?</v>
      </c>
      <c r="C3273">
        <v>3230</v>
      </c>
      <c r="D3273" t="e">
        <f t="shared" ca="1" si="102"/>
        <v>#NAME?</v>
      </c>
      <c r="E3273" s="115" t="e">
        <f t="array" aca="1" ref="E3273" ca="1">IF(OR(C3272=0,AND(B3274=0,C3274=0)),"",IFERROR(INDEX($F$27:$F$36,MATCH(C3273,($F$27:$F$36)*($D$27:$D$36&lt;&gt;0),0)),IF(OR(AND(D3273=0,B3273=0,B3274&lt;&gt;0),AND(D3273*D3272&lt;0,B3273&lt;&gt;0)),IF(D3273=0,C3273,C3273*(1-ABS(D3273)/(ABS(D3273)+ABS(D3272)))+C3272*(1-ABS(D3272)/(ABS(D3273)+ABS(D3272)))),"")))</f>
        <v>#NAME?</v>
      </c>
    </row>
    <row r="3274" spans="2:5" x14ac:dyDescent="0.25">
      <c r="B3274" t="e">
        <f t="shared" ca="1" si="103"/>
        <v>#NAME?</v>
      </c>
      <c r="C3274">
        <v>3231</v>
      </c>
      <c r="D3274" t="e">
        <f t="shared" ca="1" si="102"/>
        <v>#NAME?</v>
      </c>
      <c r="E3274" s="115" t="e">
        <f t="array" aca="1" ref="E3274" ca="1">IF(OR(C3273=0,AND(B3275=0,C3275=0)),"",IFERROR(INDEX($F$27:$F$36,MATCH(C3274,($F$27:$F$36)*($D$27:$D$36&lt;&gt;0),0)),IF(OR(AND(D3274=0,B3274=0,B3275&lt;&gt;0),AND(D3274*D3273&lt;0,B3274&lt;&gt;0)),IF(D3274=0,C3274,C3274*(1-ABS(D3274)/(ABS(D3274)+ABS(D3273)))+C3273*(1-ABS(D3273)/(ABS(D3274)+ABS(D3273)))),"")))</f>
        <v>#NAME?</v>
      </c>
    </row>
    <row r="3275" spans="2:5" x14ac:dyDescent="0.25">
      <c r="B3275" t="e">
        <f t="shared" ca="1" si="103"/>
        <v>#NAME?</v>
      </c>
      <c r="C3275">
        <v>3232</v>
      </c>
      <c r="D3275" t="e">
        <f t="shared" ca="1" si="102"/>
        <v>#NAME?</v>
      </c>
      <c r="E3275" s="115" t="e">
        <f t="array" aca="1" ref="E3275" ca="1">IF(OR(C3274=0,AND(B3276=0,C3276=0)),"",IFERROR(INDEX($F$27:$F$36,MATCH(C3275,($F$27:$F$36)*($D$27:$D$36&lt;&gt;0),0)),IF(OR(AND(D3275=0,B3275=0,B3276&lt;&gt;0),AND(D3275*D3274&lt;0,B3275&lt;&gt;0)),IF(D3275=0,C3275,C3275*(1-ABS(D3275)/(ABS(D3275)+ABS(D3274)))+C3274*(1-ABS(D3274)/(ABS(D3275)+ABS(D3274)))),"")))</f>
        <v>#NAME?</v>
      </c>
    </row>
    <row r="3276" spans="2:5" x14ac:dyDescent="0.25">
      <c r="B3276" t="e">
        <f t="shared" ca="1" si="103"/>
        <v>#NAME?</v>
      </c>
      <c r="C3276">
        <v>3233</v>
      </c>
      <c r="D3276" t="e">
        <f t="shared" ca="1" si="102"/>
        <v>#NAME?</v>
      </c>
      <c r="E3276" s="115" t="e">
        <f t="array" aca="1" ref="E3276" ca="1">IF(OR(C3275=0,AND(B3277=0,C3277=0)),"",IFERROR(INDEX($F$27:$F$36,MATCH(C3276,($F$27:$F$36)*($D$27:$D$36&lt;&gt;0),0)),IF(OR(AND(D3276=0,B3276=0,B3277&lt;&gt;0),AND(D3276*D3275&lt;0,B3276&lt;&gt;0)),IF(D3276=0,C3276,C3276*(1-ABS(D3276)/(ABS(D3276)+ABS(D3275)))+C3275*(1-ABS(D3275)/(ABS(D3276)+ABS(D3275)))),"")))</f>
        <v>#NAME?</v>
      </c>
    </row>
    <row r="3277" spans="2:5" x14ac:dyDescent="0.25">
      <c r="B3277" t="e">
        <f t="shared" ca="1" si="103"/>
        <v>#NAME?</v>
      </c>
      <c r="C3277">
        <v>3234</v>
      </c>
      <c r="D3277" t="e">
        <f t="shared" ca="1" si="102"/>
        <v>#NAME?</v>
      </c>
      <c r="E3277" s="115" t="e">
        <f t="array" aca="1" ref="E3277" ca="1">IF(OR(C3276=0,AND(B3278=0,C3278=0)),"",IFERROR(INDEX($F$27:$F$36,MATCH(C3277,($F$27:$F$36)*($D$27:$D$36&lt;&gt;0),0)),IF(OR(AND(D3277=0,B3277=0,B3278&lt;&gt;0),AND(D3277*D3276&lt;0,B3277&lt;&gt;0)),IF(D3277=0,C3277,C3277*(1-ABS(D3277)/(ABS(D3277)+ABS(D3276)))+C3276*(1-ABS(D3276)/(ABS(D3277)+ABS(D3276)))),"")))</f>
        <v>#NAME?</v>
      </c>
    </row>
    <row r="3278" spans="2:5" x14ac:dyDescent="0.25">
      <c r="B3278" t="e">
        <f t="shared" ca="1" si="103"/>
        <v>#NAME?</v>
      </c>
      <c r="C3278">
        <v>3235</v>
      </c>
      <c r="D3278" t="e">
        <f t="shared" ca="1" si="102"/>
        <v>#NAME?</v>
      </c>
      <c r="E3278" s="115" t="e">
        <f t="array" aca="1" ref="E3278" ca="1">IF(OR(C3277=0,AND(B3279=0,C3279=0)),"",IFERROR(INDEX($F$27:$F$36,MATCH(C3278,($F$27:$F$36)*($D$27:$D$36&lt;&gt;0),0)),IF(OR(AND(D3278=0,B3278=0,B3279&lt;&gt;0),AND(D3278*D3277&lt;0,B3278&lt;&gt;0)),IF(D3278=0,C3278,C3278*(1-ABS(D3278)/(ABS(D3278)+ABS(D3277)))+C3277*(1-ABS(D3277)/(ABS(D3278)+ABS(D3277)))),"")))</f>
        <v>#NAME?</v>
      </c>
    </row>
    <row r="3279" spans="2:5" x14ac:dyDescent="0.25">
      <c r="B3279" t="e">
        <f t="shared" ca="1" si="103"/>
        <v>#NAME?</v>
      </c>
      <c r="C3279">
        <v>3236</v>
      </c>
      <c r="D3279" t="e">
        <f t="shared" ca="1" si="102"/>
        <v>#NAME?</v>
      </c>
      <c r="E3279" s="115" t="e">
        <f t="array" aca="1" ref="E3279" ca="1">IF(OR(C3278=0,AND(B3280=0,C3280=0)),"",IFERROR(INDEX($F$27:$F$36,MATCH(C3279,($F$27:$F$36)*($D$27:$D$36&lt;&gt;0),0)),IF(OR(AND(D3279=0,B3279=0,B3280&lt;&gt;0),AND(D3279*D3278&lt;0,B3279&lt;&gt;0)),IF(D3279=0,C3279,C3279*(1-ABS(D3279)/(ABS(D3279)+ABS(D3278)))+C3278*(1-ABS(D3278)/(ABS(D3279)+ABS(D3278)))),"")))</f>
        <v>#NAME?</v>
      </c>
    </row>
    <row r="3280" spans="2:5" x14ac:dyDescent="0.25">
      <c r="B3280" t="e">
        <f t="shared" ca="1" si="103"/>
        <v>#NAME?</v>
      </c>
      <c r="C3280">
        <v>3237</v>
      </c>
      <c r="D3280" t="e">
        <f t="shared" ca="1" si="102"/>
        <v>#NAME?</v>
      </c>
      <c r="E3280" s="115" t="e">
        <f t="array" aca="1" ref="E3280" ca="1">IF(OR(C3279=0,AND(B3281=0,C3281=0)),"",IFERROR(INDEX($F$27:$F$36,MATCH(C3280,($F$27:$F$36)*($D$27:$D$36&lt;&gt;0),0)),IF(OR(AND(D3280=0,B3280=0,B3281&lt;&gt;0),AND(D3280*D3279&lt;0,B3280&lt;&gt;0)),IF(D3280=0,C3280,C3280*(1-ABS(D3280)/(ABS(D3280)+ABS(D3279)))+C3279*(1-ABS(D3279)/(ABS(D3280)+ABS(D3279)))),"")))</f>
        <v>#NAME?</v>
      </c>
    </row>
    <row r="3281" spans="2:5" x14ac:dyDescent="0.25">
      <c r="B3281" t="e">
        <f t="shared" ca="1" si="103"/>
        <v>#NAME?</v>
      </c>
      <c r="C3281">
        <v>3238</v>
      </c>
      <c r="D3281" t="e">
        <f t="shared" ca="1" si="102"/>
        <v>#NAME?</v>
      </c>
      <c r="E3281" s="115" t="e">
        <f t="array" aca="1" ref="E3281" ca="1">IF(OR(C3280=0,AND(B3282=0,C3282=0)),"",IFERROR(INDEX($F$27:$F$36,MATCH(C3281,($F$27:$F$36)*($D$27:$D$36&lt;&gt;0),0)),IF(OR(AND(D3281=0,B3281=0,B3282&lt;&gt;0),AND(D3281*D3280&lt;0,B3281&lt;&gt;0)),IF(D3281=0,C3281,C3281*(1-ABS(D3281)/(ABS(D3281)+ABS(D3280)))+C3280*(1-ABS(D3280)/(ABS(D3281)+ABS(D3280)))),"")))</f>
        <v>#NAME?</v>
      </c>
    </row>
    <row r="3282" spans="2:5" x14ac:dyDescent="0.25">
      <c r="B3282" t="e">
        <f t="shared" ca="1" si="103"/>
        <v>#NAME?</v>
      </c>
      <c r="C3282">
        <v>3239</v>
      </c>
      <c r="D3282" t="e">
        <f t="shared" ca="1" si="102"/>
        <v>#NAME?</v>
      </c>
      <c r="E3282" s="115" t="e">
        <f t="array" aca="1" ref="E3282" ca="1">IF(OR(C3281=0,AND(B3283=0,C3283=0)),"",IFERROR(INDEX($F$27:$F$36,MATCH(C3282,($F$27:$F$36)*($D$27:$D$36&lt;&gt;0),0)),IF(OR(AND(D3282=0,B3282=0,B3283&lt;&gt;0),AND(D3282*D3281&lt;0,B3282&lt;&gt;0)),IF(D3282=0,C3282,C3282*(1-ABS(D3282)/(ABS(D3282)+ABS(D3281)))+C3281*(1-ABS(D3281)/(ABS(D3282)+ABS(D3281)))),"")))</f>
        <v>#NAME?</v>
      </c>
    </row>
    <row r="3283" spans="2:5" x14ac:dyDescent="0.25">
      <c r="B3283" t="e">
        <f t="shared" ca="1" si="103"/>
        <v>#NAME?</v>
      </c>
      <c r="C3283">
        <v>3240</v>
      </c>
      <c r="D3283" t="e">
        <f t="shared" ca="1" si="102"/>
        <v>#NAME?</v>
      </c>
      <c r="E3283" s="115" t="e">
        <f t="array" aca="1" ref="E3283" ca="1">IF(OR(C3282=0,AND(B3284=0,C3284=0)),"",IFERROR(INDEX($F$27:$F$36,MATCH(C3283,($F$27:$F$36)*($D$27:$D$36&lt;&gt;0),0)),IF(OR(AND(D3283=0,B3283=0,B3284&lt;&gt;0),AND(D3283*D3282&lt;0,B3283&lt;&gt;0)),IF(D3283=0,C3283,C3283*(1-ABS(D3283)/(ABS(D3283)+ABS(D3282)))+C3282*(1-ABS(D3282)/(ABS(D3283)+ABS(D3282)))),"")))</f>
        <v>#NAME?</v>
      </c>
    </row>
    <row r="3284" spans="2:5" x14ac:dyDescent="0.25">
      <c r="B3284" t="e">
        <f t="shared" ca="1" si="103"/>
        <v>#NAME?</v>
      </c>
      <c r="C3284">
        <v>3241</v>
      </c>
      <c r="D3284" t="e">
        <f t="shared" ca="1" si="102"/>
        <v>#NAME?</v>
      </c>
      <c r="E3284" s="115" t="e">
        <f t="array" aca="1" ref="E3284" ca="1">IF(OR(C3283=0,AND(B3285=0,C3285=0)),"",IFERROR(INDEX($F$27:$F$36,MATCH(C3284,($F$27:$F$36)*($D$27:$D$36&lt;&gt;0),0)),IF(OR(AND(D3284=0,B3284=0,B3285&lt;&gt;0),AND(D3284*D3283&lt;0,B3284&lt;&gt;0)),IF(D3284=0,C3284,C3284*(1-ABS(D3284)/(ABS(D3284)+ABS(D3283)))+C3283*(1-ABS(D3283)/(ABS(D3284)+ABS(D3283)))),"")))</f>
        <v>#NAME?</v>
      </c>
    </row>
    <row r="3285" spans="2:5" x14ac:dyDescent="0.25">
      <c r="B3285" t="e">
        <f t="shared" ca="1" si="103"/>
        <v>#NAME?</v>
      </c>
      <c r="C3285">
        <v>3242</v>
      </c>
      <c r="D3285" t="e">
        <f t="shared" ca="1" si="102"/>
        <v>#NAME?</v>
      </c>
      <c r="E3285" s="115" t="e">
        <f t="array" aca="1" ref="E3285" ca="1">IF(OR(C3284=0,AND(B3286=0,C3286=0)),"",IFERROR(INDEX($F$27:$F$36,MATCH(C3285,($F$27:$F$36)*($D$27:$D$36&lt;&gt;0),0)),IF(OR(AND(D3285=0,B3285=0,B3286&lt;&gt;0),AND(D3285*D3284&lt;0,B3285&lt;&gt;0)),IF(D3285=0,C3285,C3285*(1-ABS(D3285)/(ABS(D3285)+ABS(D3284)))+C3284*(1-ABS(D3284)/(ABS(D3285)+ABS(D3284)))),"")))</f>
        <v>#NAME?</v>
      </c>
    </row>
    <row r="3286" spans="2:5" x14ac:dyDescent="0.25">
      <c r="B3286" t="e">
        <f t="shared" ca="1" si="103"/>
        <v>#NAME?</v>
      </c>
      <c r="C3286">
        <v>3243</v>
      </c>
      <c r="D3286" t="e">
        <f t="shared" ca="1" si="102"/>
        <v>#NAME?</v>
      </c>
      <c r="E3286" s="115" t="e">
        <f t="array" aca="1" ref="E3286" ca="1">IF(OR(C3285=0,AND(B3287=0,C3287=0)),"",IFERROR(INDEX($F$27:$F$36,MATCH(C3286,($F$27:$F$36)*($D$27:$D$36&lt;&gt;0),0)),IF(OR(AND(D3286=0,B3286=0,B3287&lt;&gt;0),AND(D3286*D3285&lt;0,B3286&lt;&gt;0)),IF(D3286=0,C3286,C3286*(1-ABS(D3286)/(ABS(D3286)+ABS(D3285)))+C3285*(1-ABS(D3285)/(ABS(D3286)+ABS(D3285)))),"")))</f>
        <v>#NAME?</v>
      </c>
    </row>
    <row r="3287" spans="2:5" x14ac:dyDescent="0.25">
      <c r="B3287" t="e">
        <f t="shared" ca="1" si="103"/>
        <v>#NAME?</v>
      </c>
      <c r="C3287">
        <v>3244</v>
      </c>
      <c r="D3287" t="e">
        <f t="shared" ca="1" si="102"/>
        <v>#NAME?</v>
      </c>
      <c r="E3287" s="115" t="e">
        <f t="array" aca="1" ref="E3287" ca="1">IF(OR(C3286=0,AND(B3288=0,C3288=0)),"",IFERROR(INDEX($F$27:$F$36,MATCH(C3287,($F$27:$F$36)*($D$27:$D$36&lt;&gt;0),0)),IF(OR(AND(D3287=0,B3287=0,B3288&lt;&gt;0),AND(D3287*D3286&lt;0,B3287&lt;&gt;0)),IF(D3287=0,C3287,C3287*(1-ABS(D3287)/(ABS(D3287)+ABS(D3286)))+C3286*(1-ABS(D3286)/(ABS(D3287)+ABS(D3286)))),"")))</f>
        <v>#NAME?</v>
      </c>
    </row>
    <row r="3288" spans="2:5" x14ac:dyDescent="0.25">
      <c r="B3288" t="e">
        <f t="shared" ca="1" si="103"/>
        <v>#NAME?</v>
      </c>
      <c r="C3288">
        <v>3245</v>
      </c>
      <c r="D3288" t="e">
        <f t="shared" ca="1" si="102"/>
        <v>#NAME?</v>
      </c>
      <c r="E3288" s="115" t="e">
        <f t="array" aca="1" ref="E3288" ca="1">IF(OR(C3287=0,AND(B3289=0,C3289=0)),"",IFERROR(INDEX($F$27:$F$36,MATCH(C3288,($F$27:$F$36)*($D$27:$D$36&lt;&gt;0),0)),IF(OR(AND(D3288=0,B3288=0,B3289&lt;&gt;0),AND(D3288*D3287&lt;0,B3288&lt;&gt;0)),IF(D3288=0,C3288,C3288*(1-ABS(D3288)/(ABS(D3288)+ABS(D3287)))+C3287*(1-ABS(D3287)/(ABS(D3288)+ABS(D3287)))),"")))</f>
        <v>#NAME?</v>
      </c>
    </row>
    <row r="3289" spans="2:5" x14ac:dyDescent="0.25">
      <c r="B3289" t="e">
        <f t="shared" ca="1" si="103"/>
        <v>#NAME?</v>
      </c>
      <c r="C3289">
        <v>3246</v>
      </c>
      <c r="D3289" t="e">
        <f t="shared" ca="1" si="102"/>
        <v>#NAME?</v>
      </c>
      <c r="E3289" s="115" t="e">
        <f t="array" aca="1" ref="E3289" ca="1">IF(OR(C3288=0,AND(B3290=0,C3290=0)),"",IFERROR(INDEX($F$27:$F$36,MATCH(C3289,($F$27:$F$36)*($D$27:$D$36&lt;&gt;0),0)),IF(OR(AND(D3289=0,B3289=0,B3290&lt;&gt;0),AND(D3289*D3288&lt;0,B3289&lt;&gt;0)),IF(D3289=0,C3289,C3289*(1-ABS(D3289)/(ABS(D3289)+ABS(D3288)))+C3288*(1-ABS(D3288)/(ABS(D3289)+ABS(D3288)))),"")))</f>
        <v>#NAME?</v>
      </c>
    </row>
    <row r="3290" spans="2:5" x14ac:dyDescent="0.25">
      <c r="B3290" t="e">
        <f t="shared" ca="1" si="103"/>
        <v>#NAME?</v>
      </c>
      <c r="C3290">
        <v>3247</v>
      </c>
      <c r="D3290" t="e">
        <f t="shared" ca="1" si="102"/>
        <v>#NAME?</v>
      </c>
      <c r="E3290" s="115" t="e">
        <f t="array" aca="1" ref="E3290" ca="1">IF(OR(C3289=0,AND(B3291=0,C3291=0)),"",IFERROR(INDEX($F$27:$F$36,MATCH(C3290,($F$27:$F$36)*($D$27:$D$36&lt;&gt;0),0)),IF(OR(AND(D3290=0,B3290=0,B3291&lt;&gt;0),AND(D3290*D3289&lt;0,B3290&lt;&gt;0)),IF(D3290=0,C3290,C3290*(1-ABS(D3290)/(ABS(D3290)+ABS(D3289)))+C3289*(1-ABS(D3289)/(ABS(D3290)+ABS(D3289)))),"")))</f>
        <v>#NAME?</v>
      </c>
    </row>
    <row r="3291" spans="2:5" x14ac:dyDescent="0.25">
      <c r="B3291" t="e">
        <f t="shared" ca="1" si="103"/>
        <v>#NAME?</v>
      </c>
      <c r="C3291">
        <v>3248</v>
      </c>
      <c r="D3291" t="e">
        <f t="shared" ca="1" si="102"/>
        <v>#NAME?</v>
      </c>
      <c r="E3291" s="115" t="e">
        <f t="array" aca="1" ref="E3291" ca="1">IF(OR(C3290=0,AND(B3292=0,C3292=0)),"",IFERROR(INDEX($F$27:$F$36,MATCH(C3291,($F$27:$F$36)*($D$27:$D$36&lt;&gt;0),0)),IF(OR(AND(D3291=0,B3291=0,B3292&lt;&gt;0),AND(D3291*D3290&lt;0,B3291&lt;&gt;0)),IF(D3291=0,C3291,C3291*(1-ABS(D3291)/(ABS(D3291)+ABS(D3290)))+C3290*(1-ABS(D3290)/(ABS(D3291)+ABS(D3290)))),"")))</f>
        <v>#NAME?</v>
      </c>
    </row>
    <row r="3292" spans="2:5" x14ac:dyDescent="0.25">
      <c r="B3292" t="e">
        <f t="shared" ca="1" si="103"/>
        <v>#NAME?</v>
      </c>
      <c r="C3292">
        <v>3249</v>
      </c>
      <c r="D3292" t="e">
        <f t="shared" ca="1" si="102"/>
        <v>#NAME?</v>
      </c>
      <c r="E3292" s="115" t="e">
        <f t="array" aca="1" ref="E3292" ca="1">IF(OR(C3291=0,AND(B3293=0,C3293=0)),"",IFERROR(INDEX($F$27:$F$36,MATCH(C3292,($F$27:$F$36)*($D$27:$D$36&lt;&gt;0),0)),IF(OR(AND(D3292=0,B3292=0,B3293&lt;&gt;0),AND(D3292*D3291&lt;0,B3292&lt;&gt;0)),IF(D3292=0,C3292,C3292*(1-ABS(D3292)/(ABS(D3292)+ABS(D3291)))+C3291*(1-ABS(D3291)/(ABS(D3292)+ABS(D3291)))),"")))</f>
        <v>#NAME?</v>
      </c>
    </row>
    <row r="3293" spans="2:5" x14ac:dyDescent="0.25">
      <c r="B3293" t="e">
        <f t="shared" ca="1" si="103"/>
        <v>#NAME?</v>
      </c>
      <c r="C3293">
        <v>3250</v>
      </c>
      <c r="D3293" t="e">
        <f t="shared" ca="1" si="102"/>
        <v>#NAME?</v>
      </c>
      <c r="E3293" s="115" t="e">
        <f t="array" aca="1" ref="E3293" ca="1">IF(OR(C3292=0,AND(B3294=0,C3294=0)),"",IFERROR(INDEX($F$27:$F$36,MATCH(C3293,($F$27:$F$36)*($D$27:$D$36&lt;&gt;0),0)),IF(OR(AND(D3293=0,B3293=0,B3294&lt;&gt;0),AND(D3293*D3292&lt;0,B3293&lt;&gt;0)),IF(D3293=0,C3293,C3293*(1-ABS(D3293)/(ABS(D3293)+ABS(D3292)))+C3292*(1-ABS(D3292)/(ABS(D3293)+ABS(D3292)))),"")))</f>
        <v>#NAME?</v>
      </c>
    </row>
    <row r="3294" spans="2:5" x14ac:dyDescent="0.25">
      <c r="B3294" t="e">
        <f t="shared" ca="1" si="103"/>
        <v>#NAME?</v>
      </c>
      <c r="C3294">
        <v>3251</v>
      </c>
      <c r="D3294" t="e">
        <f t="shared" ca="1" si="102"/>
        <v>#NAME?</v>
      </c>
      <c r="E3294" s="115" t="e">
        <f t="array" aca="1" ref="E3294" ca="1">IF(OR(C3293=0,AND(B3295=0,C3295=0)),"",IFERROR(INDEX($F$27:$F$36,MATCH(C3294,($F$27:$F$36)*($D$27:$D$36&lt;&gt;0),0)),IF(OR(AND(D3294=0,B3294=0,B3295&lt;&gt;0),AND(D3294*D3293&lt;0,B3294&lt;&gt;0)),IF(D3294=0,C3294,C3294*(1-ABS(D3294)/(ABS(D3294)+ABS(D3293)))+C3293*(1-ABS(D3293)/(ABS(D3294)+ABS(D3293)))),"")))</f>
        <v>#NAME?</v>
      </c>
    </row>
    <row r="3295" spans="2:5" x14ac:dyDescent="0.25">
      <c r="B3295" t="e">
        <f t="shared" ca="1" si="103"/>
        <v>#NAME?</v>
      </c>
      <c r="C3295">
        <v>3252</v>
      </c>
      <c r="D3295" t="e">
        <f t="shared" ca="1" si="102"/>
        <v>#NAME?</v>
      </c>
      <c r="E3295" s="115" t="e">
        <f t="array" aca="1" ref="E3295" ca="1">IF(OR(C3294=0,AND(B3296=0,C3296=0)),"",IFERROR(INDEX($F$27:$F$36,MATCH(C3295,($F$27:$F$36)*($D$27:$D$36&lt;&gt;0),0)),IF(OR(AND(D3295=0,B3295=0,B3296&lt;&gt;0),AND(D3295*D3294&lt;0,B3295&lt;&gt;0)),IF(D3295=0,C3295,C3295*(1-ABS(D3295)/(ABS(D3295)+ABS(D3294)))+C3294*(1-ABS(D3294)/(ABS(D3295)+ABS(D3294)))),"")))</f>
        <v>#NAME?</v>
      </c>
    </row>
    <row r="3296" spans="2:5" x14ac:dyDescent="0.25">
      <c r="B3296" t="e">
        <f t="shared" ca="1" si="103"/>
        <v>#NAME?</v>
      </c>
      <c r="C3296">
        <v>3253</v>
      </c>
      <c r="D3296" t="e">
        <f t="shared" ca="1" si="102"/>
        <v>#NAME?</v>
      </c>
      <c r="E3296" s="115" t="e">
        <f t="array" aca="1" ref="E3296" ca="1">IF(OR(C3295=0,AND(B3297=0,C3297=0)),"",IFERROR(INDEX($F$27:$F$36,MATCH(C3296,($F$27:$F$36)*($D$27:$D$36&lt;&gt;0),0)),IF(OR(AND(D3296=0,B3296=0,B3297&lt;&gt;0),AND(D3296*D3295&lt;0,B3296&lt;&gt;0)),IF(D3296=0,C3296,C3296*(1-ABS(D3296)/(ABS(D3296)+ABS(D3295)))+C3295*(1-ABS(D3295)/(ABS(D3296)+ABS(D3295)))),"")))</f>
        <v>#NAME?</v>
      </c>
    </row>
    <row r="3297" spans="2:5" x14ac:dyDescent="0.25">
      <c r="B3297" t="e">
        <f t="shared" ca="1" si="103"/>
        <v>#NAME?</v>
      </c>
      <c r="C3297">
        <v>3254</v>
      </c>
      <c r="D3297" t="e">
        <f t="shared" ca="1" si="102"/>
        <v>#NAME?</v>
      </c>
      <c r="E3297" s="115" t="e">
        <f t="array" aca="1" ref="E3297" ca="1">IF(OR(C3296=0,AND(B3298=0,C3298=0)),"",IFERROR(INDEX($F$27:$F$36,MATCH(C3297,($F$27:$F$36)*($D$27:$D$36&lt;&gt;0),0)),IF(OR(AND(D3297=0,B3297=0,B3298&lt;&gt;0),AND(D3297*D3296&lt;0,B3297&lt;&gt;0)),IF(D3297=0,C3297,C3297*(1-ABS(D3297)/(ABS(D3297)+ABS(D3296)))+C3296*(1-ABS(D3296)/(ABS(D3297)+ABS(D3296)))),"")))</f>
        <v>#NAME?</v>
      </c>
    </row>
    <row r="3298" spans="2:5" x14ac:dyDescent="0.25">
      <c r="B3298" t="e">
        <f t="shared" ca="1" si="103"/>
        <v>#NAME?</v>
      </c>
      <c r="C3298">
        <v>3255</v>
      </c>
      <c r="D3298" t="e">
        <f t="shared" ca="1" si="102"/>
        <v>#NAME?</v>
      </c>
      <c r="E3298" s="115" t="e">
        <f t="array" aca="1" ref="E3298" ca="1">IF(OR(C3297=0,AND(B3299=0,C3299=0)),"",IFERROR(INDEX($F$27:$F$36,MATCH(C3298,($F$27:$F$36)*($D$27:$D$36&lt;&gt;0),0)),IF(OR(AND(D3298=0,B3298=0,B3299&lt;&gt;0),AND(D3298*D3297&lt;0,B3298&lt;&gt;0)),IF(D3298=0,C3298,C3298*(1-ABS(D3298)/(ABS(D3298)+ABS(D3297)))+C3297*(1-ABS(D3297)/(ABS(D3298)+ABS(D3297)))),"")))</f>
        <v>#NAME?</v>
      </c>
    </row>
    <row r="3299" spans="2:5" x14ac:dyDescent="0.25">
      <c r="B3299" t="e">
        <f t="shared" ca="1" si="103"/>
        <v>#NAME?</v>
      </c>
      <c r="C3299">
        <v>3256</v>
      </c>
      <c r="D3299" t="e">
        <f t="shared" ca="1" si="102"/>
        <v>#NAME?</v>
      </c>
      <c r="E3299" s="115" t="e">
        <f t="array" aca="1" ref="E3299" ca="1">IF(OR(C3298=0,AND(B3300=0,C3300=0)),"",IFERROR(INDEX($F$27:$F$36,MATCH(C3299,($F$27:$F$36)*($D$27:$D$36&lt;&gt;0),0)),IF(OR(AND(D3299=0,B3299=0,B3300&lt;&gt;0),AND(D3299*D3298&lt;0,B3299&lt;&gt;0)),IF(D3299=0,C3299,C3299*(1-ABS(D3299)/(ABS(D3299)+ABS(D3298)))+C3298*(1-ABS(D3298)/(ABS(D3299)+ABS(D3298)))),"")))</f>
        <v>#NAME?</v>
      </c>
    </row>
    <row r="3300" spans="2:5" x14ac:dyDescent="0.25">
      <c r="B3300" t="e">
        <f t="shared" ca="1" si="103"/>
        <v>#NAME?</v>
      </c>
      <c r="C3300">
        <v>3257</v>
      </c>
      <c r="D3300" t="e">
        <f t="shared" ca="1" si="102"/>
        <v>#NAME?</v>
      </c>
      <c r="E3300" s="115" t="e">
        <f t="array" aca="1" ref="E3300" ca="1">IF(OR(C3299=0,AND(B3301=0,C3301=0)),"",IFERROR(INDEX($F$27:$F$36,MATCH(C3300,($F$27:$F$36)*($D$27:$D$36&lt;&gt;0),0)),IF(OR(AND(D3300=0,B3300=0,B3301&lt;&gt;0),AND(D3300*D3299&lt;0,B3300&lt;&gt;0)),IF(D3300=0,C3300,C3300*(1-ABS(D3300)/(ABS(D3300)+ABS(D3299)))+C3299*(1-ABS(D3299)/(ABS(D3300)+ABS(D3299)))),"")))</f>
        <v>#NAME?</v>
      </c>
    </row>
    <row r="3301" spans="2:5" x14ac:dyDescent="0.25">
      <c r="B3301" t="e">
        <f t="shared" ca="1" si="103"/>
        <v>#NAME?</v>
      </c>
      <c r="C3301">
        <v>3258</v>
      </c>
      <c r="D3301" t="e">
        <f t="shared" ca="1" si="102"/>
        <v>#NAME?</v>
      </c>
      <c r="E3301" s="115" t="e">
        <f t="array" aca="1" ref="E3301" ca="1">IF(OR(C3300=0,AND(B3302=0,C3302=0)),"",IFERROR(INDEX($F$27:$F$36,MATCH(C3301,($F$27:$F$36)*($D$27:$D$36&lt;&gt;0),0)),IF(OR(AND(D3301=0,B3301=0,B3302&lt;&gt;0),AND(D3301*D3300&lt;0,B3301&lt;&gt;0)),IF(D3301=0,C3301,C3301*(1-ABS(D3301)/(ABS(D3301)+ABS(D3300)))+C3300*(1-ABS(D3300)/(ABS(D3301)+ABS(D3300)))),"")))</f>
        <v>#NAME?</v>
      </c>
    </row>
    <row r="3302" spans="2:5" x14ac:dyDescent="0.25">
      <c r="B3302" t="e">
        <f t="shared" ca="1" si="103"/>
        <v>#NAME?</v>
      </c>
      <c r="C3302">
        <v>3259</v>
      </c>
      <c r="D3302" t="e">
        <f t="shared" ca="1" si="102"/>
        <v>#NAME?</v>
      </c>
      <c r="E3302" s="115" t="e">
        <f t="array" aca="1" ref="E3302" ca="1">IF(OR(C3301=0,AND(B3303=0,C3303=0)),"",IFERROR(INDEX($F$27:$F$36,MATCH(C3302,($F$27:$F$36)*($D$27:$D$36&lt;&gt;0),0)),IF(OR(AND(D3302=0,B3302=0,B3303&lt;&gt;0),AND(D3302*D3301&lt;0,B3302&lt;&gt;0)),IF(D3302=0,C3302,C3302*(1-ABS(D3302)/(ABS(D3302)+ABS(D3301)))+C3301*(1-ABS(D3301)/(ABS(D3302)+ABS(D3301)))),"")))</f>
        <v>#NAME?</v>
      </c>
    </row>
    <row r="3303" spans="2:5" x14ac:dyDescent="0.25">
      <c r="B3303" t="e">
        <f t="shared" ca="1" si="103"/>
        <v>#NAME?</v>
      </c>
      <c r="C3303">
        <v>3260</v>
      </c>
      <c r="D3303" t="e">
        <f t="shared" ca="1" si="102"/>
        <v>#NAME?</v>
      </c>
      <c r="E3303" s="115" t="e">
        <f t="array" aca="1" ref="E3303" ca="1">IF(OR(C3302=0,AND(B3304=0,C3304=0)),"",IFERROR(INDEX($F$27:$F$36,MATCH(C3303,($F$27:$F$36)*($D$27:$D$36&lt;&gt;0),0)),IF(OR(AND(D3303=0,B3303=0,B3304&lt;&gt;0),AND(D3303*D3302&lt;0,B3303&lt;&gt;0)),IF(D3303=0,C3303,C3303*(1-ABS(D3303)/(ABS(D3303)+ABS(D3302)))+C3302*(1-ABS(D3302)/(ABS(D3303)+ABS(D3302)))),"")))</f>
        <v>#NAME?</v>
      </c>
    </row>
    <row r="3304" spans="2:5" x14ac:dyDescent="0.25">
      <c r="B3304" t="e">
        <f t="shared" ca="1" si="103"/>
        <v>#NAME?</v>
      </c>
      <c r="C3304">
        <v>3261</v>
      </c>
      <c r="D3304" t="e">
        <f t="shared" ca="1" si="102"/>
        <v>#NAME?</v>
      </c>
      <c r="E3304" s="115" t="e">
        <f t="array" aca="1" ref="E3304" ca="1">IF(OR(C3303=0,AND(B3305=0,C3305=0)),"",IFERROR(INDEX($F$27:$F$36,MATCH(C3304,($F$27:$F$36)*($D$27:$D$36&lt;&gt;0),0)),IF(OR(AND(D3304=0,B3304=0,B3305&lt;&gt;0),AND(D3304*D3303&lt;0,B3304&lt;&gt;0)),IF(D3304=0,C3304,C3304*(1-ABS(D3304)/(ABS(D3304)+ABS(D3303)))+C3303*(1-ABS(D3303)/(ABS(D3304)+ABS(D3303)))),"")))</f>
        <v>#NAME?</v>
      </c>
    </row>
    <row r="3305" spans="2:5" x14ac:dyDescent="0.25">
      <c r="B3305" t="e">
        <f t="shared" ca="1" si="103"/>
        <v>#NAME?</v>
      </c>
      <c r="C3305">
        <v>3262</v>
      </c>
      <c r="D3305" t="e">
        <f t="shared" ca="1" si="102"/>
        <v>#NAME?</v>
      </c>
      <c r="E3305" s="115" t="e">
        <f t="array" aca="1" ref="E3305" ca="1">IF(OR(C3304=0,AND(B3306=0,C3306=0)),"",IFERROR(INDEX($F$27:$F$36,MATCH(C3305,($F$27:$F$36)*($D$27:$D$36&lt;&gt;0),0)),IF(OR(AND(D3305=0,B3305=0,B3306&lt;&gt;0),AND(D3305*D3304&lt;0,B3305&lt;&gt;0)),IF(D3305=0,C3305,C3305*(1-ABS(D3305)/(ABS(D3305)+ABS(D3304)))+C3304*(1-ABS(D3304)/(ABS(D3305)+ABS(D3304)))),"")))</f>
        <v>#NAME?</v>
      </c>
    </row>
    <row r="3306" spans="2:5" x14ac:dyDescent="0.25">
      <c r="B3306" t="e">
        <f t="shared" ca="1" si="103"/>
        <v>#NAME?</v>
      </c>
      <c r="C3306">
        <v>3263</v>
      </c>
      <c r="D3306" t="e">
        <f t="shared" ca="1" si="102"/>
        <v>#NAME?</v>
      </c>
      <c r="E3306" s="115" t="e">
        <f t="array" aca="1" ref="E3306" ca="1">IF(OR(C3305=0,AND(B3307=0,C3307=0)),"",IFERROR(INDEX($F$27:$F$36,MATCH(C3306,($F$27:$F$36)*($D$27:$D$36&lt;&gt;0),0)),IF(OR(AND(D3306=0,B3306=0,B3307&lt;&gt;0),AND(D3306*D3305&lt;0,B3306&lt;&gt;0)),IF(D3306=0,C3306,C3306*(1-ABS(D3306)/(ABS(D3306)+ABS(D3305)))+C3305*(1-ABS(D3305)/(ABS(D3306)+ABS(D3305)))),"")))</f>
        <v>#NAME?</v>
      </c>
    </row>
    <row r="3307" spans="2:5" x14ac:dyDescent="0.25">
      <c r="B3307" t="e">
        <f t="shared" ca="1" si="103"/>
        <v>#NAME?</v>
      </c>
      <c r="C3307">
        <v>3264</v>
      </c>
      <c r="D3307" t="e">
        <f t="shared" ref="D3307:D3370" ca="1" si="104">SUMPRODUCT(--($J$27:$J$37&gt;0),--($C3307-$F$27:$F$37&gt;0),($D$27:$D$37),($C3307-$F$27:$F$37))+SUMPRODUCT(--($J$27:$J$37&lt;0),--($F$27:$F$37-$C3307&gt;0),($D$27:$D$37),($F$27:$F$37-$C3307))-SUMPRODUCT($D$27:$D$37,$E$27:$E$37)</f>
        <v>#NAME?</v>
      </c>
      <c r="E3307" s="115" t="e">
        <f t="array" aca="1" ref="E3307" ca="1">IF(OR(C3306=0,AND(B3308=0,C3308=0)),"",IFERROR(INDEX($F$27:$F$36,MATCH(C3307,($F$27:$F$36)*($D$27:$D$36&lt;&gt;0),0)),IF(OR(AND(D3307=0,B3307=0,B3308&lt;&gt;0),AND(D3307*D3306&lt;0,B3307&lt;&gt;0)),IF(D3307=0,C3307,C3307*(1-ABS(D3307)/(ABS(D3307)+ABS(D3306)))+C3306*(1-ABS(D3306)/(ABS(D3307)+ABS(D3306)))),"")))</f>
        <v>#NAME?</v>
      </c>
    </row>
    <row r="3308" spans="2:5" x14ac:dyDescent="0.25">
      <c r="B3308" t="e">
        <f t="shared" ref="B3308:B3371" ca="1" si="105">ROUND((D3308-D3307)/(C3308-C3307),12)</f>
        <v>#NAME?</v>
      </c>
      <c r="C3308">
        <v>3265</v>
      </c>
      <c r="D3308" t="e">
        <f t="shared" ca="1" si="104"/>
        <v>#NAME?</v>
      </c>
      <c r="E3308" s="115" t="e">
        <f t="array" aca="1" ref="E3308" ca="1">IF(OR(C3307=0,AND(B3309=0,C3309=0)),"",IFERROR(INDEX($F$27:$F$36,MATCH(C3308,($F$27:$F$36)*($D$27:$D$36&lt;&gt;0),0)),IF(OR(AND(D3308=0,B3308=0,B3309&lt;&gt;0),AND(D3308*D3307&lt;0,B3308&lt;&gt;0)),IF(D3308=0,C3308,C3308*(1-ABS(D3308)/(ABS(D3308)+ABS(D3307)))+C3307*(1-ABS(D3307)/(ABS(D3308)+ABS(D3307)))),"")))</f>
        <v>#NAME?</v>
      </c>
    </row>
    <row r="3309" spans="2:5" x14ac:dyDescent="0.25">
      <c r="B3309" t="e">
        <f t="shared" ca="1" si="105"/>
        <v>#NAME?</v>
      </c>
      <c r="C3309">
        <v>3266</v>
      </c>
      <c r="D3309" t="e">
        <f t="shared" ca="1" si="104"/>
        <v>#NAME?</v>
      </c>
      <c r="E3309" s="115" t="e">
        <f t="array" aca="1" ref="E3309" ca="1">IF(OR(C3308=0,AND(B3310=0,C3310=0)),"",IFERROR(INDEX($F$27:$F$36,MATCH(C3309,($F$27:$F$36)*($D$27:$D$36&lt;&gt;0),0)),IF(OR(AND(D3309=0,B3309=0,B3310&lt;&gt;0),AND(D3309*D3308&lt;0,B3309&lt;&gt;0)),IF(D3309=0,C3309,C3309*(1-ABS(D3309)/(ABS(D3309)+ABS(D3308)))+C3308*(1-ABS(D3308)/(ABS(D3309)+ABS(D3308)))),"")))</f>
        <v>#NAME?</v>
      </c>
    </row>
    <row r="3310" spans="2:5" x14ac:dyDescent="0.25">
      <c r="B3310" t="e">
        <f t="shared" ca="1" si="105"/>
        <v>#NAME?</v>
      </c>
      <c r="C3310">
        <v>3267</v>
      </c>
      <c r="D3310" t="e">
        <f t="shared" ca="1" si="104"/>
        <v>#NAME?</v>
      </c>
      <c r="E3310" s="115" t="e">
        <f t="array" aca="1" ref="E3310" ca="1">IF(OR(C3309=0,AND(B3311=0,C3311=0)),"",IFERROR(INDEX($F$27:$F$36,MATCH(C3310,($F$27:$F$36)*($D$27:$D$36&lt;&gt;0),0)),IF(OR(AND(D3310=0,B3310=0,B3311&lt;&gt;0),AND(D3310*D3309&lt;0,B3310&lt;&gt;0)),IF(D3310=0,C3310,C3310*(1-ABS(D3310)/(ABS(D3310)+ABS(D3309)))+C3309*(1-ABS(D3309)/(ABS(D3310)+ABS(D3309)))),"")))</f>
        <v>#NAME?</v>
      </c>
    </row>
    <row r="3311" spans="2:5" x14ac:dyDescent="0.25">
      <c r="B3311" t="e">
        <f t="shared" ca="1" si="105"/>
        <v>#NAME?</v>
      </c>
      <c r="C3311">
        <v>3268</v>
      </c>
      <c r="D3311" t="e">
        <f t="shared" ca="1" si="104"/>
        <v>#NAME?</v>
      </c>
      <c r="E3311" s="115" t="e">
        <f t="array" aca="1" ref="E3311" ca="1">IF(OR(C3310=0,AND(B3312=0,C3312=0)),"",IFERROR(INDEX($F$27:$F$36,MATCH(C3311,($F$27:$F$36)*($D$27:$D$36&lt;&gt;0),0)),IF(OR(AND(D3311=0,B3311=0,B3312&lt;&gt;0),AND(D3311*D3310&lt;0,B3311&lt;&gt;0)),IF(D3311=0,C3311,C3311*(1-ABS(D3311)/(ABS(D3311)+ABS(D3310)))+C3310*(1-ABS(D3310)/(ABS(D3311)+ABS(D3310)))),"")))</f>
        <v>#NAME?</v>
      </c>
    </row>
    <row r="3312" spans="2:5" x14ac:dyDescent="0.25">
      <c r="B3312" t="e">
        <f t="shared" ca="1" si="105"/>
        <v>#NAME?</v>
      </c>
      <c r="C3312">
        <v>3269</v>
      </c>
      <c r="D3312" t="e">
        <f t="shared" ca="1" si="104"/>
        <v>#NAME?</v>
      </c>
      <c r="E3312" s="115" t="e">
        <f t="array" aca="1" ref="E3312" ca="1">IF(OR(C3311=0,AND(B3313=0,C3313=0)),"",IFERROR(INDEX($F$27:$F$36,MATCH(C3312,($F$27:$F$36)*($D$27:$D$36&lt;&gt;0),0)),IF(OR(AND(D3312=0,B3312=0,B3313&lt;&gt;0),AND(D3312*D3311&lt;0,B3312&lt;&gt;0)),IF(D3312=0,C3312,C3312*(1-ABS(D3312)/(ABS(D3312)+ABS(D3311)))+C3311*(1-ABS(D3311)/(ABS(D3312)+ABS(D3311)))),"")))</f>
        <v>#NAME?</v>
      </c>
    </row>
    <row r="3313" spans="2:5" x14ac:dyDescent="0.25">
      <c r="B3313" t="e">
        <f t="shared" ca="1" si="105"/>
        <v>#NAME?</v>
      </c>
      <c r="C3313">
        <v>3270</v>
      </c>
      <c r="D3313" t="e">
        <f t="shared" ca="1" si="104"/>
        <v>#NAME?</v>
      </c>
      <c r="E3313" s="115" t="e">
        <f t="array" aca="1" ref="E3313" ca="1">IF(OR(C3312=0,AND(B3314=0,C3314=0)),"",IFERROR(INDEX($F$27:$F$36,MATCH(C3313,($F$27:$F$36)*($D$27:$D$36&lt;&gt;0),0)),IF(OR(AND(D3313=0,B3313=0,B3314&lt;&gt;0),AND(D3313*D3312&lt;0,B3313&lt;&gt;0)),IF(D3313=0,C3313,C3313*(1-ABS(D3313)/(ABS(D3313)+ABS(D3312)))+C3312*(1-ABS(D3312)/(ABS(D3313)+ABS(D3312)))),"")))</f>
        <v>#NAME?</v>
      </c>
    </row>
    <row r="3314" spans="2:5" x14ac:dyDescent="0.25">
      <c r="B3314" t="e">
        <f t="shared" ca="1" si="105"/>
        <v>#NAME?</v>
      </c>
      <c r="C3314">
        <v>3271</v>
      </c>
      <c r="D3314" t="e">
        <f t="shared" ca="1" si="104"/>
        <v>#NAME?</v>
      </c>
      <c r="E3314" s="115" t="e">
        <f t="array" aca="1" ref="E3314" ca="1">IF(OR(C3313=0,AND(B3315=0,C3315=0)),"",IFERROR(INDEX($F$27:$F$36,MATCH(C3314,($F$27:$F$36)*($D$27:$D$36&lt;&gt;0),0)),IF(OR(AND(D3314=0,B3314=0,B3315&lt;&gt;0),AND(D3314*D3313&lt;0,B3314&lt;&gt;0)),IF(D3314=0,C3314,C3314*(1-ABS(D3314)/(ABS(D3314)+ABS(D3313)))+C3313*(1-ABS(D3313)/(ABS(D3314)+ABS(D3313)))),"")))</f>
        <v>#NAME?</v>
      </c>
    </row>
    <row r="3315" spans="2:5" x14ac:dyDescent="0.25">
      <c r="B3315" t="e">
        <f t="shared" ca="1" si="105"/>
        <v>#NAME?</v>
      </c>
      <c r="C3315">
        <v>3272</v>
      </c>
      <c r="D3315" t="e">
        <f t="shared" ca="1" si="104"/>
        <v>#NAME?</v>
      </c>
      <c r="E3315" s="115" t="e">
        <f t="array" aca="1" ref="E3315" ca="1">IF(OR(C3314=0,AND(B3316=0,C3316=0)),"",IFERROR(INDEX($F$27:$F$36,MATCH(C3315,($F$27:$F$36)*($D$27:$D$36&lt;&gt;0),0)),IF(OR(AND(D3315=0,B3315=0,B3316&lt;&gt;0),AND(D3315*D3314&lt;0,B3315&lt;&gt;0)),IF(D3315=0,C3315,C3315*(1-ABS(D3315)/(ABS(D3315)+ABS(D3314)))+C3314*(1-ABS(D3314)/(ABS(D3315)+ABS(D3314)))),"")))</f>
        <v>#NAME?</v>
      </c>
    </row>
    <row r="3316" spans="2:5" x14ac:dyDescent="0.25">
      <c r="B3316" t="e">
        <f t="shared" ca="1" si="105"/>
        <v>#NAME?</v>
      </c>
      <c r="C3316">
        <v>3273</v>
      </c>
      <c r="D3316" t="e">
        <f t="shared" ca="1" si="104"/>
        <v>#NAME?</v>
      </c>
      <c r="E3316" s="115" t="e">
        <f t="array" aca="1" ref="E3316" ca="1">IF(OR(C3315=0,AND(B3317=0,C3317=0)),"",IFERROR(INDEX($F$27:$F$36,MATCH(C3316,($F$27:$F$36)*($D$27:$D$36&lt;&gt;0),0)),IF(OR(AND(D3316=0,B3316=0,B3317&lt;&gt;0),AND(D3316*D3315&lt;0,B3316&lt;&gt;0)),IF(D3316=0,C3316,C3316*(1-ABS(D3316)/(ABS(D3316)+ABS(D3315)))+C3315*(1-ABS(D3315)/(ABS(D3316)+ABS(D3315)))),"")))</f>
        <v>#NAME?</v>
      </c>
    </row>
    <row r="3317" spans="2:5" x14ac:dyDescent="0.25">
      <c r="B3317" t="e">
        <f t="shared" ca="1" si="105"/>
        <v>#NAME?</v>
      </c>
      <c r="C3317">
        <v>3274</v>
      </c>
      <c r="D3317" t="e">
        <f t="shared" ca="1" si="104"/>
        <v>#NAME?</v>
      </c>
      <c r="E3317" s="115" t="e">
        <f t="array" aca="1" ref="E3317" ca="1">IF(OR(C3316=0,AND(B3318=0,C3318=0)),"",IFERROR(INDEX($F$27:$F$36,MATCH(C3317,($F$27:$F$36)*($D$27:$D$36&lt;&gt;0),0)),IF(OR(AND(D3317=0,B3317=0,B3318&lt;&gt;0),AND(D3317*D3316&lt;0,B3317&lt;&gt;0)),IF(D3317=0,C3317,C3317*(1-ABS(D3317)/(ABS(D3317)+ABS(D3316)))+C3316*(1-ABS(D3316)/(ABS(D3317)+ABS(D3316)))),"")))</f>
        <v>#NAME?</v>
      </c>
    </row>
    <row r="3318" spans="2:5" x14ac:dyDescent="0.25">
      <c r="B3318" t="e">
        <f t="shared" ca="1" si="105"/>
        <v>#NAME?</v>
      </c>
      <c r="C3318">
        <v>3275</v>
      </c>
      <c r="D3318" t="e">
        <f t="shared" ca="1" si="104"/>
        <v>#NAME?</v>
      </c>
      <c r="E3318" s="115" t="e">
        <f t="array" aca="1" ref="E3318" ca="1">IF(OR(C3317=0,AND(B3319=0,C3319=0)),"",IFERROR(INDEX($F$27:$F$36,MATCH(C3318,($F$27:$F$36)*($D$27:$D$36&lt;&gt;0),0)),IF(OR(AND(D3318=0,B3318=0,B3319&lt;&gt;0),AND(D3318*D3317&lt;0,B3318&lt;&gt;0)),IF(D3318=0,C3318,C3318*(1-ABS(D3318)/(ABS(D3318)+ABS(D3317)))+C3317*(1-ABS(D3317)/(ABS(D3318)+ABS(D3317)))),"")))</f>
        <v>#NAME?</v>
      </c>
    </row>
    <row r="3319" spans="2:5" x14ac:dyDescent="0.25">
      <c r="B3319" t="e">
        <f t="shared" ca="1" si="105"/>
        <v>#NAME?</v>
      </c>
      <c r="C3319">
        <v>3276</v>
      </c>
      <c r="D3319" t="e">
        <f t="shared" ca="1" si="104"/>
        <v>#NAME?</v>
      </c>
      <c r="E3319" s="115" t="e">
        <f t="array" aca="1" ref="E3319" ca="1">IF(OR(C3318=0,AND(B3320=0,C3320=0)),"",IFERROR(INDEX($F$27:$F$36,MATCH(C3319,($F$27:$F$36)*($D$27:$D$36&lt;&gt;0),0)),IF(OR(AND(D3319=0,B3319=0,B3320&lt;&gt;0),AND(D3319*D3318&lt;0,B3319&lt;&gt;0)),IF(D3319=0,C3319,C3319*(1-ABS(D3319)/(ABS(D3319)+ABS(D3318)))+C3318*(1-ABS(D3318)/(ABS(D3319)+ABS(D3318)))),"")))</f>
        <v>#NAME?</v>
      </c>
    </row>
    <row r="3320" spans="2:5" x14ac:dyDescent="0.25">
      <c r="B3320" t="e">
        <f t="shared" ca="1" si="105"/>
        <v>#NAME?</v>
      </c>
      <c r="C3320">
        <v>3277</v>
      </c>
      <c r="D3320" t="e">
        <f t="shared" ca="1" si="104"/>
        <v>#NAME?</v>
      </c>
      <c r="E3320" s="115" t="e">
        <f t="array" aca="1" ref="E3320" ca="1">IF(OR(C3319=0,AND(B3321=0,C3321=0)),"",IFERROR(INDEX($F$27:$F$36,MATCH(C3320,($F$27:$F$36)*($D$27:$D$36&lt;&gt;0),0)),IF(OR(AND(D3320=0,B3320=0,B3321&lt;&gt;0),AND(D3320*D3319&lt;0,B3320&lt;&gt;0)),IF(D3320=0,C3320,C3320*(1-ABS(D3320)/(ABS(D3320)+ABS(D3319)))+C3319*(1-ABS(D3319)/(ABS(D3320)+ABS(D3319)))),"")))</f>
        <v>#NAME?</v>
      </c>
    </row>
    <row r="3321" spans="2:5" x14ac:dyDescent="0.25">
      <c r="B3321" t="e">
        <f t="shared" ca="1" si="105"/>
        <v>#NAME?</v>
      </c>
      <c r="C3321">
        <v>3278</v>
      </c>
      <c r="D3321" t="e">
        <f t="shared" ca="1" si="104"/>
        <v>#NAME?</v>
      </c>
      <c r="E3321" s="115" t="e">
        <f t="array" aca="1" ref="E3321" ca="1">IF(OR(C3320=0,AND(B3322=0,C3322=0)),"",IFERROR(INDEX($F$27:$F$36,MATCH(C3321,($F$27:$F$36)*($D$27:$D$36&lt;&gt;0),0)),IF(OR(AND(D3321=0,B3321=0,B3322&lt;&gt;0),AND(D3321*D3320&lt;0,B3321&lt;&gt;0)),IF(D3321=0,C3321,C3321*(1-ABS(D3321)/(ABS(D3321)+ABS(D3320)))+C3320*(1-ABS(D3320)/(ABS(D3321)+ABS(D3320)))),"")))</f>
        <v>#NAME?</v>
      </c>
    </row>
    <row r="3322" spans="2:5" x14ac:dyDescent="0.25">
      <c r="B3322" t="e">
        <f t="shared" ca="1" si="105"/>
        <v>#NAME?</v>
      </c>
      <c r="C3322">
        <v>3279</v>
      </c>
      <c r="D3322" t="e">
        <f t="shared" ca="1" si="104"/>
        <v>#NAME?</v>
      </c>
      <c r="E3322" s="115" t="e">
        <f t="array" aca="1" ref="E3322" ca="1">IF(OR(C3321=0,AND(B3323=0,C3323=0)),"",IFERROR(INDEX($F$27:$F$36,MATCH(C3322,($F$27:$F$36)*($D$27:$D$36&lt;&gt;0),0)),IF(OR(AND(D3322=0,B3322=0,B3323&lt;&gt;0),AND(D3322*D3321&lt;0,B3322&lt;&gt;0)),IF(D3322=0,C3322,C3322*(1-ABS(D3322)/(ABS(D3322)+ABS(D3321)))+C3321*(1-ABS(D3321)/(ABS(D3322)+ABS(D3321)))),"")))</f>
        <v>#NAME?</v>
      </c>
    </row>
    <row r="3323" spans="2:5" x14ac:dyDescent="0.25">
      <c r="B3323" t="e">
        <f t="shared" ca="1" si="105"/>
        <v>#NAME?</v>
      </c>
      <c r="C3323">
        <v>3280</v>
      </c>
      <c r="D3323" t="e">
        <f t="shared" ca="1" si="104"/>
        <v>#NAME?</v>
      </c>
      <c r="E3323" s="115" t="e">
        <f t="array" aca="1" ref="E3323" ca="1">IF(OR(C3322=0,AND(B3324=0,C3324=0)),"",IFERROR(INDEX($F$27:$F$36,MATCH(C3323,($F$27:$F$36)*($D$27:$D$36&lt;&gt;0),0)),IF(OR(AND(D3323=0,B3323=0,B3324&lt;&gt;0),AND(D3323*D3322&lt;0,B3323&lt;&gt;0)),IF(D3323=0,C3323,C3323*(1-ABS(D3323)/(ABS(D3323)+ABS(D3322)))+C3322*(1-ABS(D3322)/(ABS(D3323)+ABS(D3322)))),"")))</f>
        <v>#NAME?</v>
      </c>
    </row>
    <row r="3324" spans="2:5" x14ac:dyDescent="0.25">
      <c r="B3324" t="e">
        <f t="shared" ca="1" si="105"/>
        <v>#NAME?</v>
      </c>
      <c r="C3324">
        <v>3281</v>
      </c>
      <c r="D3324" t="e">
        <f t="shared" ca="1" si="104"/>
        <v>#NAME?</v>
      </c>
      <c r="E3324" s="115" t="e">
        <f t="array" aca="1" ref="E3324" ca="1">IF(OR(C3323=0,AND(B3325=0,C3325=0)),"",IFERROR(INDEX($F$27:$F$36,MATCH(C3324,($F$27:$F$36)*($D$27:$D$36&lt;&gt;0),0)),IF(OR(AND(D3324=0,B3324=0,B3325&lt;&gt;0),AND(D3324*D3323&lt;0,B3324&lt;&gt;0)),IF(D3324=0,C3324,C3324*(1-ABS(D3324)/(ABS(D3324)+ABS(D3323)))+C3323*(1-ABS(D3323)/(ABS(D3324)+ABS(D3323)))),"")))</f>
        <v>#NAME?</v>
      </c>
    </row>
    <row r="3325" spans="2:5" x14ac:dyDescent="0.25">
      <c r="B3325" t="e">
        <f t="shared" ca="1" si="105"/>
        <v>#NAME?</v>
      </c>
      <c r="C3325">
        <v>3282</v>
      </c>
      <c r="D3325" t="e">
        <f t="shared" ca="1" si="104"/>
        <v>#NAME?</v>
      </c>
      <c r="E3325" s="115" t="e">
        <f t="array" aca="1" ref="E3325" ca="1">IF(OR(C3324=0,AND(B3326=0,C3326=0)),"",IFERROR(INDEX($F$27:$F$36,MATCH(C3325,($F$27:$F$36)*($D$27:$D$36&lt;&gt;0),0)),IF(OR(AND(D3325=0,B3325=0,B3326&lt;&gt;0),AND(D3325*D3324&lt;0,B3325&lt;&gt;0)),IF(D3325=0,C3325,C3325*(1-ABS(D3325)/(ABS(D3325)+ABS(D3324)))+C3324*(1-ABS(D3324)/(ABS(D3325)+ABS(D3324)))),"")))</f>
        <v>#NAME?</v>
      </c>
    </row>
    <row r="3326" spans="2:5" x14ac:dyDescent="0.25">
      <c r="B3326" t="e">
        <f t="shared" ca="1" si="105"/>
        <v>#NAME?</v>
      </c>
      <c r="C3326">
        <v>3283</v>
      </c>
      <c r="D3326" t="e">
        <f t="shared" ca="1" si="104"/>
        <v>#NAME?</v>
      </c>
      <c r="E3326" s="115" t="e">
        <f t="array" aca="1" ref="E3326" ca="1">IF(OR(C3325=0,AND(B3327=0,C3327=0)),"",IFERROR(INDEX($F$27:$F$36,MATCH(C3326,($F$27:$F$36)*($D$27:$D$36&lt;&gt;0),0)),IF(OR(AND(D3326=0,B3326=0,B3327&lt;&gt;0),AND(D3326*D3325&lt;0,B3326&lt;&gt;0)),IF(D3326=0,C3326,C3326*(1-ABS(D3326)/(ABS(D3326)+ABS(D3325)))+C3325*(1-ABS(D3325)/(ABS(D3326)+ABS(D3325)))),"")))</f>
        <v>#NAME?</v>
      </c>
    </row>
    <row r="3327" spans="2:5" x14ac:dyDescent="0.25">
      <c r="B3327" t="e">
        <f t="shared" ca="1" si="105"/>
        <v>#NAME?</v>
      </c>
      <c r="C3327">
        <v>3284</v>
      </c>
      <c r="D3327" t="e">
        <f t="shared" ca="1" si="104"/>
        <v>#NAME?</v>
      </c>
      <c r="E3327" s="115" t="e">
        <f t="array" aca="1" ref="E3327" ca="1">IF(OR(C3326=0,AND(B3328=0,C3328=0)),"",IFERROR(INDEX($F$27:$F$36,MATCH(C3327,($F$27:$F$36)*($D$27:$D$36&lt;&gt;0),0)),IF(OR(AND(D3327=0,B3327=0,B3328&lt;&gt;0),AND(D3327*D3326&lt;0,B3327&lt;&gt;0)),IF(D3327=0,C3327,C3327*(1-ABS(D3327)/(ABS(D3327)+ABS(D3326)))+C3326*(1-ABS(D3326)/(ABS(D3327)+ABS(D3326)))),"")))</f>
        <v>#NAME?</v>
      </c>
    </row>
    <row r="3328" spans="2:5" x14ac:dyDescent="0.25">
      <c r="B3328" t="e">
        <f t="shared" ca="1" si="105"/>
        <v>#NAME?</v>
      </c>
      <c r="C3328">
        <v>3285</v>
      </c>
      <c r="D3328" t="e">
        <f t="shared" ca="1" si="104"/>
        <v>#NAME?</v>
      </c>
      <c r="E3328" s="115" t="e">
        <f t="array" aca="1" ref="E3328" ca="1">IF(OR(C3327=0,AND(B3329=0,C3329=0)),"",IFERROR(INDEX($F$27:$F$36,MATCH(C3328,($F$27:$F$36)*($D$27:$D$36&lt;&gt;0),0)),IF(OR(AND(D3328=0,B3328=0,B3329&lt;&gt;0),AND(D3328*D3327&lt;0,B3328&lt;&gt;0)),IF(D3328=0,C3328,C3328*(1-ABS(D3328)/(ABS(D3328)+ABS(D3327)))+C3327*(1-ABS(D3327)/(ABS(D3328)+ABS(D3327)))),"")))</f>
        <v>#NAME?</v>
      </c>
    </row>
    <row r="3329" spans="2:5" x14ac:dyDescent="0.25">
      <c r="B3329" t="e">
        <f t="shared" ca="1" si="105"/>
        <v>#NAME?</v>
      </c>
      <c r="C3329">
        <v>3286</v>
      </c>
      <c r="D3329" t="e">
        <f t="shared" ca="1" si="104"/>
        <v>#NAME?</v>
      </c>
      <c r="E3329" s="115" t="e">
        <f t="array" aca="1" ref="E3329" ca="1">IF(OR(C3328=0,AND(B3330=0,C3330=0)),"",IFERROR(INDEX($F$27:$F$36,MATCH(C3329,($F$27:$F$36)*($D$27:$D$36&lt;&gt;0),0)),IF(OR(AND(D3329=0,B3329=0,B3330&lt;&gt;0),AND(D3329*D3328&lt;0,B3329&lt;&gt;0)),IF(D3329=0,C3329,C3329*(1-ABS(D3329)/(ABS(D3329)+ABS(D3328)))+C3328*(1-ABS(D3328)/(ABS(D3329)+ABS(D3328)))),"")))</f>
        <v>#NAME?</v>
      </c>
    </row>
    <row r="3330" spans="2:5" x14ac:dyDescent="0.25">
      <c r="B3330" t="e">
        <f t="shared" ca="1" si="105"/>
        <v>#NAME?</v>
      </c>
      <c r="C3330">
        <v>3287</v>
      </c>
      <c r="D3330" t="e">
        <f t="shared" ca="1" si="104"/>
        <v>#NAME?</v>
      </c>
      <c r="E3330" s="115" t="e">
        <f t="array" aca="1" ref="E3330" ca="1">IF(OR(C3329=0,AND(B3331=0,C3331=0)),"",IFERROR(INDEX($F$27:$F$36,MATCH(C3330,($F$27:$F$36)*($D$27:$D$36&lt;&gt;0),0)),IF(OR(AND(D3330=0,B3330=0,B3331&lt;&gt;0),AND(D3330*D3329&lt;0,B3330&lt;&gt;0)),IF(D3330=0,C3330,C3330*(1-ABS(D3330)/(ABS(D3330)+ABS(D3329)))+C3329*(1-ABS(D3329)/(ABS(D3330)+ABS(D3329)))),"")))</f>
        <v>#NAME?</v>
      </c>
    </row>
    <row r="3331" spans="2:5" x14ac:dyDescent="0.25">
      <c r="B3331" t="e">
        <f t="shared" ca="1" si="105"/>
        <v>#NAME?</v>
      </c>
      <c r="C3331">
        <v>3288</v>
      </c>
      <c r="D3331" t="e">
        <f t="shared" ca="1" si="104"/>
        <v>#NAME?</v>
      </c>
      <c r="E3331" s="115" t="e">
        <f t="array" aca="1" ref="E3331" ca="1">IF(OR(C3330=0,AND(B3332=0,C3332=0)),"",IFERROR(INDEX($F$27:$F$36,MATCH(C3331,($F$27:$F$36)*($D$27:$D$36&lt;&gt;0),0)),IF(OR(AND(D3331=0,B3331=0,B3332&lt;&gt;0),AND(D3331*D3330&lt;0,B3331&lt;&gt;0)),IF(D3331=0,C3331,C3331*(1-ABS(D3331)/(ABS(D3331)+ABS(D3330)))+C3330*(1-ABS(D3330)/(ABS(D3331)+ABS(D3330)))),"")))</f>
        <v>#NAME?</v>
      </c>
    </row>
    <row r="3332" spans="2:5" x14ac:dyDescent="0.25">
      <c r="B3332" t="e">
        <f t="shared" ca="1" si="105"/>
        <v>#NAME?</v>
      </c>
      <c r="C3332">
        <v>3289</v>
      </c>
      <c r="D3332" t="e">
        <f t="shared" ca="1" si="104"/>
        <v>#NAME?</v>
      </c>
      <c r="E3332" s="115" t="e">
        <f t="array" aca="1" ref="E3332" ca="1">IF(OR(C3331=0,AND(B3333=0,C3333=0)),"",IFERROR(INDEX($F$27:$F$36,MATCH(C3332,($F$27:$F$36)*($D$27:$D$36&lt;&gt;0),0)),IF(OR(AND(D3332=0,B3332=0,B3333&lt;&gt;0),AND(D3332*D3331&lt;0,B3332&lt;&gt;0)),IF(D3332=0,C3332,C3332*(1-ABS(D3332)/(ABS(D3332)+ABS(D3331)))+C3331*(1-ABS(D3331)/(ABS(D3332)+ABS(D3331)))),"")))</f>
        <v>#NAME?</v>
      </c>
    </row>
    <row r="3333" spans="2:5" x14ac:dyDescent="0.25">
      <c r="B3333" t="e">
        <f t="shared" ca="1" si="105"/>
        <v>#NAME?</v>
      </c>
      <c r="C3333">
        <v>3290</v>
      </c>
      <c r="D3333" t="e">
        <f t="shared" ca="1" si="104"/>
        <v>#NAME?</v>
      </c>
      <c r="E3333" s="115" t="e">
        <f t="array" aca="1" ref="E3333" ca="1">IF(OR(C3332=0,AND(B3334=0,C3334=0)),"",IFERROR(INDEX($F$27:$F$36,MATCH(C3333,($F$27:$F$36)*($D$27:$D$36&lt;&gt;0),0)),IF(OR(AND(D3333=0,B3333=0,B3334&lt;&gt;0),AND(D3333*D3332&lt;0,B3333&lt;&gt;0)),IF(D3333=0,C3333,C3333*(1-ABS(D3333)/(ABS(D3333)+ABS(D3332)))+C3332*(1-ABS(D3332)/(ABS(D3333)+ABS(D3332)))),"")))</f>
        <v>#NAME?</v>
      </c>
    </row>
    <row r="3334" spans="2:5" x14ac:dyDescent="0.25">
      <c r="B3334" t="e">
        <f t="shared" ca="1" si="105"/>
        <v>#NAME?</v>
      </c>
      <c r="C3334">
        <v>3291</v>
      </c>
      <c r="D3334" t="e">
        <f t="shared" ca="1" si="104"/>
        <v>#NAME?</v>
      </c>
      <c r="E3334" s="115" t="e">
        <f t="array" aca="1" ref="E3334" ca="1">IF(OR(C3333=0,AND(B3335=0,C3335=0)),"",IFERROR(INDEX($F$27:$F$36,MATCH(C3334,($F$27:$F$36)*($D$27:$D$36&lt;&gt;0),0)),IF(OR(AND(D3334=0,B3334=0,B3335&lt;&gt;0),AND(D3334*D3333&lt;0,B3334&lt;&gt;0)),IF(D3334=0,C3334,C3334*(1-ABS(D3334)/(ABS(D3334)+ABS(D3333)))+C3333*(1-ABS(D3333)/(ABS(D3334)+ABS(D3333)))),"")))</f>
        <v>#NAME?</v>
      </c>
    </row>
    <row r="3335" spans="2:5" x14ac:dyDescent="0.25">
      <c r="B3335" t="e">
        <f t="shared" ca="1" si="105"/>
        <v>#NAME?</v>
      </c>
      <c r="C3335">
        <v>3292</v>
      </c>
      <c r="D3335" t="e">
        <f t="shared" ca="1" si="104"/>
        <v>#NAME?</v>
      </c>
      <c r="E3335" s="115" t="e">
        <f t="array" aca="1" ref="E3335" ca="1">IF(OR(C3334=0,AND(B3336=0,C3336=0)),"",IFERROR(INDEX($F$27:$F$36,MATCH(C3335,($F$27:$F$36)*($D$27:$D$36&lt;&gt;0),0)),IF(OR(AND(D3335=0,B3335=0,B3336&lt;&gt;0),AND(D3335*D3334&lt;0,B3335&lt;&gt;0)),IF(D3335=0,C3335,C3335*(1-ABS(D3335)/(ABS(D3335)+ABS(D3334)))+C3334*(1-ABS(D3334)/(ABS(D3335)+ABS(D3334)))),"")))</f>
        <v>#NAME?</v>
      </c>
    </row>
    <row r="3336" spans="2:5" x14ac:dyDescent="0.25">
      <c r="B3336" t="e">
        <f t="shared" ca="1" si="105"/>
        <v>#NAME?</v>
      </c>
      <c r="C3336">
        <v>3293</v>
      </c>
      <c r="D3336" t="e">
        <f t="shared" ca="1" si="104"/>
        <v>#NAME?</v>
      </c>
      <c r="E3336" s="115" t="e">
        <f t="array" aca="1" ref="E3336" ca="1">IF(OR(C3335=0,AND(B3337=0,C3337=0)),"",IFERROR(INDEX($F$27:$F$36,MATCH(C3336,($F$27:$F$36)*($D$27:$D$36&lt;&gt;0),0)),IF(OR(AND(D3336=0,B3336=0,B3337&lt;&gt;0),AND(D3336*D3335&lt;0,B3336&lt;&gt;0)),IF(D3336=0,C3336,C3336*(1-ABS(D3336)/(ABS(D3336)+ABS(D3335)))+C3335*(1-ABS(D3335)/(ABS(D3336)+ABS(D3335)))),"")))</f>
        <v>#NAME?</v>
      </c>
    </row>
    <row r="3337" spans="2:5" x14ac:dyDescent="0.25">
      <c r="B3337" t="e">
        <f t="shared" ca="1" si="105"/>
        <v>#NAME?</v>
      </c>
      <c r="C3337">
        <v>3294</v>
      </c>
      <c r="D3337" t="e">
        <f t="shared" ca="1" si="104"/>
        <v>#NAME?</v>
      </c>
      <c r="E3337" s="115" t="e">
        <f t="array" aca="1" ref="E3337" ca="1">IF(OR(C3336=0,AND(B3338=0,C3338=0)),"",IFERROR(INDEX($F$27:$F$36,MATCH(C3337,($F$27:$F$36)*($D$27:$D$36&lt;&gt;0),0)),IF(OR(AND(D3337=0,B3337=0,B3338&lt;&gt;0),AND(D3337*D3336&lt;0,B3337&lt;&gt;0)),IF(D3337=0,C3337,C3337*(1-ABS(D3337)/(ABS(D3337)+ABS(D3336)))+C3336*(1-ABS(D3336)/(ABS(D3337)+ABS(D3336)))),"")))</f>
        <v>#NAME?</v>
      </c>
    </row>
    <row r="3338" spans="2:5" x14ac:dyDescent="0.25">
      <c r="B3338" t="e">
        <f t="shared" ca="1" si="105"/>
        <v>#NAME?</v>
      </c>
      <c r="C3338">
        <v>3295</v>
      </c>
      <c r="D3338" t="e">
        <f t="shared" ca="1" si="104"/>
        <v>#NAME?</v>
      </c>
      <c r="E3338" s="115" t="e">
        <f t="array" aca="1" ref="E3338" ca="1">IF(OR(C3337=0,AND(B3339=0,C3339=0)),"",IFERROR(INDEX($F$27:$F$36,MATCH(C3338,($F$27:$F$36)*($D$27:$D$36&lt;&gt;0),0)),IF(OR(AND(D3338=0,B3338=0,B3339&lt;&gt;0),AND(D3338*D3337&lt;0,B3338&lt;&gt;0)),IF(D3338=0,C3338,C3338*(1-ABS(D3338)/(ABS(D3338)+ABS(D3337)))+C3337*(1-ABS(D3337)/(ABS(D3338)+ABS(D3337)))),"")))</f>
        <v>#NAME?</v>
      </c>
    </row>
    <row r="3339" spans="2:5" x14ac:dyDescent="0.25">
      <c r="B3339" t="e">
        <f t="shared" ca="1" si="105"/>
        <v>#NAME?</v>
      </c>
      <c r="C3339">
        <v>3296</v>
      </c>
      <c r="D3339" t="e">
        <f t="shared" ca="1" si="104"/>
        <v>#NAME?</v>
      </c>
      <c r="E3339" s="115" t="e">
        <f t="array" aca="1" ref="E3339" ca="1">IF(OR(C3338=0,AND(B3340=0,C3340=0)),"",IFERROR(INDEX($F$27:$F$36,MATCH(C3339,($F$27:$F$36)*($D$27:$D$36&lt;&gt;0),0)),IF(OR(AND(D3339=0,B3339=0,B3340&lt;&gt;0),AND(D3339*D3338&lt;0,B3339&lt;&gt;0)),IF(D3339=0,C3339,C3339*(1-ABS(D3339)/(ABS(D3339)+ABS(D3338)))+C3338*(1-ABS(D3338)/(ABS(D3339)+ABS(D3338)))),"")))</f>
        <v>#NAME?</v>
      </c>
    </row>
    <row r="3340" spans="2:5" x14ac:dyDescent="0.25">
      <c r="B3340" t="e">
        <f t="shared" ca="1" si="105"/>
        <v>#NAME?</v>
      </c>
      <c r="C3340">
        <v>3297</v>
      </c>
      <c r="D3340" t="e">
        <f t="shared" ca="1" si="104"/>
        <v>#NAME?</v>
      </c>
      <c r="E3340" s="115" t="e">
        <f t="array" aca="1" ref="E3340" ca="1">IF(OR(C3339=0,AND(B3341=0,C3341=0)),"",IFERROR(INDEX($F$27:$F$36,MATCH(C3340,($F$27:$F$36)*($D$27:$D$36&lt;&gt;0),0)),IF(OR(AND(D3340=0,B3340=0,B3341&lt;&gt;0),AND(D3340*D3339&lt;0,B3340&lt;&gt;0)),IF(D3340=0,C3340,C3340*(1-ABS(D3340)/(ABS(D3340)+ABS(D3339)))+C3339*(1-ABS(D3339)/(ABS(D3340)+ABS(D3339)))),"")))</f>
        <v>#NAME?</v>
      </c>
    </row>
    <row r="3341" spans="2:5" x14ac:dyDescent="0.25">
      <c r="B3341" t="e">
        <f t="shared" ca="1" si="105"/>
        <v>#NAME?</v>
      </c>
      <c r="C3341">
        <v>3298</v>
      </c>
      <c r="D3341" t="e">
        <f t="shared" ca="1" si="104"/>
        <v>#NAME?</v>
      </c>
      <c r="E3341" s="115" t="e">
        <f t="array" aca="1" ref="E3341" ca="1">IF(OR(C3340=0,AND(B3342=0,C3342=0)),"",IFERROR(INDEX($F$27:$F$36,MATCH(C3341,($F$27:$F$36)*($D$27:$D$36&lt;&gt;0),0)),IF(OR(AND(D3341=0,B3341=0,B3342&lt;&gt;0),AND(D3341*D3340&lt;0,B3341&lt;&gt;0)),IF(D3341=0,C3341,C3341*(1-ABS(D3341)/(ABS(D3341)+ABS(D3340)))+C3340*(1-ABS(D3340)/(ABS(D3341)+ABS(D3340)))),"")))</f>
        <v>#NAME?</v>
      </c>
    </row>
    <row r="3342" spans="2:5" x14ac:dyDescent="0.25">
      <c r="B3342" t="e">
        <f t="shared" ca="1" si="105"/>
        <v>#NAME?</v>
      </c>
      <c r="C3342">
        <v>3299</v>
      </c>
      <c r="D3342" t="e">
        <f t="shared" ca="1" si="104"/>
        <v>#NAME?</v>
      </c>
      <c r="E3342" s="115" t="e">
        <f t="array" aca="1" ref="E3342" ca="1">IF(OR(C3341=0,AND(B3343=0,C3343=0)),"",IFERROR(INDEX($F$27:$F$36,MATCH(C3342,($F$27:$F$36)*($D$27:$D$36&lt;&gt;0),0)),IF(OR(AND(D3342=0,B3342=0,B3343&lt;&gt;0),AND(D3342*D3341&lt;0,B3342&lt;&gt;0)),IF(D3342=0,C3342,C3342*(1-ABS(D3342)/(ABS(D3342)+ABS(D3341)))+C3341*(1-ABS(D3341)/(ABS(D3342)+ABS(D3341)))),"")))</f>
        <v>#NAME?</v>
      </c>
    </row>
    <row r="3343" spans="2:5" x14ac:dyDescent="0.25">
      <c r="B3343" t="e">
        <f t="shared" ca="1" si="105"/>
        <v>#NAME?</v>
      </c>
      <c r="C3343">
        <v>3300</v>
      </c>
      <c r="D3343" t="e">
        <f t="shared" ca="1" si="104"/>
        <v>#NAME?</v>
      </c>
      <c r="E3343" s="115" t="e">
        <f t="array" aca="1" ref="E3343" ca="1">IF(OR(C3342=0,AND(B3344=0,C3344=0)),"",IFERROR(INDEX($F$27:$F$36,MATCH(C3343,($F$27:$F$36)*($D$27:$D$36&lt;&gt;0),0)),IF(OR(AND(D3343=0,B3343=0,B3344&lt;&gt;0),AND(D3343*D3342&lt;0,B3343&lt;&gt;0)),IF(D3343=0,C3343,C3343*(1-ABS(D3343)/(ABS(D3343)+ABS(D3342)))+C3342*(1-ABS(D3342)/(ABS(D3343)+ABS(D3342)))),"")))</f>
        <v>#NAME?</v>
      </c>
    </row>
    <row r="3344" spans="2:5" x14ac:dyDescent="0.25">
      <c r="B3344" t="e">
        <f t="shared" ca="1" si="105"/>
        <v>#NAME?</v>
      </c>
      <c r="C3344">
        <v>3301</v>
      </c>
      <c r="D3344" t="e">
        <f t="shared" ca="1" si="104"/>
        <v>#NAME?</v>
      </c>
      <c r="E3344" s="115" t="e">
        <f t="array" aca="1" ref="E3344" ca="1">IF(OR(C3343=0,AND(B3345=0,C3345=0)),"",IFERROR(INDEX($F$27:$F$36,MATCH(C3344,($F$27:$F$36)*($D$27:$D$36&lt;&gt;0),0)),IF(OR(AND(D3344=0,B3344=0,B3345&lt;&gt;0),AND(D3344*D3343&lt;0,B3344&lt;&gt;0)),IF(D3344=0,C3344,C3344*(1-ABS(D3344)/(ABS(D3344)+ABS(D3343)))+C3343*(1-ABS(D3343)/(ABS(D3344)+ABS(D3343)))),"")))</f>
        <v>#NAME?</v>
      </c>
    </row>
    <row r="3345" spans="2:5" x14ac:dyDescent="0.25">
      <c r="B3345" t="e">
        <f t="shared" ca="1" si="105"/>
        <v>#NAME?</v>
      </c>
      <c r="C3345">
        <v>3302</v>
      </c>
      <c r="D3345" t="e">
        <f t="shared" ca="1" si="104"/>
        <v>#NAME?</v>
      </c>
      <c r="E3345" s="115" t="e">
        <f t="array" aca="1" ref="E3345" ca="1">IF(OR(C3344=0,AND(B3346=0,C3346=0)),"",IFERROR(INDEX($F$27:$F$36,MATCH(C3345,($F$27:$F$36)*($D$27:$D$36&lt;&gt;0),0)),IF(OR(AND(D3345=0,B3345=0,B3346&lt;&gt;0),AND(D3345*D3344&lt;0,B3345&lt;&gt;0)),IF(D3345=0,C3345,C3345*(1-ABS(D3345)/(ABS(D3345)+ABS(D3344)))+C3344*(1-ABS(D3344)/(ABS(D3345)+ABS(D3344)))),"")))</f>
        <v>#NAME?</v>
      </c>
    </row>
    <row r="3346" spans="2:5" x14ac:dyDescent="0.25">
      <c r="B3346" t="e">
        <f t="shared" ca="1" si="105"/>
        <v>#NAME?</v>
      </c>
      <c r="C3346">
        <v>3303</v>
      </c>
      <c r="D3346" t="e">
        <f t="shared" ca="1" si="104"/>
        <v>#NAME?</v>
      </c>
      <c r="E3346" s="115" t="e">
        <f t="array" aca="1" ref="E3346" ca="1">IF(OR(C3345=0,AND(B3347=0,C3347=0)),"",IFERROR(INDEX($F$27:$F$36,MATCH(C3346,($F$27:$F$36)*($D$27:$D$36&lt;&gt;0),0)),IF(OR(AND(D3346=0,B3346=0,B3347&lt;&gt;0),AND(D3346*D3345&lt;0,B3346&lt;&gt;0)),IF(D3346=0,C3346,C3346*(1-ABS(D3346)/(ABS(D3346)+ABS(D3345)))+C3345*(1-ABS(D3345)/(ABS(D3346)+ABS(D3345)))),"")))</f>
        <v>#NAME?</v>
      </c>
    </row>
    <row r="3347" spans="2:5" x14ac:dyDescent="0.25">
      <c r="B3347" t="e">
        <f t="shared" ca="1" si="105"/>
        <v>#NAME?</v>
      </c>
      <c r="C3347">
        <v>3304</v>
      </c>
      <c r="D3347" t="e">
        <f t="shared" ca="1" si="104"/>
        <v>#NAME?</v>
      </c>
      <c r="E3347" s="115" t="e">
        <f t="array" aca="1" ref="E3347" ca="1">IF(OR(C3346=0,AND(B3348=0,C3348=0)),"",IFERROR(INDEX($F$27:$F$36,MATCH(C3347,($F$27:$F$36)*($D$27:$D$36&lt;&gt;0),0)),IF(OR(AND(D3347=0,B3347=0,B3348&lt;&gt;0),AND(D3347*D3346&lt;0,B3347&lt;&gt;0)),IF(D3347=0,C3347,C3347*(1-ABS(D3347)/(ABS(D3347)+ABS(D3346)))+C3346*(1-ABS(D3346)/(ABS(D3347)+ABS(D3346)))),"")))</f>
        <v>#NAME?</v>
      </c>
    </row>
    <row r="3348" spans="2:5" x14ac:dyDescent="0.25">
      <c r="B3348" t="e">
        <f t="shared" ca="1" si="105"/>
        <v>#NAME?</v>
      </c>
      <c r="C3348">
        <v>3305</v>
      </c>
      <c r="D3348" t="e">
        <f t="shared" ca="1" si="104"/>
        <v>#NAME?</v>
      </c>
      <c r="E3348" s="115" t="e">
        <f t="array" aca="1" ref="E3348" ca="1">IF(OR(C3347=0,AND(B3349=0,C3349=0)),"",IFERROR(INDEX($F$27:$F$36,MATCH(C3348,($F$27:$F$36)*($D$27:$D$36&lt;&gt;0),0)),IF(OR(AND(D3348=0,B3348=0,B3349&lt;&gt;0),AND(D3348*D3347&lt;0,B3348&lt;&gt;0)),IF(D3348=0,C3348,C3348*(1-ABS(D3348)/(ABS(D3348)+ABS(D3347)))+C3347*(1-ABS(D3347)/(ABS(D3348)+ABS(D3347)))),"")))</f>
        <v>#NAME?</v>
      </c>
    </row>
    <row r="3349" spans="2:5" x14ac:dyDescent="0.25">
      <c r="B3349" t="e">
        <f t="shared" ca="1" si="105"/>
        <v>#NAME?</v>
      </c>
      <c r="C3349">
        <v>3306</v>
      </c>
      <c r="D3349" t="e">
        <f t="shared" ca="1" si="104"/>
        <v>#NAME?</v>
      </c>
      <c r="E3349" s="115" t="e">
        <f t="array" aca="1" ref="E3349" ca="1">IF(OR(C3348=0,AND(B3350=0,C3350=0)),"",IFERROR(INDEX($F$27:$F$36,MATCH(C3349,($F$27:$F$36)*($D$27:$D$36&lt;&gt;0),0)),IF(OR(AND(D3349=0,B3349=0,B3350&lt;&gt;0),AND(D3349*D3348&lt;0,B3349&lt;&gt;0)),IF(D3349=0,C3349,C3349*(1-ABS(D3349)/(ABS(D3349)+ABS(D3348)))+C3348*(1-ABS(D3348)/(ABS(D3349)+ABS(D3348)))),"")))</f>
        <v>#NAME?</v>
      </c>
    </row>
    <row r="3350" spans="2:5" x14ac:dyDescent="0.25">
      <c r="B3350" t="e">
        <f t="shared" ca="1" si="105"/>
        <v>#NAME?</v>
      </c>
      <c r="C3350">
        <v>3307</v>
      </c>
      <c r="D3350" t="e">
        <f t="shared" ca="1" si="104"/>
        <v>#NAME?</v>
      </c>
      <c r="E3350" s="115" t="e">
        <f t="array" aca="1" ref="E3350" ca="1">IF(OR(C3349=0,AND(B3351=0,C3351=0)),"",IFERROR(INDEX($F$27:$F$36,MATCH(C3350,($F$27:$F$36)*($D$27:$D$36&lt;&gt;0),0)),IF(OR(AND(D3350=0,B3350=0,B3351&lt;&gt;0),AND(D3350*D3349&lt;0,B3350&lt;&gt;0)),IF(D3350=0,C3350,C3350*(1-ABS(D3350)/(ABS(D3350)+ABS(D3349)))+C3349*(1-ABS(D3349)/(ABS(D3350)+ABS(D3349)))),"")))</f>
        <v>#NAME?</v>
      </c>
    </row>
    <row r="3351" spans="2:5" x14ac:dyDescent="0.25">
      <c r="B3351" t="e">
        <f t="shared" ca="1" si="105"/>
        <v>#NAME?</v>
      </c>
      <c r="C3351">
        <v>3308</v>
      </c>
      <c r="D3351" t="e">
        <f t="shared" ca="1" si="104"/>
        <v>#NAME?</v>
      </c>
      <c r="E3351" s="115" t="e">
        <f t="array" aca="1" ref="E3351" ca="1">IF(OR(C3350=0,AND(B3352=0,C3352=0)),"",IFERROR(INDEX($F$27:$F$36,MATCH(C3351,($F$27:$F$36)*($D$27:$D$36&lt;&gt;0),0)),IF(OR(AND(D3351=0,B3351=0,B3352&lt;&gt;0),AND(D3351*D3350&lt;0,B3351&lt;&gt;0)),IF(D3351=0,C3351,C3351*(1-ABS(D3351)/(ABS(D3351)+ABS(D3350)))+C3350*(1-ABS(D3350)/(ABS(D3351)+ABS(D3350)))),"")))</f>
        <v>#NAME?</v>
      </c>
    </row>
    <row r="3352" spans="2:5" x14ac:dyDescent="0.25">
      <c r="B3352" t="e">
        <f t="shared" ca="1" si="105"/>
        <v>#NAME?</v>
      </c>
      <c r="C3352">
        <v>3309</v>
      </c>
      <c r="D3352" t="e">
        <f t="shared" ca="1" si="104"/>
        <v>#NAME?</v>
      </c>
      <c r="E3352" s="115" t="e">
        <f t="array" aca="1" ref="E3352" ca="1">IF(OR(C3351=0,AND(B3353=0,C3353=0)),"",IFERROR(INDEX($F$27:$F$36,MATCH(C3352,($F$27:$F$36)*($D$27:$D$36&lt;&gt;0),0)),IF(OR(AND(D3352=0,B3352=0,B3353&lt;&gt;0),AND(D3352*D3351&lt;0,B3352&lt;&gt;0)),IF(D3352=0,C3352,C3352*(1-ABS(D3352)/(ABS(D3352)+ABS(D3351)))+C3351*(1-ABS(D3351)/(ABS(D3352)+ABS(D3351)))),"")))</f>
        <v>#NAME?</v>
      </c>
    </row>
    <row r="3353" spans="2:5" x14ac:dyDescent="0.25">
      <c r="B3353" t="e">
        <f t="shared" ca="1" si="105"/>
        <v>#NAME?</v>
      </c>
      <c r="C3353">
        <v>3310</v>
      </c>
      <c r="D3353" t="e">
        <f t="shared" ca="1" si="104"/>
        <v>#NAME?</v>
      </c>
      <c r="E3353" s="115" t="e">
        <f t="array" aca="1" ref="E3353" ca="1">IF(OR(C3352=0,AND(B3354=0,C3354=0)),"",IFERROR(INDEX($F$27:$F$36,MATCH(C3353,($F$27:$F$36)*($D$27:$D$36&lt;&gt;0),0)),IF(OR(AND(D3353=0,B3353=0,B3354&lt;&gt;0),AND(D3353*D3352&lt;0,B3353&lt;&gt;0)),IF(D3353=0,C3353,C3353*(1-ABS(D3353)/(ABS(D3353)+ABS(D3352)))+C3352*(1-ABS(D3352)/(ABS(D3353)+ABS(D3352)))),"")))</f>
        <v>#NAME?</v>
      </c>
    </row>
    <row r="3354" spans="2:5" x14ac:dyDescent="0.25">
      <c r="B3354" t="e">
        <f t="shared" ca="1" si="105"/>
        <v>#NAME?</v>
      </c>
      <c r="C3354">
        <v>3311</v>
      </c>
      <c r="D3354" t="e">
        <f t="shared" ca="1" si="104"/>
        <v>#NAME?</v>
      </c>
      <c r="E3354" s="115" t="e">
        <f t="array" aca="1" ref="E3354" ca="1">IF(OR(C3353=0,AND(B3355=0,C3355=0)),"",IFERROR(INDEX($F$27:$F$36,MATCH(C3354,($F$27:$F$36)*($D$27:$D$36&lt;&gt;0),0)),IF(OR(AND(D3354=0,B3354=0,B3355&lt;&gt;0),AND(D3354*D3353&lt;0,B3354&lt;&gt;0)),IF(D3354=0,C3354,C3354*(1-ABS(D3354)/(ABS(D3354)+ABS(D3353)))+C3353*(1-ABS(D3353)/(ABS(D3354)+ABS(D3353)))),"")))</f>
        <v>#NAME?</v>
      </c>
    </row>
    <row r="3355" spans="2:5" x14ac:dyDescent="0.25">
      <c r="B3355" t="e">
        <f t="shared" ca="1" si="105"/>
        <v>#NAME?</v>
      </c>
      <c r="C3355">
        <v>3312</v>
      </c>
      <c r="D3355" t="e">
        <f t="shared" ca="1" si="104"/>
        <v>#NAME?</v>
      </c>
      <c r="E3355" s="115" t="e">
        <f t="array" aca="1" ref="E3355" ca="1">IF(OR(C3354=0,AND(B3356=0,C3356=0)),"",IFERROR(INDEX($F$27:$F$36,MATCH(C3355,($F$27:$F$36)*($D$27:$D$36&lt;&gt;0),0)),IF(OR(AND(D3355=0,B3355=0,B3356&lt;&gt;0),AND(D3355*D3354&lt;0,B3355&lt;&gt;0)),IF(D3355=0,C3355,C3355*(1-ABS(D3355)/(ABS(D3355)+ABS(D3354)))+C3354*(1-ABS(D3354)/(ABS(D3355)+ABS(D3354)))),"")))</f>
        <v>#NAME?</v>
      </c>
    </row>
    <row r="3356" spans="2:5" x14ac:dyDescent="0.25">
      <c r="B3356" t="e">
        <f t="shared" ca="1" si="105"/>
        <v>#NAME?</v>
      </c>
      <c r="C3356">
        <v>3313</v>
      </c>
      <c r="D3356" t="e">
        <f t="shared" ca="1" si="104"/>
        <v>#NAME?</v>
      </c>
      <c r="E3356" s="115" t="e">
        <f t="array" aca="1" ref="E3356" ca="1">IF(OR(C3355=0,AND(B3357=0,C3357=0)),"",IFERROR(INDEX($F$27:$F$36,MATCH(C3356,($F$27:$F$36)*($D$27:$D$36&lt;&gt;0),0)),IF(OR(AND(D3356=0,B3356=0,B3357&lt;&gt;0),AND(D3356*D3355&lt;0,B3356&lt;&gt;0)),IF(D3356=0,C3356,C3356*(1-ABS(D3356)/(ABS(D3356)+ABS(D3355)))+C3355*(1-ABS(D3355)/(ABS(D3356)+ABS(D3355)))),"")))</f>
        <v>#NAME?</v>
      </c>
    </row>
    <row r="3357" spans="2:5" x14ac:dyDescent="0.25">
      <c r="B3357" t="e">
        <f t="shared" ca="1" si="105"/>
        <v>#NAME?</v>
      </c>
      <c r="C3357">
        <v>3314</v>
      </c>
      <c r="D3357" t="e">
        <f t="shared" ca="1" si="104"/>
        <v>#NAME?</v>
      </c>
      <c r="E3357" s="115" t="e">
        <f t="array" aca="1" ref="E3357" ca="1">IF(OR(C3356=0,AND(B3358=0,C3358=0)),"",IFERROR(INDEX($F$27:$F$36,MATCH(C3357,($F$27:$F$36)*($D$27:$D$36&lt;&gt;0),0)),IF(OR(AND(D3357=0,B3357=0,B3358&lt;&gt;0),AND(D3357*D3356&lt;0,B3357&lt;&gt;0)),IF(D3357=0,C3357,C3357*(1-ABS(D3357)/(ABS(D3357)+ABS(D3356)))+C3356*(1-ABS(D3356)/(ABS(D3357)+ABS(D3356)))),"")))</f>
        <v>#NAME?</v>
      </c>
    </row>
    <row r="3358" spans="2:5" x14ac:dyDescent="0.25">
      <c r="B3358" t="e">
        <f t="shared" ca="1" si="105"/>
        <v>#NAME?</v>
      </c>
      <c r="C3358">
        <v>3315</v>
      </c>
      <c r="D3358" t="e">
        <f t="shared" ca="1" si="104"/>
        <v>#NAME?</v>
      </c>
      <c r="E3358" s="115" t="e">
        <f t="array" aca="1" ref="E3358" ca="1">IF(OR(C3357=0,AND(B3359=0,C3359=0)),"",IFERROR(INDEX($F$27:$F$36,MATCH(C3358,($F$27:$F$36)*($D$27:$D$36&lt;&gt;0),0)),IF(OR(AND(D3358=0,B3358=0,B3359&lt;&gt;0),AND(D3358*D3357&lt;0,B3358&lt;&gt;0)),IF(D3358=0,C3358,C3358*(1-ABS(D3358)/(ABS(D3358)+ABS(D3357)))+C3357*(1-ABS(D3357)/(ABS(D3358)+ABS(D3357)))),"")))</f>
        <v>#NAME?</v>
      </c>
    </row>
    <row r="3359" spans="2:5" x14ac:dyDescent="0.25">
      <c r="B3359" t="e">
        <f t="shared" ca="1" si="105"/>
        <v>#NAME?</v>
      </c>
      <c r="C3359">
        <v>3316</v>
      </c>
      <c r="D3359" t="e">
        <f t="shared" ca="1" si="104"/>
        <v>#NAME?</v>
      </c>
      <c r="E3359" s="115" t="e">
        <f t="array" aca="1" ref="E3359" ca="1">IF(OR(C3358=0,AND(B3360=0,C3360=0)),"",IFERROR(INDEX($F$27:$F$36,MATCH(C3359,($F$27:$F$36)*($D$27:$D$36&lt;&gt;0),0)),IF(OR(AND(D3359=0,B3359=0,B3360&lt;&gt;0),AND(D3359*D3358&lt;0,B3359&lt;&gt;0)),IF(D3359=0,C3359,C3359*(1-ABS(D3359)/(ABS(D3359)+ABS(D3358)))+C3358*(1-ABS(D3358)/(ABS(D3359)+ABS(D3358)))),"")))</f>
        <v>#NAME?</v>
      </c>
    </row>
    <row r="3360" spans="2:5" x14ac:dyDescent="0.25">
      <c r="B3360" t="e">
        <f t="shared" ca="1" si="105"/>
        <v>#NAME?</v>
      </c>
      <c r="C3360">
        <v>3317</v>
      </c>
      <c r="D3360" t="e">
        <f t="shared" ca="1" si="104"/>
        <v>#NAME?</v>
      </c>
      <c r="E3360" s="115" t="e">
        <f t="array" aca="1" ref="E3360" ca="1">IF(OR(C3359=0,AND(B3361=0,C3361=0)),"",IFERROR(INDEX($F$27:$F$36,MATCH(C3360,($F$27:$F$36)*($D$27:$D$36&lt;&gt;0),0)),IF(OR(AND(D3360=0,B3360=0,B3361&lt;&gt;0),AND(D3360*D3359&lt;0,B3360&lt;&gt;0)),IF(D3360=0,C3360,C3360*(1-ABS(D3360)/(ABS(D3360)+ABS(D3359)))+C3359*(1-ABS(D3359)/(ABS(D3360)+ABS(D3359)))),"")))</f>
        <v>#NAME?</v>
      </c>
    </row>
    <row r="3361" spans="2:5" x14ac:dyDescent="0.25">
      <c r="B3361" t="e">
        <f t="shared" ca="1" si="105"/>
        <v>#NAME?</v>
      </c>
      <c r="C3361">
        <v>3318</v>
      </c>
      <c r="D3361" t="e">
        <f t="shared" ca="1" si="104"/>
        <v>#NAME?</v>
      </c>
      <c r="E3361" s="115" t="e">
        <f t="array" aca="1" ref="E3361" ca="1">IF(OR(C3360=0,AND(B3362=0,C3362=0)),"",IFERROR(INDEX($F$27:$F$36,MATCH(C3361,($F$27:$F$36)*($D$27:$D$36&lt;&gt;0),0)),IF(OR(AND(D3361=0,B3361=0,B3362&lt;&gt;0),AND(D3361*D3360&lt;0,B3361&lt;&gt;0)),IF(D3361=0,C3361,C3361*(1-ABS(D3361)/(ABS(D3361)+ABS(D3360)))+C3360*(1-ABS(D3360)/(ABS(D3361)+ABS(D3360)))),"")))</f>
        <v>#NAME?</v>
      </c>
    </row>
    <row r="3362" spans="2:5" x14ac:dyDescent="0.25">
      <c r="B3362" t="e">
        <f t="shared" ca="1" si="105"/>
        <v>#NAME?</v>
      </c>
      <c r="C3362">
        <v>3319</v>
      </c>
      <c r="D3362" t="e">
        <f t="shared" ca="1" si="104"/>
        <v>#NAME?</v>
      </c>
      <c r="E3362" s="115" t="e">
        <f t="array" aca="1" ref="E3362" ca="1">IF(OR(C3361=0,AND(B3363=0,C3363=0)),"",IFERROR(INDEX($F$27:$F$36,MATCH(C3362,($F$27:$F$36)*($D$27:$D$36&lt;&gt;0),0)),IF(OR(AND(D3362=0,B3362=0,B3363&lt;&gt;0),AND(D3362*D3361&lt;0,B3362&lt;&gt;0)),IF(D3362=0,C3362,C3362*(1-ABS(D3362)/(ABS(D3362)+ABS(D3361)))+C3361*(1-ABS(D3361)/(ABS(D3362)+ABS(D3361)))),"")))</f>
        <v>#NAME?</v>
      </c>
    </row>
    <row r="3363" spans="2:5" x14ac:dyDescent="0.25">
      <c r="B3363" t="e">
        <f t="shared" ca="1" si="105"/>
        <v>#NAME?</v>
      </c>
      <c r="C3363">
        <v>3320</v>
      </c>
      <c r="D3363" t="e">
        <f t="shared" ca="1" si="104"/>
        <v>#NAME?</v>
      </c>
      <c r="E3363" s="115" t="e">
        <f t="array" aca="1" ref="E3363" ca="1">IF(OR(C3362=0,AND(B3364=0,C3364=0)),"",IFERROR(INDEX($F$27:$F$36,MATCH(C3363,($F$27:$F$36)*($D$27:$D$36&lt;&gt;0),0)),IF(OR(AND(D3363=0,B3363=0,B3364&lt;&gt;0),AND(D3363*D3362&lt;0,B3363&lt;&gt;0)),IF(D3363=0,C3363,C3363*(1-ABS(D3363)/(ABS(D3363)+ABS(D3362)))+C3362*(1-ABS(D3362)/(ABS(D3363)+ABS(D3362)))),"")))</f>
        <v>#NAME?</v>
      </c>
    </row>
    <row r="3364" spans="2:5" x14ac:dyDescent="0.25">
      <c r="B3364" t="e">
        <f t="shared" ca="1" si="105"/>
        <v>#NAME?</v>
      </c>
      <c r="C3364">
        <v>3321</v>
      </c>
      <c r="D3364" t="e">
        <f t="shared" ca="1" si="104"/>
        <v>#NAME?</v>
      </c>
      <c r="E3364" s="115" t="e">
        <f t="array" aca="1" ref="E3364" ca="1">IF(OR(C3363=0,AND(B3365=0,C3365=0)),"",IFERROR(INDEX($F$27:$F$36,MATCH(C3364,($F$27:$F$36)*($D$27:$D$36&lt;&gt;0),0)),IF(OR(AND(D3364=0,B3364=0,B3365&lt;&gt;0),AND(D3364*D3363&lt;0,B3364&lt;&gt;0)),IF(D3364=0,C3364,C3364*(1-ABS(D3364)/(ABS(D3364)+ABS(D3363)))+C3363*(1-ABS(D3363)/(ABS(D3364)+ABS(D3363)))),"")))</f>
        <v>#NAME?</v>
      </c>
    </row>
    <row r="3365" spans="2:5" x14ac:dyDescent="0.25">
      <c r="B3365" t="e">
        <f t="shared" ca="1" si="105"/>
        <v>#NAME?</v>
      </c>
      <c r="C3365">
        <v>3322</v>
      </c>
      <c r="D3365" t="e">
        <f t="shared" ca="1" si="104"/>
        <v>#NAME?</v>
      </c>
      <c r="E3365" s="115" t="e">
        <f t="array" aca="1" ref="E3365" ca="1">IF(OR(C3364=0,AND(B3366=0,C3366=0)),"",IFERROR(INDEX($F$27:$F$36,MATCH(C3365,($F$27:$F$36)*($D$27:$D$36&lt;&gt;0),0)),IF(OR(AND(D3365=0,B3365=0,B3366&lt;&gt;0),AND(D3365*D3364&lt;0,B3365&lt;&gt;0)),IF(D3365=0,C3365,C3365*(1-ABS(D3365)/(ABS(D3365)+ABS(D3364)))+C3364*(1-ABS(D3364)/(ABS(D3365)+ABS(D3364)))),"")))</f>
        <v>#NAME?</v>
      </c>
    </row>
    <row r="3366" spans="2:5" x14ac:dyDescent="0.25">
      <c r="B3366" t="e">
        <f t="shared" ca="1" si="105"/>
        <v>#NAME?</v>
      </c>
      <c r="C3366">
        <v>3323</v>
      </c>
      <c r="D3366" t="e">
        <f t="shared" ca="1" si="104"/>
        <v>#NAME?</v>
      </c>
      <c r="E3366" s="115" t="e">
        <f t="array" aca="1" ref="E3366" ca="1">IF(OR(C3365=0,AND(B3367=0,C3367=0)),"",IFERROR(INDEX($F$27:$F$36,MATCH(C3366,($F$27:$F$36)*($D$27:$D$36&lt;&gt;0),0)),IF(OR(AND(D3366=0,B3366=0,B3367&lt;&gt;0),AND(D3366*D3365&lt;0,B3366&lt;&gt;0)),IF(D3366=0,C3366,C3366*(1-ABS(D3366)/(ABS(D3366)+ABS(D3365)))+C3365*(1-ABS(D3365)/(ABS(D3366)+ABS(D3365)))),"")))</f>
        <v>#NAME?</v>
      </c>
    </row>
    <row r="3367" spans="2:5" x14ac:dyDescent="0.25">
      <c r="B3367" t="e">
        <f t="shared" ca="1" si="105"/>
        <v>#NAME?</v>
      </c>
      <c r="C3367">
        <v>3324</v>
      </c>
      <c r="D3367" t="e">
        <f t="shared" ca="1" si="104"/>
        <v>#NAME?</v>
      </c>
      <c r="E3367" s="115" t="e">
        <f t="array" aca="1" ref="E3367" ca="1">IF(OR(C3366=0,AND(B3368=0,C3368=0)),"",IFERROR(INDEX($F$27:$F$36,MATCH(C3367,($F$27:$F$36)*($D$27:$D$36&lt;&gt;0),0)),IF(OR(AND(D3367=0,B3367=0,B3368&lt;&gt;0),AND(D3367*D3366&lt;0,B3367&lt;&gt;0)),IF(D3367=0,C3367,C3367*(1-ABS(D3367)/(ABS(D3367)+ABS(D3366)))+C3366*(1-ABS(D3366)/(ABS(D3367)+ABS(D3366)))),"")))</f>
        <v>#NAME?</v>
      </c>
    </row>
    <row r="3368" spans="2:5" x14ac:dyDescent="0.25">
      <c r="B3368" t="e">
        <f t="shared" ca="1" si="105"/>
        <v>#NAME?</v>
      </c>
      <c r="C3368">
        <v>3325</v>
      </c>
      <c r="D3368" t="e">
        <f t="shared" ca="1" si="104"/>
        <v>#NAME?</v>
      </c>
      <c r="E3368" s="115" t="e">
        <f t="array" aca="1" ref="E3368" ca="1">IF(OR(C3367=0,AND(B3369=0,C3369=0)),"",IFERROR(INDEX($F$27:$F$36,MATCH(C3368,($F$27:$F$36)*($D$27:$D$36&lt;&gt;0),0)),IF(OR(AND(D3368=0,B3368=0,B3369&lt;&gt;0),AND(D3368*D3367&lt;0,B3368&lt;&gt;0)),IF(D3368=0,C3368,C3368*(1-ABS(D3368)/(ABS(D3368)+ABS(D3367)))+C3367*(1-ABS(D3367)/(ABS(D3368)+ABS(D3367)))),"")))</f>
        <v>#NAME?</v>
      </c>
    </row>
    <row r="3369" spans="2:5" x14ac:dyDescent="0.25">
      <c r="B3369" t="e">
        <f t="shared" ca="1" si="105"/>
        <v>#NAME?</v>
      </c>
      <c r="C3369">
        <v>3326</v>
      </c>
      <c r="D3369" t="e">
        <f t="shared" ca="1" si="104"/>
        <v>#NAME?</v>
      </c>
      <c r="E3369" s="115" t="e">
        <f t="array" aca="1" ref="E3369" ca="1">IF(OR(C3368=0,AND(B3370=0,C3370=0)),"",IFERROR(INDEX($F$27:$F$36,MATCH(C3369,($F$27:$F$36)*($D$27:$D$36&lt;&gt;0),0)),IF(OR(AND(D3369=0,B3369=0,B3370&lt;&gt;0),AND(D3369*D3368&lt;0,B3369&lt;&gt;0)),IF(D3369=0,C3369,C3369*(1-ABS(D3369)/(ABS(D3369)+ABS(D3368)))+C3368*(1-ABS(D3368)/(ABS(D3369)+ABS(D3368)))),"")))</f>
        <v>#NAME?</v>
      </c>
    </row>
    <row r="3370" spans="2:5" x14ac:dyDescent="0.25">
      <c r="B3370" t="e">
        <f t="shared" ca="1" si="105"/>
        <v>#NAME?</v>
      </c>
      <c r="C3370">
        <v>3327</v>
      </c>
      <c r="D3370" t="e">
        <f t="shared" ca="1" si="104"/>
        <v>#NAME?</v>
      </c>
      <c r="E3370" s="115" t="e">
        <f t="array" aca="1" ref="E3370" ca="1">IF(OR(C3369=0,AND(B3371=0,C3371=0)),"",IFERROR(INDEX($F$27:$F$36,MATCH(C3370,($F$27:$F$36)*($D$27:$D$36&lt;&gt;0),0)),IF(OR(AND(D3370=0,B3370=0,B3371&lt;&gt;0),AND(D3370*D3369&lt;0,B3370&lt;&gt;0)),IF(D3370=0,C3370,C3370*(1-ABS(D3370)/(ABS(D3370)+ABS(D3369)))+C3369*(1-ABS(D3369)/(ABS(D3370)+ABS(D3369)))),"")))</f>
        <v>#NAME?</v>
      </c>
    </row>
    <row r="3371" spans="2:5" x14ac:dyDescent="0.25">
      <c r="B3371" t="e">
        <f t="shared" ca="1" si="105"/>
        <v>#NAME?</v>
      </c>
      <c r="C3371">
        <v>3328</v>
      </c>
      <c r="D3371" t="e">
        <f t="shared" ref="D3371:D3434" ca="1" si="106">SUMPRODUCT(--($J$27:$J$37&gt;0),--($C3371-$F$27:$F$37&gt;0),($D$27:$D$37),($C3371-$F$27:$F$37))+SUMPRODUCT(--($J$27:$J$37&lt;0),--($F$27:$F$37-$C3371&gt;0),($D$27:$D$37),($F$27:$F$37-$C3371))-SUMPRODUCT($D$27:$D$37,$E$27:$E$37)</f>
        <v>#NAME?</v>
      </c>
      <c r="E3371" s="115" t="e">
        <f t="array" aca="1" ref="E3371" ca="1">IF(OR(C3370=0,AND(B3372=0,C3372=0)),"",IFERROR(INDEX($F$27:$F$36,MATCH(C3371,($F$27:$F$36)*($D$27:$D$36&lt;&gt;0),0)),IF(OR(AND(D3371=0,B3371=0,B3372&lt;&gt;0),AND(D3371*D3370&lt;0,B3371&lt;&gt;0)),IF(D3371=0,C3371,C3371*(1-ABS(D3371)/(ABS(D3371)+ABS(D3370)))+C3370*(1-ABS(D3370)/(ABS(D3371)+ABS(D3370)))),"")))</f>
        <v>#NAME?</v>
      </c>
    </row>
    <row r="3372" spans="2:5" x14ac:dyDescent="0.25">
      <c r="B3372" t="e">
        <f t="shared" ref="B3372:B3435" ca="1" si="107">ROUND((D3372-D3371)/(C3372-C3371),12)</f>
        <v>#NAME?</v>
      </c>
      <c r="C3372">
        <v>3329</v>
      </c>
      <c r="D3372" t="e">
        <f t="shared" ca="1" si="106"/>
        <v>#NAME?</v>
      </c>
      <c r="E3372" s="115" t="e">
        <f t="array" aca="1" ref="E3372" ca="1">IF(OR(C3371=0,AND(B3373=0,C3373=0)),"",IFERROR(INDEX($F$27:$F$36,MATCH(C3372,($F$27:$F$36)*($D$27:$D$36&lt;&gt;0),0)),IF(OR(AND(D3372=0,B3372=0,B3373&lt;&gt;0),AND(D3372*D3371&lt;0,B3372&lt;&gt;0)),IF(D3372=0,C3372,C3372*(1-ABS(D3372)/(ABS(D3372)+ABS(D3371)))+C3371*(1-ABS(D3371)/(ABS(D3372)+ABS(D3371)))),"")))</f>
        <v>#NAME?</v>
      </c>
    </row>
    <row r="3373" spans="2:5" x14ac:dyDescent="0.25">
      <c r="B3373" t="e">
        <f t="shared" ca="1" si="107"/>
        <v>#NAME?</v>
      </c>
      <c r="C3373">
        <v>3330</v>
      </c>
      <c r="D3373" t="e">
        <f t="shared" ca="1" si="106"/>
        <v>#NAME?</v>
      </c>
      <c r="E3373" s="115" t="e">
        <f t="array" aca="1" ref="E3373" ca="1">IF(OR(C3372=0,AND(B3374=0,C3374=0)),"",IFERROR(INDEX($F$27:$F$36,MATCH(C3373,($F$27:$F$36)*($D$27:$D$36&lt;&gt;0),0)),IF(OR(AND(D3373=0,B3373=0,B3374&lt;&gt;0),AND(D3373*D3372&lt;0,B3373&lt;&gt;0)),IF(D3373=0,C3373,C3373*(1-ABS(D3373)/(ABS(D3373)+ABS(D3372)))+C3372*(1-ABS(D3372)/(ABS(D3373)+ABS(D3372)))),"")))</f>
        <v>#NAME?</v>
      </c>
    </row>
    <row r="3374" spans="2:5" x14ac:dyDescent="0.25">
      <c r="B3374" t="e">
        <f t="shared" ca="1" si="107"/>
        <v>#NAME?</v>
      </c>
      <c r="C3374">
        <v>3331</v>
      </c>
      <c r="D3374" t="e">
        <f t="shared" ca="1" si="106"/>
        <v>#NAME?</v>
      </c>
      <c r="E3374" s="115" t="e">
        <f t="array" aca="1" ref="E3374" ca="1">IF(OR(C3373=0,AND(B3375=0,C3375=0)),"",IFERROR(INDEX($F$27:$F$36,MATCH(C3374,($F$27:$F$36)*($D$27:$D$36&lt;&gt;0),0)),IF(OR(AND(D3374=0,B3374=0,B3375&lt;&gt;0),AND(D3374*D3373&lt;0,B3374&lt;&gt;0)),IF(D3374=0,C3374,C3374*(1-ABS(D3374)/(ABS(D3374)+ABS(D3373)))+C3373*(1-ABS(D3373)/(ABS(D3374)+ABS(D3373)))),"")))</f>
        <v>#NAME?</v>
      </c>
    </row>
    <row r="3375" spans="2:5" x14ac:dyDescent="0.25">
      <c r="B3375" t="e">
        <f t="shared" ca="1" si="107"/>
        <v>#NAME?</v>
      </c>
      <c r="C3375">
        <v>3332</v>
      </c>
      <c r="D3375" t="e">
        <f t="shared" ca="1" si="106"/>
        <v>#NAME?</v>
      </c>
      <c r="E3375" s="115" t="e">
        <f t="array" aca="1" ref="E3375" ca="1">IF(OR(C3374=0,AND(B3376=0,C3376=0)),"",IFERROR(INDEX($F$27:$F$36,MATCH(C3375,($F$27:$F$36)*($D$27:$D$36&lt;&gt;0),0)),IF(OR(AND(D3375=0,B3375=0,B3376&lt;&gt;0),AND(D3375*D3374&lt;0,B3375&lt;&gt;0)),IF(D3375=0,C3375,C3375*(1-ABS(D3375)/(ABS(D3375)+ABS(D3374)))+C3374*(1-ABS(D3374)/(ABS(D3375)+ABS(D3374)))),"")))</f>
        <v>#NAME?</v>
      </c>
    </row>
    <row r="3376" spans="2:5" x14ac:dyDescent="0.25">
      <c r="B3376" t="e">
        <f t="shared" ca="1" si="107"/>
        <v>#NAME?</v>
      </c>
      <c r="C3376">
        <v>3333</v>
      </c>
      <c r="D3376" t="e">
        <f t="shared" ca="1" si="106"/>
        <v>#NAME?</v>
      </c>
      <c r="E3376" s="115" t="e">
        <f t="array" aca="1" ref="E3376" ca="1">IF(OR(C3375=0,AND(B3377=0,C3377=0)),"",IFERROR(INDEX($F$27:$F$36,MATCH(C3376,($F$27:$F$36)*($D$27:$D$36&lt;&gt;0),0)),IF(OR(AND(D3376=0,B3376=0,B3377&lt;&gt;0),AND(D3376*D3375&lt;0,B3376&lt;&gt;0)),IF(D3376=0,C3376,C3376*(1-ABS(D3376)/(ABS(D3376)+ABS(D3375)))+C3375*(1-ABS(D3375)/(ABS(D3376)+ABS(D3375)))),"")))</f>
        <v>#NAME?</v>
      </c>
    </row>
    <row r="3377" spans="2:5" x14ac:dyDescent="0.25">
      <c r="B3377" t="e">
        <f t="shared" ca="1" si="107"/>
        <v>#NAME?</v>
      </c>
      <c r="C3377">
        <v>3334</v>
      </c>
      <c r="D3377" t="e">
        <f t="shared" ca="1" si="106"/>
        <v>#NAME?</v>
      </c>
      <c r="E3377" s="115" t="e">
        <f t="array" aca="1" ref="E3377" ca="1">IF(OR(C3376=0,AND(B3378=0,C3378=0)),"",IFERROR(INDEX($F$27:$F$36,MATCH(C3377,($F$27:$F$36)*($D$27:$D$36&lt;&gt;0),0)),IF(OR(AND(D3377=0,B3377=0,B3378&lt;&gt;0),AND(D3377*D3376&lt;0,B3377&lt;&gt;0)),IF(D3377=0,C3377,C3377*(1-ABS(D3377)/(ABS(D3377)+ABS(D3376)))+C3376*(1-ABS(D3376)/(ABS(D3377)+ABS(D3376)))),"")))</f>
        <v>#NAME?</v>
      </c>
    </row>
    <row r="3378" spans="2:5" x14ac:dyDescent="0.25">
      <c r="B3378" t="e">
        <f t="shared" ca="1" si="107"/>
        <v>#NAME?</v>
      </c>
      <c r="C3378">
        <v>3335</v>
      </c>
      <c r="D3378" t="e">
        <f t="shared" ca="1" si="106"/>
        <v>#NAME?</v>
      </c>
      <c r="E3378" s="115" t="e">
        <f t="array" aca="1" ref="E3378" ca="1">IF(OR(C3377=0,AND(B3379=0,C3379=0)),"",IFERROR(INDEX($F$27:$F$36,MATCH(C3378,($F$27:$F$36)*($D$27:$D$36&lt;&gt;0),0)),IF(OR(AND(D3378=0,B3378=0,B3379&lt;&gt;0),AND(D3378*D3377&lt;0,B3378&lt;&gt;0)),IF(D3378=0,C3378,C3378*(1-ABS(D3378)/(ABS(D3378)+ABS(D3377)))+C3377*(1-ABS(D3377)/(ABS(D3378)+ABS(D3377)))),"")))</f>
        <v>#NAME?</v>
      </c>
    </row>
    <row r="3379" spans="2:5" x14ac:dyDescent="0.25">
      <c r="B3379" t="e">
        <f t="shared" ca="1" si="107"/>
        <v>#NAME?</v>
      </c>
      <c r="C3379">
        <v>3336</v>
      </c>
      <c r="D3379" t="e">
        <f t="shared" ca="1" si="106"/>
        <v>#NAME?</v>
      </c>
      <c r="E3379" s="115" t="e">
        <f t="array" aca="1" ref="E3379" ca="1">IF(OR(C3378=0,AND(B3380=0,C3380=0)),"",IFERROR(INDEX($F$27:$F$36,MATCH(C3379,($F$27:$F$36)*($D$27:$D$36&lt;&gt;0),0)),IF(OR(AND(D3379=0,B3379=0,B3380&lt;&gt;0),AND(D3379*D3378&lt;0,B3379&lt;&gt;0)),IF(D3379=0,C3379,C3379*(1-ABS(D3379)/(ABS(D3379)+ABS(D3378)))+C3378*(1-ABS(D3378)/(ABS(D3379)+ABS(D3378)))),"")))</f>
        <v>#NAME?</v>
      </c>
    </row>
    <row r="3380" spans="2:5" x14ac:dyDescent="0.25">
      <c r="B3380" t="e">
        <f t="shared" ca="1" si="107"/>
        <v>#NAME?</v>
      </c>
      <c r="C3380">
        <v>3337</v>
      </c>
      <c r="D3380" t="e">
        <f t="shared" ca="1" si="106"/>
        <v>#NAME?</v>
      </c>
      <c r="E3380" s="115" t="e">
        <f t="array" aca="1" ref="E3380" ca="1">IF(OR(C3379=0,AND(B3381=0,C3381=0)),"",IFERROR(INDEX($F$27:$F$36,MATCH(C3380,($F$27:$F$36)*($D$27:$D$36&lt;&gt;0),0)),IF(OR(AND(D3380=0,B3380=0,B3381&lt;&gt;0),AND(D3380*D3379&lt;0,B3380&lt;&gt;0)),IF(D3380=0,C3380,C3380*(1-ABS(D3380)/(ABS(D3380)+ABS(D3379)))+C3379*(1-ABS(D3379)/(ABS(D3380)+ABS(D3379)))),"")))</f>
        <v>#NAME?</v>
      </c>
    </row>
    <row r="3381" spans="2:5" x14ac:dyDescent="0.25">
      <c r="B3381" t="e">
        <f t="shared" ca="1" si="107"/>
        <v>#NAME?</v>
      </c>
      <c r="C3381">
        <v>3338</v>
      </c>
      <c r="D3381" t="e">
        <f t="shared" ca="1" si="106"/>
        <v>#NAME?</v>
      </c>
      <c r="E3381" s="115" t="e">
        <f t="array" aca="1" ref="E3381" ca="1">IF(OR(C3380=0,AND(B3382=0,C3382=0)),"",IFERROR(INDEX($F$27:$F$36,MATCH(C3381,($F$27:$F$36)*($D$27:$D$36&lt;&gt;0),0)),IF(OR(AND(D3381=0,B3381=0,B3382&lt;&gt;0),AND(D3381*D3380&lt;0,B3381&lt;&gt;0)),IF(D3381=0,C3381,C3381*(1-ABS(D3381)/(ABS(D3381)+ABS(D3380)))+C3380*(1-ABS(D3380)/(ABS(D3381)+ABS(D3380)))),"")))</f>
        <v>#NAME?</v>
      </c>
    </row>
    <row r="3382" spans="2:5" x14ac:dyDescent="0.25">
      <c r="B3382" t="e">
        <f t="shared" ca="1" si="107"/>
        <v>#NAME?</v>
      </c>
      <c r="C3382">
        <v>3339</v>
      </c>
      <c r="D3382" t="e">
        <f t="shared" ca="1" si="106"/>
        <v>#NAME?</v>
      </c>
      <c r="E3382" s="115" t="e">
        <f t="array" aca="1" ref="E3382" ca="1">IF(OR(C3381=0,AND(B3383=0,C3383=0)),"",IFERROR(INDEX($F$27:$F$36,MATCH(C3382,($F$27:$F$36)*($D$27:$D$36&lt;&gt;0),0)),IF(OR(AND(D3382=0,B3382=0,B3383&lt;&gt;0),AND(D3382*D3381&lt;0,B3382&lt;&gt;0)),IF(D3382=0,C3382,C3382*(1-ABS(D3382)/(ABS(D3382)+ABS(D3381)))+C3381*(1-ABS(D3381)/(ABS(D3382)+ABS(D3381)))),"")))</f>
        <v>#NAME?</v>
      </c>
    </row>
    <row r="3383" spans="2:5" x14ac:dyDescent="0.25">
      <c r="B3383" t="e">
        <f t="shared" ca="1" si="107"/>
        <v>#NAME?</v>
      </c>
      <c r="C3383">
        <v>3340</v>
      </c>
      <c r="D3383" t="e">
        <f t="shared" ca="1" si="106"/>
        <v>#NAME?</v>
      </c>
      <c r="E3383" s="115" t="e">
        <f t="array" aca="1" ref="E3383" ca="1">IF(OR(C3382=0,AND(B3384=0,C3384=0)),"",IFERROR(INDEX($F$27:$F$36,MATCH(C3383,($F$27:$F$36)*($D$27:$D$36&lt;&gt;0),0)),IF(OR(AND(D3383=0,B3383=0,B3384&lt;&gt;0),AND(D3383*D3382&lt;0,B3383&lt;&gt;0)),IF(D3383=0,C3383,C3383*(1-ABS(D3383)/(ABS(D3383)+ABS(D3382)))+C3382*(1-ABS(D3382)/(ABS(D3383)+ABS(D3382)))),"")))</f>
        <v>#NAME?</v>
      </c>
    </row>
    <row r="3384" spans="2:5" x14ac:dyDescent="0.25">
      <c r="B3384" t="e">
        <f t="shared" ca="1" si="107"/>
        <v>#NAME?</v>
      </c>
      <c r="C3384">
        <v>3341</v>
      </c>
      <c r="D3384" t="e">
        <f t="shared" ca="1" si="106"/>
        <v>#NAME?</v>
      </c>
      <c r="E3384" s="115" t="e">
        <f t="array" aca="1" ref="E3384" ca="1">IF(OR(C3383=0,AND(B3385=0,C3385=0)),"",IFERROR(INDEX($F$27:$F$36,MATCH(C3384,($F$27:$F$36)*($D$27:$D$36&lt;&gt;0),0)),IF(OR(AND(D3384=0,B3384=0,B3385&lt;&gt;0),AND(D3384*D3383&lt;0,B3384&lt;&gt;0)),IF(D3384=0,C3384,C3384*(1-ABS(D3384)/(ABS(D3384)+ABS(D3383)))+C3383*(1-ABS(D3383)/(ABS(D3384)+ABS(D3383)))),"")))</f>
        <v>#NAME?</v>
      </c>
    </row>
    <row r="3385" spans="2:5" x14ac:dyDescent="0.25">
      <c r="B3385" t="e">
        <f t="shared" ca="1" si="107"/>
        <v>#NAME?</v>
      </c>
      <c r="C3385">
        <v>3342</v>
      </c>
      <c r="D3385" t="e">
        <f t="shared" ca="1" si="106"/>
        <v>#NAME?</v>
      </c>
      <c r="E3385" s="115" t="e">
        <f t="array" aca="1" ref="E3385" ca="1">IF(OR(C3384=0,AND(B3386=0,C3386=0)),"",IFERROR(INDEX($F$27:$F$36,MATCH(C3385,($F$27:$F$36)*($D$27:$D$36&lt;&gt;0),0)),IF(OR(AND(D3385=0,B3385=0,B3386&lt;&gt;0),AND(D3385*D3384&lt;0,B3385&lt;&gt;0)),IF(D3385=0,C3385,C3385*(1-ABS(D3385)/(ABS(D3385)+ABS(D3384)))+C3384*(1-ABS(D3384)/(ABS(D3385)+ABS(D3384)))),"")))</f>
        <v>#NAME?</v>
      </c>
    </row>
    <row r="3386" spans="2:5" x14ac:dyDescent="0.25">
      <c r="B3386" t="e">
        <f t="shared" ca="1" si="107"/>
        <v>#NAME?</v>
      </c>
      <c r="C3386">
        <v>3343</v>
      </c>
      <c r="D3386" t="e">
        <f t="shared" ca="1" si="106"/>
        <v>#NAME?</v>
      </c>
      <c r="E3386" s="115" t="e">
        <f t="array" aca="1" ref="E3386" ca="1">IF(OR(C3385=0,AND(B3387=0,C3387=0)),"",IFERROR(INDEX($F$27:$F$36,MATCH(C3386,($F$27:$F$36)*($D$27:$D$36&lt;&gt;0),0)),IF(OR(AND(D3386=0,B3386=0,B3387&lt;&gt;0),AND(D3386*D3385&lt;0,B3386&lt;&gt;0)),IF(D3386=0,C3386,C3386*(1-ABS(D3386)/(ABS(D3386)+ABS(D3385)))+C3385*(1-ABS(D3385)/(ABS(D3386)+ABS(D3385)))),"")))</f>
        <v>#NAME?</v>
      </c>
    </row>
    <row r="3387" spans="2:5" x14ac:dyDescent="0.25">
      <c r="B3387" t="e">
        <f t="shared" ca="1" si="107"/>
        <v>#NAME?</v>
      </c>
      <c r="C3387">
        <v>3344</v>
      </c>
      <c r="D3387" t="e">
        <f t="shared" ca="1" si="106"/>
        <v>#NAME?</v>
      </c>
      <c r="E3387" s="115" t="e">
        <f t="array" aca="1" ref="E3387" ca="1">IF(OR(C3386=0,AND(B3388=0,C3388=0)),"",IFERROR(INDEX($F$27:$F$36,MATCH(C3387,($F$27:$F$36)*($D$27:$D$36&lt;&gt;0),0)),IF(OR(AND(D3387=0,B3387=0,B3388&lt;&gt;0),AND(D3387*D3386&lt;0,B3387&lt;&gt;0)),IF(D3387=0,C3387,C3387*(1-ABS(D3387)/(ABS(D3387)+ABS(D3386)))+C3386*(1-ABS(D3386)/(ABS(D3387)+ABS(D3386)))),"")))</f>
        <v>#NAME?</v>
      </c>
    </row>
    <row r="3388" spans="2:5" x14ac:dyDescent="0.25">
      <c r="B3388" t="e">
        <f t="shared" ca="1" si="107"/>
        <v>#NAME?</v>
      </c>
      <c r="C3388">
        <v>3345</v>
      </c>
      <c r="D3388" t="e">
        <f t="shared" ca="1" si="106"/>
        <v>#NAME?</v>
      </c>
      <c r="E3388" s="115" t="e">
        <f t="array" aca="1" ref="E3388" ca="1">IF(OR(C3387=0,AND(B3389=0,C3389=0)),"",IFERROR(INDEX($F$27:$F$36,MATCH(C3388,($F$27:$F$36)*($D$27:$D$36&lt;&gt;0),0)),IF(OR(AND(D3388=0,B3388=0,B3389&lt;&gt;0),AND(D3388*D3387&lt;0,B3388&lt;&gt;0)),IF(D3388=0,C3388,C3388*(1-ABS(D3388)/(ABS(D3388)+ABS(D3387)))+C3387*(1-ABS(D3387)/(ABS(D3388)+ABS(D3387)))),"")))</f>
        <v>#NAME?</v>
      </c>
    </row>
    <row r="3389" spans="2:5" x14ac:dyDescent="0.25">
      <c r="B3389" t="e">
        <f t="shared" ca="1" si="107"/>
        <v>#NAME?</v>
      </c>
      <c r="C3389">
        <v>3346</v>
      </c>
      <c r="D3389" t="e">
        <f t="shared" ca="1" si="106"/>
        <v>#NAME?</v>
      </c>
      <c r="E3389" s="115" t="e">
        <f t="array" aca="1" ref="E3389" ca="1">IF(OR(C3388=0,AND(B3390=0,C3390=0)),"",IFERROR(INDEX($F$27:$F$36,MATCH(C3389,($F$27:$F$36)*($D$27:$D$36&lt;&gt;0),0)),IF(OR(AND(D3389=0,B3389=0,B3390&lt;&gt;0),AND(D3389*D3388&lt;0,B3389&lt;&gt;0)),IF(D3389=0,C3389,C3389*(1-ABS(D3389)/(ABS(D3389)+ABS(D3388)))+C3388*(1-ABS(D3388)/(ABS(D3389)+ABS(D3388)))),"")))</f>
        <v>#NAME?</v>
      </c>
    </row>
    <row r="3390" spans="2:5" x14ac:dyDescent="0.25">
      <c r="B3390" t="e">
        <f t="shared" ca="1" si="107"/>
        <v>#NAME?</v>
      </c>
      <c r="C3390">
        <v>3347</v>
      </c>
      <c r="D3390" t="e">
        <f t="shared" ca="1" si="106"/>
        <v>#NAME?</v>
      </c>
      <c r="E3390" s="115" t="e">
        <f t="array" aca="1" ref="E3390" ca="1">IF(OR(C3389=0,AND(B3391=0,C3391=0)),"",IFERROR(INDEX($F$27:$F$36,MATCH(C3390,($F$27:$F$36)*($D$27:$D$36&lt;&gt;0),0)),IF(OR(AND(D3390=0,B3390=0,B3391&lt;&gt;0),AND(D3390*D3389&lt;0,B3390&lt;&gt;0)),IF(D3390=0,C3390,C3390*(1-ABS(D3390)/(ABS(D3390)+ABS(D3389)))+C3389*(1-ABS(D3389)/(ABS(D3390)+ABS(D3389)))),"")))</f>
        <v>#NAME?</v>
      </c>
    </row>
    <row r="3391" spans="2:5" x14ac:dyDescent="0.25">
      <c r="B3391" t="e">
        <f t="shared" ca="1" si="107"/>
        <v>#NAME?</v>
      </c>
      <c r="C3391">
        <v>3348</v>
      </c>
      <c r="D3391" t="e">
        <f t="shared" ca="1" si="106"/>
        <v>#NAME?</v>
      </c>
      <c r="E3391" s="115" t="e">
        <f t="array" aca="1" ref="E3391" ca="1">IF(OR(C3390=0,AND(B3392=0,C3392=0)),"",IFERROR(INDEX($F$27:$F$36,MATCH(C3391,($F$27:$F$36)*($D$27:$D$36&lt;&gt;0),0)),IF(OR(AND(D3391=0,B3391=0,B3392&lt;&gt;0),AND(D3391*D3390&lt;0,B3391&lt;&gt;0)),IF(D3391=0,C3391,C3391*(1-ABS(D3391)/(ABS(D3391)+ABS(D3390)))+C3390*(1-ABS(D3390)/(ABS(D3391)+ABS(D3390)))),"")))</f>
        <v>#NAME?</v>
      </c>
    </row>
    <row r="3392" spans="2:5" x14ac:dyDescent="0.25">
      <c r="B3392" t="e">
        <f t="shared" ca="1" si="107"/>
        <v>#NAME?</v>
      </c>
      <c r="C3392">
        <v>3349</v>
      </c>
      <c r="D3392" t="e">
        <f t="shared" ca="1" si="106"/>
        <v>#NAME?</v>
      </c>
      <c r="E3392" s="115" t="e">
        <f t="array" aca="1" ref="E3392" ca="1">IF(OR(C3391=0,AND(B3393=0,C3393=0)),"",IFERROR(INDEX($F$27:$F$36,MATCH(C3392,($F$27:$F$36)*($D$27:$D$36&lt;&gt;0),0)),IF(OR(AND(D3392=0,B3392=0,B3393&lt;&gt;0),AND(D3392*D3391&lt;0,B3392&lt;&gt;0)),IF(D3392=0,C3392,C3392*(1-ABS(D3392)/(ABS(D3392)+ABS(D3391)))+C3391*(1-ABS(D3391)/(ABS(D3392)+ABS(D3391)))),"")))</f>
        <v>#NAME?</v>
      </c>
    </row>
    <row r="3393" spans="2:5" x14ac:dyDescent="0.25">
      <c r="B3393" t="e">
        <f t="shared" ca="1" si="107"/>
        <v>#NAME?</v>
      </c>
      <c r="C3393">
        <v>3350</v>
      </c>
      <c r="D3393" t="e">
        <f t="shared" ca="1" si="106"/>
        <v>#NAME?</v>
      </c>
      <c r="E3393" s="115" t="e">
        <f t="array" aca="1" ref="E3393" ca="1">IF(OR(C3392=0,AND(B3394=0,C3394=0)),"",IFERROR(INDEX($F$27:$F$36,MATCH(C3393,($F$27:$F$36)*($D$27:$D$36&lt;&gt;0),0)),IF(OR(AND(D3393=0,B3393=0,B3394&lt;&gt;0),AND(D3393*D3392&lt;0,B3393&lt;&gt;0)),IF(D3393=0,C3393,C3393*(1-ABS(D3393)/(ABS(D3393)+ABS(D3392)))+C3392*(1-ABS(D3392)/(ABS(D3393)+ABS(D3392)))),"")))</f>
        <v>#NAME?</v>
      </c>
    </row>
    <row r="3394" spans="2:5" x14ac:dyDescent="0.25">
      <c r="B3394" t="e">
        <f t="shared" ca="1" si="107"/>
        <v>#NAME?</v>
      </c>
      <c r="C3394">
        <v>3351</v>
      </c>
      <c r="D3394" t="e">
        <f t="shared" ca="1" si="106"/>
        <v>#NAME?</v>
      </c>
      <c r="E3394" s="115" t="e">
        <f t="array" aca="1" ref="E3394" ca="1">IF(OR(C3393=0,AND(B3395=0,C3395=0)),"",IFERROR(INDEX($F$27:$F$36,MATCH(C3394,($F$27:$F$36)*($D$27:$D$36&lt;&gt;0),0)),IF(OR(AND(D3394=0,B3394=0,B3395&lt;&gt;0),AND(D3394*D3393&lt;0,B3394&lt;&gt;0)),IF(D3394=0,C3394,C3394*(1-ABS(D3394)/(ABS(D3394)+ABS(D3393)))+C3393*(1-ABS(D3393)/(ABS(D3394)+ABS(D3393)))),"")))</f>
        <v>#NAME?</v>
      </c>
    </row>
    <row r="3395" spans="2:5" x14ac:dyDescent="0.25">
      <c r="B3395" t="e">
        <f t="shared" ca="1" si="107"/>
        <v>#NAME?</v>
      </c>
      <c r="C3395">
        <v>3352</v>
      </c>
      <c r="D3395" t="e">
        <f t="shared" ca="1" si="106"/>
        <v>#NAME?</v>
      </c>
      <c r="E3395" s="115" t="e">
        <f t="array" aca="1" ref="E3395" ca="1">IF(OR(C3394=0,AND(B3396=0,C3396=0)),"",IFERROR(INDEX($F$27:$F$36,MATCH(C3395,($F$27:$F$36)*($D$27:$D$36&lt;&gt;0),0)),IF(OR(AND(D3395=0,B3395=0,B3396&lt;&gt;0),AND(D3395*D3394&lt;0,B3395&lt;&gt;0)),IF(D3395=0,C3395,C3395*(1-ABS(D3395)/(ABS(D3395)+ABS(D3394)))+C3394*(1-ABS(D3394)/(ABS(D3395)+ABS(D3394)))),"")))</f>
        <v>#NAME?</v>
      </c>
    </row>
    <row r="3396" spans="2:5" x14ac:dyDescent="0.25">
      <c r="B3396" t="e">
        <f t="shared" ca="1" si="107"/>
        <v>#NAME?</v>
      </c>
      <c r="C3396">
        <v>3353</v>
      </c>
      <c r="D3396" t="e">
        <f t="shared" ca="1" si="106"/>
        <v>#NAME?</v>
      </c>
      <c r="E3396" s="115" t="e">
        <f t="array" aca="1" ref="E3396" ca="1">IF(OR(C3395=0,AND(B3397=0,C3397=0)),"",IFERROR(INDEX($F$27:$F$36,MATCH(C3396,($F$27:$F$36)*($D$27:$D$36&lt;&gt;0),0)),IF(OR(AND(D3396=0,B3396=0,B3397&lt;&gt;0),AND(D3396*D3395&lt;0,B3396&lt;&gt;0)),IF(D3396=0,C3396,C3396*(1-ABS(D3396)/(ABS(D3396)+ABS(D3395)))+C3395*(1-ABS(D3395)/(ABS(D3396)+ABS(D3395)))),"")))</f>
        <v>#NAME?</v>
      </c>
    </row>
    <row r="3397" spans="2:5" x14ac:dyDescent="0.25">
      <c r="B3397" t="e">
        <f t="shared" ca="1" si="107"/>
        <v>#NAME?</v>
      </c>
      <c r="C3397">
        <v>3354</v>
      </c>
      <c r="D3397" t="e">
        <f t="shared" ca="1" si="106"/>
        <v>#NAME?</v>
      </c>
      <c r="E3397" s="115" t="e">
        <f t="array" aca="1" ref="E3397" ca="1">IF(OR(C3396=0,AND(B3398=0,C3398=0)),"",IFERROR(INDEX($F$27:$F$36,MATCH(C3397,($F$27:$F$36)*($D$27:$D$36&lt;&gt;0),0)),IF(OR(AND(D3397=0,B3397=0,B3398&lt;&gt;0),AND(D3397*D3396&lt;0,B3397&lt;&gt;0)),IF(D3397=0,C3397,C3397*(1-ABS(D3397)/(ABS(D3397)+ABS(D3396)))+C3396*(1-ABS(D3396)/(ABS(D3397)+ABS(D3396)))),"")))</f>
        <v>#NAME?</v>
      </c>
    </row>
    <row r="3398" spans="2:5" x14ac:dyDescent="0.25">
      <c r="B3398" t="e">
        <f t="shared" ca="1" si="107"/>
        <v>#NAME?</v>
      </c>
      <c r="C3398">
        <v>3355</v>
      </c>
      <c r="D3398" t="e">
        <f t="shared" ca="1" si="106"/>
        <v>#NAME?</v>
      </c>
      <c r="E3398" s="115" t="e">
        <f t="array" aca="1" ref="E3398" ca="1">IF(OR(C3397=0,AND(B3399=0,C3399=0)),"",IFERROR(INDEX($F$27:$F$36,MATCH(C3398,($F$27:$F$36)*($D$27:$D$36&lt;&gt;0),0)),IF(OR(AND(D3398=0,B3398=0,B3399&lt;&gt;0),AND(D3398*D3397&lt;0,B3398&lt;&gt;0)),IF(D3398=0,C3398,C3398*(1-ABS(D3398)/(ABS(D3398)+ABS(D3397)))+C3397*(1-ABS(D3397)/(ABS(D3398)+ABS(D3397)))),"")))</f>
        <v>#NAME?</v>
      </c>
    </row>
    <row r="3399" spans="2:5" x14ac:dyDescent="0.25">
      <c r="B3399" t="e">
        <f t="shared" ca="1" si="107"/>
        <v>#NAME?</v>
      </c>
      <c r="C3399">
        <v>3356</v>
      </c>
      <c r="D3399" t="e">
        <f t="shared" ca="1" si="106"/>
        <v>#NAME?</v>
      </c>
      <c r="E3399" s="115" t="e">
        <f t="array" aca="1" ref="E3399" ca="1">IF(OR(C3398=0,AND(B3400=0,C3400=0)),"",IFERROR(INDEX($F$27:$F$36,MATCH(C3399,($F$27:$F$36)*($D$27:$D$36&lt;&gt;0),0)),IF(OR(AND(D3399=0,B3399=0,B3400&lt;&gt;0),AND(D3399*D3398&lt;0,B3399&lt;&gt;0)),IF(D3399=0,C3399,C3399*(1-ABS(D3399)/(ABS(D3399)+ABS(D3398)))+C3398*(1-ABS(D3398)/(ABS(D3399)+ABS(D3398)))),"")))</f>
        <v>#NAME?</v>
      </c>
    </row>
    <row r="3400" spans="2:5" x14ac:dyDescent="0.25">
      <c r="B3400" t="e">
        <f t="shared" ca="1" si="107"/>
        <v>#NAME?</v>
      </c>
      <c r="C3400">
        <v>3357</v>
      </c>
      <c r="D3400" t="e">
        <f t="shared" ca="1" si="106"/>
        <v>#NAME?</v>
      </c>
      <c r="E3400" s="115" t="e">
        <f t="array" aca="1" ref="E3400" ca="1">IF(OR(C3399=0,AND(B3401=0,C3401=0)),"",IFERROR(INDEX($F$27:$F$36,MATCH(C3400,($F$27:$F$36)*($D$27:$D$36&lt;&gt;0),0)),IF(OR(AND(D3400=0,B3400=0,B3401&lt;&gt;0),AND(D3400*D3399&lt;0,B3400&lt;&gt;0)),IF(D3400=0,C3400,C3400*(1-ABS(D3400)/(ABS(D3400)+ABS(D3399)))+C3399*(1-ABS(D3399)/(ABS(D3400)+ABS(D3399)))),"")))</f>
        <v>#NAME?</v>
      </c>
    </row>
    <row r="3401" spans="2:5" x14ac:dyDescent="0.25">
      <c r="B3401" t="e">
        <f t="shared" ca="1" si="107"/>
        <v>#NAME?</v>
      </c>
      <c r="C3401">
        <v>3358</v>
      </c>
      <c r="D3401" t="e">
        <f t="shared" ca="1" si="106"/>
        <v>#NAME?</v>
      </c>
      <c r="E3401" s="115" t="e">
        <f t="array" aca="1" ref="E3401" ca="1">IF(OR(C3400=0,AND(B3402=0,C3402=0)),"",IFERROR(INDEX($F$27:$F$36,MATCH(C3401,($F$27:$F$36)*($D$27:$D$36&lt;&gt;0),0)),IF(OR(AND(D3401=0,B3401=0,B3402&lt;&gt;0),AND(D3401*D3400&lt;0,B3401&lt;&gt;0)),IF(D3401=0,C3401,C3401*(1-ABS(D3401)/(ABS(D3401)+ABS(D3400)))+C3400*(1-ABS(D3400)/(ABS(D3401)+ABS(D3400)))),"")))</f>
        <v>#NAME?</v>
      </c>
    </row>
    <row r="3402" spans="2:5" x14ac:dyDescent="0.25">
      <c r="B3402" t="e">
        <f t="shared" ca="1" si="107"/>
        <v>#NAME?</v>
      </c>
      <c r="C3402">
        <v>3359</v>
      </c>
      <c r="D3402" t="e">
        <f t="shared" ca="1" si="106"/>
        <v>#NAME?</v>
      </c>
      <c r="E3402" s="115" t="e">
        <f t="array" aca="1" ref="E3402" ca="1">IF(OR(C3401=0,AND(B3403=0,C3403=0)),"",IFERROR(INDEX($F$27:$F$36,MATCH(C3402,($F$27:$F$36)*($D$27:$D$36&lt;&gt;0),0)),IF(OR(AND(D3402=0,B3402=0,B3403&lt;&gt;0),AND(D3402*D3401&lt;0,B3402&lt;&gt;0)),IF(D3402=0,C3402,C3402*(1-ABS(D3402)/(ABS(D3402)+ABS(D3401)))+C3401*(1-ABS(D3401)/(ABS(D3402)+ABS(D3401)))),"")))</f>
        <v>#NAME?</v>
      </c>
    </row>
    <row r="3403" spans="2:5" x14ac:dyDescent="0.25">
      <c r="B3403" t="e">
        <f t="shared" ca="1" si="107"/>
        <v>#NAME?</v>
      </c>
      <c r="C3403">
        <v>3360</v>
      </c>
      <c r="D3403" t="e">
        <f t="shared" ca="1" si="106"/>
        <v>#NAME?</v>
      </c>
      <c r="E3403" s="115" t="e">
        <f t="array" aca="1" ref="E3403" ca="1">IF(OR(C3402=0,AND(B3404=0,C3404=0)),"",IFERROR(INDEX($F$27:$F$36,MATCH(C3403,($F$27:$F$36)*($D$27:$D$36&lt;&gt;0),0)),IF(OR(AND(D3403=0,B3403=0,B3404&lt;&gt;0),AND(D3403*D3402&lt;0,B3403&lt;&gt;0)),IF(D3403=0,C3403,C3403*(1-ABS(D3403)/(ABS(D3403)+ABS(D3402)))+C3402*(1-ABS(D3402)/(ABS(D3403)+ABS(D3402)))),"")))</f>
        <v>#NAME?</v>
      </c>
    </row>
    <row r="3404" spans="2:5" x14ac:dyDescent="0.25">
      <c r="B3404" t="e">
        <f t="shared" ca="1" si="107"/>
        <v>#NAME?</v>
      </c>
      <c r="C3404">
        <v>3361</v>
      </c>
      <c r="D3404" t="e">
        <f t="shared" ca="1" si="106"/>
        <v>#NAME?</v>
      </c>
      <c r="E3404" s="115" t="e">
        <f t="array" aca="1" ref="E3404" ca="1">IF(OR(C3403=0,AND(B3405=0,C3405=0)),"",IFERROR(INDEX($F$27:$F$36,MATCH(C3404,($F$27:$F$36)*($D$27:$D$36&lt;&gt;0),0)),IF(OR(AND(D3404=0,B3404=0,B3405&lt;&gt;0),AND(D3404*D3403&lt;0,B3404&lt;&gt;0)),IF(D3404=0,C3404,C3404*(1-ABS(D3404)/(ABS(D3404)+ABS(D3403)))+C3403*(1-ABS(D3403)/(ABS(D3404)+ABS(D3403)))),"")))</f>
        <v>#NAME?</v>
      </c>
    </row>
    <row r="3405" spans="2:5" x14ac:dyDescent="0.25">
      <c r="B3405" t="e">
        <f t="shared" ca="1" si="107"/>
        <v>#NAME?</v>
      </c>
      <c r="C3405">
        <v>3362</v>
      </c>
      <c r="D3405" t="e">
        <f t="shared" ca="1" si="106"/>
        <v>#NAME?</v>
      </c>
      <c r="E3405" s="115" t="e">
        <f t="array" aca="1" ref="E3405" ca="1">IF(OR(C3404=0,AND(B3406=0,C3406=0)),"",IFERROR(INDEX($F$27:$F$36,MATCH(C3405,($F$27:$F$36)*($D$27:$D$36&lt;&gt;0),0)),IF(OR(AND(D3405=0,B3405=0,B3406&lt;&gt;0),AND(D3405*D3404&lt;0,B3405&lt;&gt;0)),IF(D3405=0,C3405,C3405*(1-ABS(D3405)/(ABS(D3405)+ABS(D3404)))+C3404*(1-ABS(D3404)/(ABS(D3405)+ABS(D3404)))),"")))</f>
        <v>#NAME?</v>
      </c>
    </row>
    <row r="3406" spans="2:5" x14ac:dyDescent="0.25">
      <c r="B3406" t="e">
        <f t="shared" ca="1" si="107"/>
        <v>#NAME?</v>
      </c>
      <c r="C3406">
        <v>3363</v>
      </c>
      <c r="D3406" t="e">
        <f t="shared" ca="1" si="106"/>
        <v>#NAME?</v>
      </c>
      <c r="E3406" s="115" t="e">
        <f t="array" aca="1" ref="E3406" ca="1">IF(OR(C3405=0,AND(B3407=0,C3407=0)),"",IFERROR(INDEX($F$27:$F$36,MATCH(C3406,($F$27:$F$36)*($D$27:$D$36&lt;&gt;0),0)),IF(OR(AND(D3406=0,B3406=0,B3407&lt;&gt;0),AND(D3406*D3405&lt;0,B3406&lt;&gt;0)),IF(D3406=0,C3406,C3406*(1-ABS(D3406)/(ABS(D3406)+ABS(D3405)))+C3405*(1-ABS(D3405)/(ABS(D3406)+ABS(D3405)))),"")))</f>
        <v>#NAME?</v>
      </c>
    </row>
    <row r="3407" spans="2:5" x14ac:dyDescent="0.25">
      <c r="B3407" t="e">
        <f t="shared" ca="1" si="107"/>
        <v>#NAME?</v>
      </c>
      <c r="C3407">
        <v>3364</v>
      </c>
      <c r="D3407" t="e">
        <f t="shared" ca="1" si="106"/>
        <v>#NAME?</v>
      </c>
      <c r="E3407" s="115" t="e">
        <f t="array" aca="1" ref="E3407" ca="1">IF(OR(C3406=0,AND(B3408=0,C3408=0)),"",IFERROR(INDEX($F$27:$F$36,MATCH(C3407,($F$27:$F$36)*($D$27:$D$36&lt;&gt;0),0)),IF(OR(AND(D3407=0,B3407=0,B3408&lt;&gt;0),AND(D3407*D3406&lt;0,B3407&lt;&gt;0)),IF(D3407=0,C3407,C3407*(1-ABS(D3407)/(ABS(D3407)+ABS(D3406)))+C3406*(1-ABS(D3406)/(ABS(D3407)+ABS(D3406)))),"")))</f>
        <v>#NAME?</v>
      </c>
    </row>
    <row r="3408" spans="2:5" x14ac:dyDescent="0.25">
      <c r="B3408" t="e">
        <f t="shared" ca="1" si="107"/>
        <v>#NAME?</v>
      </c>
      <c r="C3408">
        <v>3365</v>
      </c>
      <c r="D3408" t="e">
        <f t="shared" ca="1" si="106"/>
        <v>#NAME?</v>
      </c>
      <c r="E3408" s="115" t="e">
        <f t="array" aca="1" ref="E3408" ca="1">IF(OR(C3407=0,AND(B3409=0,C3409=0)),"",IFERROR(INDEX($F$27:$F$36,MATCH(C3408,($F$27:$F$36)*($D$27:$D$36&lt;&gt;0),0)),IF(OR(AND(D3408=0,B3408=0,B3409&lt;&gt;0),AND(D3408*D3407&lt;0,B3408&lt;&gt;0)),IF(D3408=0,C3408,C3408*(1-ABS(D3408)/(ABS(D3408)+ABS(D3407)))+C3407*(1-ABS(D3407)/(ABS(D3408)+ABS(D3407)))),"")))</f>
        <v>#NAME?</v>
      </c>
    </row>
    <row r="3409" spans="2:5" x14ac:dyDescent="0.25">
      <c r="B3409" t="e">
        <f t="shared" ca="1" si="107"/>
        <v>#NAME?</v>
      </c>
      <c r="C3409">
        <v>3366</v>
      </c>
      <c r="D3409" t="e">
        <f t="shared" ca="1" si="106"/>
        <v>#NAME?</v>
      </c>
      <c r="E3409" s="115" t="e">
        <f t="array" aca="1" ref="E3409" ca="1">IF(OR(C3408=0,AND(B3410=0,C3410=0)),"",IFERROR(INDEX($F$27:$F$36,MATCH(C3409,($F$27:$F$36)*($D$27:$D$36&lt;&gt;0),0)),IF(OR(AND(D3409=0,B3409=0,B3410&lt;&gt;0),AND(D3409*D3408&lt;0,B3409&lt;&gt;0)),IF(D3409=0,C3409,C3409*(1-ABS(D3409)/(ABS(D3409)+ABS(D3408)))+C3408*(1-ABS(D3408)/(ABS(D3409)+ABS(D3408)))),"")))</f>
        <v>#NAME?</v>
      </c>
    </row>
    <row r="3410" spans="2:5" x14ac:dyDescent="0.25">
      <c r="B3410" t="e">
        <f t="shared" ca="1" si="107"/>
        <v>#NAME?</v>
      </c>
      <c r="C3410">
        <v>3367</v>
      </c>
      <c r="D3410" t="e">
        <f t="shared" ca="1" si="106"/>
        <v>#NAME?</v>
      </c>
      <c r="E3410" s="115" t="e">
        <f t="array" aca="1" ref="E3410" ca="1">IF(OR(C3409=0,AND(B3411=0,C3411=0)),"",IFERROR(INDEX($F$27:$F$36,MATCH(C3410,($F$27:$F$36)*($D$27:$D$36&lt;&gt;0),0)),IF(OR(AND(D3410=0,B3410=0,B3411&lt;&gt;0),AND(D3410*D3409&lt;0,B3410&lt;&gt;0)),IF(D3410=0,C3410,C3410*(1-ABS(D3410)/(ABS(D3410)+ABS(D3409)))+C3409*(1-ABS(D3409)/(ABS(D3410)+ABS(D3409)))),"")))</f>
        <v>#NAME?</v>
      </c>
    </row>
    <row r="3411" spans="2:5" x14ac:dyDescent="0.25">
      <c r="B3411" t="e">
        <f t="shared" ca="1" si="107"/>
        <v>#NAME?</v>
      </c>
      <c r="C3411">
        <v>3368</v>
      </c>
      <c r="D3411" t="e">
        <f t="shared" ca="1" si="106"/>
        <v>#NAME?</v>
      </c>
      <c r="E3411" s="115" t="e">
        <f t="array" aca="1" ref="E3411" ca="1">IF(OR(C3410=0,AND(B3412=0,C3412=0)),"",IFERROR(INDEX($F$27:$F$36,MATCH(C3411,($F$27:$F$36)*($D$27:$D$36&lt;&gt;0),0)),IF(OR(AND(D3411=0,B3411=0,B3412&lt;&gt;0),AND(D3411*D3410&lt;0,B3411&lt;&gt;0)),IF(D3411=0,C3411,C3411*(1-ABS(D3411)/(ABS(D3411)+ABS(D3410)))+C3410*(1-ABS(D3410)/(ABS(D3411)+ABS(D3410)))),"")))</f>
        <v>#NAME?</v>
      </c>
    </row>
    <row r="3412" spans="2:5" x14ac:dyDescent="0.25">
      <c r="B3412" t="e">
        <f t="shared" ca="1" si="107"/>
        <v>#NAME?</v>
      </c>
      <c r="C3412">
        <v>3369</v>
      </c>
      <c r="D3412" t="e">
        <f t="shared" ca="1" si="106"/>
        <v>#NAME?</v>
      </c>
      <c r="E3412" s="115" t="e">
        <f t="array" aca="1" ref="E3412" ca="1">IF(OR(C3411=0,AND(B3413=0,C3413=0)),"",IFERROR(INDEX($F$27:$F$36,MATCH(C3412,($F$27:$F$36)*($D$27:$D$36&lt;&gt;0),0)),IF(OR(AND(D3412=0,B3412=0,B3413&lt;&gt;0),AND(D3412*D3411&lt;0,B3412&lt;&gt;0)),IF(D3412=0,C3412,C3412*(1-ABS(D3412)/(ABS(D3412)+ABS(D3411)))+C3411*(1-ABS(D3411)/(ABS(D3412)+ABS(D3411)))),"")))</f>
        <v>#NAME?</v>
      </c>
    </row>
    <row r="3413" spans="2:5" x14ac:dyDescent="0.25">
      <c r="B3413" t="e">
        <f t="shared" ca="1" si="107"/>
        <v>#NAME?</v>
      </c>
      <c r="C3413">
        <v>3370</v>
      </c>
      <c r="D3413" t="e">
        <f t="shared" ca="1" si="106"/>
        <v>#NAME?</v>
      </c>
      <c r="E3413" s="115" t="e">
        <f t="array" aca="1" ref="E3413" ca="1">IF(OR(C3412=0,AND(B3414=0,C3414=0)),"",IFERROR(INDEX($F$27:$F$36,MATCH(C3413,($F$27:$F$36)*($D$27:$D$36&lt;&gt;0),0)),IF(OR(AND(D3413=0,B3413=0,B3414&lt;&gt;0),AND(D3413*D3412&lt;0,B3413&lt;&gt;0)),IF(D3413=0,C3413,C3413*(1-ABS(D3413)/(ABS(D3413)+ABS(D3412)))+C3412*(1-ABS(D3412)/(ABS(D3413)+ABS(D3412)))),"")))</f>
        <v>#NAME?</v>
      </c>
    </row>
    <row r="3414" spans="2:5" x14ac:dyDescent="0.25">
      <c r="B3414" t="e">
        <f t="shared" ca="1" si="107"/>
        <v>#NAME?</v>
      </c>
      <c r="C3414">
        <v>3371</v>
      </c>
      <c r="D3414" t="e">
        <f t="shared" ca="1" si="106"/>
        <v>#NAME?</v>
      </c>
      <c r="E3414" s="115" t="e">
        <f t="array" aca="1" ref="E3414" ca="1">IF(OR(C3413=0,AND(B3415=0,C3415=0)),"",IFERROR(INDEX($F$27:$F$36,MATCH(C3414,($F$27:$F$36)*($D$27:$D$36&lt;&gt;0),0)),IF(OR(AND(D3414=0,B3414=0,B3415&lt;&gt;0),AND(D3414*D3413&lt;0,B3414&lt;&gt;0)),IF(D3414=0,C3414,C3414*(1-ABS(D3414)/(ABS(D3414)+ABS(D3413)))+C3413*(1-ABS(D3413)/(ABS(D3414)+ABS(D3413)))),"")))</f>
        <v>#NAME?</v>
      </c>
    </row>
    <row r="3415" spans="2:5" x14ac:dyDescent="0.25">
      <c r="B3415" t="e">
        <f t="shared" ca="1" si="107"/>
        <v>#NAME?</v>
      </c>
      <c r="C3415">
        <v>3372</v>
      </c>
      <c r="D3415" t="e">
        <f t="shared" ca="1" si="106"/>
        <v>#NAME?</v>
      </c>
      <c r="E3415" s="115" t="e">
        <f t="array" aca="1" ref="E3415" ca="1">IF(OR(C3414=0,AND(B3416=0,C3416=0)),"",IFERROR(INDEX($F$27:$F$36,MATCH(C3415,($F$27:$F$36)*($D$27:$D$36&lt;&gt;0),0)),IF(OR(AND(D3415=0,B3415=0,B3416&lt;&gt;0),AND(D3415*D3414&lt;0,B3415&lt;&gt;0)),IF(D3415=0,C3415,C3415*(1-ABS(D3415)/(ABS(D3415)+ABS(D3414)))+C3414*(1-ABS(D3414)/(ABS(D3415)+ABS(D3414)))),"")))</f>
        <v>#NAME?</v>
      </c>
    </row>
    <row r="3416" spans="2:5" x14ac:dyDescent="0.25">
      <c r="B3416" t="e">
        <f t="shared" ca="1" si="107"/>
        <v>#NAME?</v>
      </c>
      <c r="C3416">
        <v>3373</v>
      </c>
      <c r="D3416" t="e">
        <f t="shared" ca="1" si="106"/>
        <v>#NAME?</v>
      </c>
      <c r="E3416" s="115" t="e">
        <f t="array" aca="1" ref="E3416" ca="1">IF(OR(C3415=0,AND(B3417=0,C3417=0)),"",IFERROR(INDEX($F$27:$F$36,MATCH(C3416,($F$27:$F$36)*($D$27:$D$36&lt;&gt;0),0)),IF(OR(AND(D3416=0,B3416=0,B3417&lt;&gt;0),AND(D3416*D3415&lt;0,B3416&lt;&gt;0)),IF(D3416=0,C3416,C3416*(1-ABS(D3416)/(ABS(D3416)+ABS(D3415)))+C3415*(1-ABS(D3415)/(ABS(D3416)+ABS(D3415)))),"")))</f>
        <v>#NAME?</v>
      </c>
    </row>
    <row r="3417" spans="2:5" x14ac:dyDescent="0.25">
      <c r="B3417" t="e">
        <f t="shared" ca="1" si="107"/>
        <v>#NAME?</v>
      </c>
      <c r="C3417">
        <v>3374</v>
      </c>
      <c r="D3417" t="e">
        <f t="shared" ca="1" si="106"/>
        <v>#NAME?</v>
      </c>
      <c r="E3417" s="115" t="e">
        <f t="array" aca="1" ref="E3417" ca="1">IF(OR(C3416=0,AND(B3418=0,C3418=0)),"",IFERROR(INDEX($F$27:$F$36,MATCH(C3417,($F$27:$F$36)*($D$27:$D$36&lt;&gt;0),0)),IF(OR(AND(D3417=0,B3417=0,B3418&lt;&gt;0),AND(D3417*D3416&lt;0,B3417&lt;&gt;0)),IF(D3417=0,C3417,C3417*(1-ABS(D3417)/(ABS(D3417)+ABS(D3416)))+C3416*(1-ABS(D3416)/(ABS(D3417)+ABS(D3416)))),"")))</f>
        <v>#NAME?</v>
      </c>
    </row>
    <row r="3418" spans="2:5" x14ac:dyDescent="0.25">
      <c r="B3418" t="e">
        <f t="shared" ca="1" si="107"/>
        <v>#NAME?</v>
      </c>
      <c r="C3418">
        <v>3375</v>
      </c>
      <c r="D3418" t="e">
        <f t="shared" ca="1" si="106"/>
        <v>#NAME?</v>
      </c>
      <c r="E3418" s="115" t="e">
        <f t="array" aca="1" ref="E3418" ca="1">IF(OR(C3417=0,AND(B3419=0,C3419=0)),"",IFERROR(INDEX($F$27:$F$36,MATCH(C3418,($F$27:$F$36)*($D$27:$D$36&lt;&gt;0),0)),IF(OR(AND(D3418=0,B3418=0,B3419&lt;&gt;0),AND(D3418*D3417&lt;0,B3418&lt;&gt;0)),IF(D3418=0,C3418,C3418*(1-ABS(D3418)/(ABS(D3418)+ABS(D3417)))+C3417*(1-ABS(D3417)/(ABS(D3418)+ABS(D3417)))),"")))</f>
        <v>#NAME?</v>
      </c>
    </row>
    <row r="3419" spans="2:5" x14ac:dyDescent="0.25">
      <c r="B3419" t="e">
        <f t="shared" ca="1" si="107"/>
        <v>#NAME?</v>
      </c>
      <c r="C3419">
        <v>3376</v>
      </c>
      <c r="D3419" t="e">
        <f t="shared" ca="1" si="106"/>
        <v>#NAME?</v>
      </c>
      <c r="E3419" s="115" t="e">
        <f t="array" aca="1" ref="E3419" ca="1">IF(OR(C3418=0,AND(B3420=0,C3420=0)),"",IFERROR(INDEX($F$27:$F$36,MATCH(C3419,($F$27:$F$36)*($D$27:$D$36&lt;&gt;0),0)),IF(OR(AND(D3419=0,B3419=0,B3420&lt;&gt;0),AND(D3419*D3418&lt;0,B3419&lt;&gt;0)),IF(D3419=0,C3419,C3419*(1-ABS(D3419)/(ABS(D3419)+ABS(D3418)))+C3418*(1-ABS(D3418)/(ABS(D3419)+ABS(D3418)))),"")))</f>
        <v>#NAME?</v>
      </c>
    </row>
    <row r="3420" spans="2:5" x14ac:dyDescent="0.25">
      <c r="B3420" t="e">
        <f t="shared" ca="1" si="107"/>
        <v>#NAME?</v>
      </c>
      <c r="C3420">
        <v>3377</v>
      </c>
      <c r="D3420" t="e">
        <f t="shared" ca="1" si="106"/>
        <v>#NAME?</v>
      </c>
      <c r="E3420" s="115" t="e">
        <f t="array" aca="1" ref="E3420" ca="1">IF(OR(C3419=0,AND(B3421=0,C3421=0)),"",IFERROR(INDEX($F$27:$F$36,MATCH(C3420,($F$27:$F$36)*($D$27:$D$36&lt;&gt;0),0)),IF(OR(AND(D3420=0,B3420=0,B3421&lt;&gt;0),AND(D3420*D3419&lt;0,B3420&lt;&gt;0)),IF(D3420=0,C3420,C3420*(1-ABS(D3420)/(ABS(D3420)+ABS(D3419)))+C3419*(1-ABS(D3419)/(ABS(D3420)+ABS(D3419)))),"")))</f>
        <v>#NAME?</v>
      </c>
    </row>
    <row r="3421" spans="2:5" x14ac:dyDescent="0.25">
      <c r="B3421" t="e">
        <f t="shared" ca="1" si="107"/>
        <v>#NAME?</v>
      </c>
      <c r="C3421">
        <v>3378</v>
      </c>
      <c r="D3421" t="e">
        <f t="shared" ca="1" si="106"/>
        <v>#NAME?</v>
      </c>
      <c r="E3421" s="115" t="e">
        <f t="array" aca="1" ref="E3421" ca="1">IF(OR(C3420=0,AND(B3422=0,C3422=0)),"",IFERROR(INDEX($F$27:$F$36,MATCH(C3421,($F$27:$F$36)*($D$27:$D$36&lt;&gt;0),0)),IF(OR(AND(D3421=0,B3421=0,B3422&lt;&gt;0),AND(D3421*D3420&lt;0,B3421&lt;&gt;0)),IF(D3421=0,C3421,C3421*(1-ABS(D3421)/(ABS(D3421)+ABS(D3420)))+C3420*(1-ABS(D3420)/(ABS(D3421)+ABS(D3420)))),"")))</f>
        <v>#NAME?</v>
      </c>
    </row>
    <row r="3422" spans="2:5" x14ac:dyDescent="0.25">
      <c r="B3422" t="e">
        <f t="shared" ca="1" si="107"/>
        <v>#NAME?</v>
      </c>
      <c r="C3422">
        <v>3379</v>
      </c>
      <c r="D3422" t="e">
        <f t="shared" ca="1" si="106"/>
        <v>#NAME?</v>
      </c>
      <c r="E3422" s="115" t="e">
        <f t="array" aca="1" ref="E3422" ca="1">IF(OR(C3421=0,AND(B3423=0,C3423=0)),"",IFERROR(INDEX($F$27:$F$36,MATCH(C3422,($F$27:$F$36)*($D$27:$D$36&lt;&gt;0),0)),IF(OR(AND(D3422=0,B3422=0,B3423&lt;&gt;0),AND(D3422*D3421&lt;0,B3422&lt;&gt;0)),IF(D3422=0,C3422,C3422*(1-ABS(D3422)/(ABS(D3422)+ABS(D3421)))+C3421*(1-ABS(D3421)/(ABS(D3422)+ABS(D3421)))),"")))</f>
        <v>#NAME?</v>
      </c>
    </row>
    <row r="3423" spans="2:5" x14ac:dyDescent="0.25">
      <c r="B3423" t="e">
        <f t="shared" ca="1" si="107"/>
        <v>#NAME?</v>
      </c>
      <c r="C3423">
        <v>3380</v>
      </c>
      <c r="D3423" t="e">
        <f t="shared" ca="1" si="106"/>
        <v>#NAME?</v>
      </c>
      <c r="E3423" s="115" t="e">
        <f t="array" aca="1" ref="E3423" ca="1">IF(OR(C3422=0,AND(B3424=0,C3424=0)),"",IFERROR(INDEX($F$27:$F$36,MATCH(C3423,($F$27:$F$36)*($D$27:$D$36&lt;&gt;0),0)),IF(OR(AND(D3423=0,B3423=0,B3424&lt;&gt;0),AND(D3423*D3422&lt;0,B3423&lt;&gt;0)),IF(D3423=0,C3423,C3423*(1-ABS(D3423)/(ABS(D3423)+ABS(D3422)))+C3422*(1-ABS(D3422)/(ABS(D3423)+ABS(D3422)))),"")))</f>
        <v>#NAME?</v>
      </c>
    </row>
    <row r="3424" spans="2:5" x14ac:dyDescent="0.25">
      <c r="B3424" t="e">
        <f t="shared" ca="1" si="107"/>
        <v>#NAME?</v>
      </c>
      <c r="C3424">
        <v>3381</v>
      </c>
      <c r="D3424" t="e">
        <f t="shared" ca="1" si="106"/>
        <v>#NAME?</v>
      </c>
      <c r="E3424" s="115" t="e">
        <f t="array" aca="1" ref="E3424" ca="1">IF(OR(C3423=0,AND(B3425=0,C3425=0)),"",IFERROR(INDEX($F$27:$F$36,MATCH(C3424,($F$27:$F$36)*($D$27:$D$36&lt;&gt;0),0)),IF(OR(AND(D3424=0,B3424=0,B3425&lt;&gt;0),AND(D3424*D3423&lt;0,B3424&lt;&gt;0)),IF(D3424=0,C3424,C3424*(1-ABS(D3424)/(ABS(D3424)+ABS(D3423)))+C3423*(1-ABS(D3423)/(ABS(D3424)+ABS(D3423)))),"")))</f>
        <v>#NAME?</v>
      </c>
    </row>
    <row r="3425" spans="2:5" x14ac:dyDescent="0.25">
      <c r="B3425" t="e">
        <f t="shared" ca="1" si="107"/>
        <v>#NAME?</v>
      </c>
      <c r="C3425">
        <v>3382</v>
      </c>
      <c r="D3425" t="e">
        <f t="shared" ca="1" si="106"/>
        <v>#NAME?</v>
      </c>
      <c r="E3425" s="115" t="e">
        <f t="array" aca="1" ref="E3425" ca="1">IF(OR(C3424=0,AND(B3426=0,C3426=0)),"",IFERROR(INDEX($F$27:$F$36,MATCH(C3425,($F$27:$F$36)*($D$27:$D$36&lt;&gt;0),0)),IF(OR(AND(D3425=0,B3425=0,B3426&lt;&gt;0),AND(D3425*D3424&lt;0,B3425&lt;&gt;0)),IF(D3425=0,C3425,C3425*(1-ABS(D3425)/(ABS(D3425)+ABS(D3424)))+C3424*(1-ABS(D3424)/(ABS(D3425)+ABS(D3424)))),"")))</f>
        <v>#NAME?</v>
      </c>
    </row>
    <row r="3426" spans="2:5" x14ac:dyDescent="0.25">
      <c r="B3426" t="e">
        <f t="shared" ca="1" si="107"/>
        <v>#NAME?</v>
      </c>
      <c r="C3426">
        <v>3383</v>
      </c>
      <c r="D3426" t="e">
        <f t="shared" ca="1" si="106"/>
        <v>#NAME?</v>
      </c>
      <c r="E3426" s="115" t="e">
        <f t="array" aca="1" ref="E3426" ca="1">IF(OR(C3425=0,AND(B3427=0,C3427=0)),"",IFERROR(INDEX($F$27:$F$36,MATCH(C3426,($F$27:$F$36)*($D$27:$D$36&lt;&gt;0),0)),IF(OR(AND(D3426=0,B3426=0,B3427&lt;&gt;0),AND(D3426*D3425&lt;0,B3426&lt;&gt;0)),IF(D3426=0,C3426,C3426*(1-ABS(D3426)/(ABS(D3426)+ABS(D3425)))+C3425*(1-ABS(D3425)/(ABS(D3426)+ABS(D3425)))),"")))</f>
        <v>#NAME?</v>
      </c>
    </row>
    <row r="3427" spans="2:5" x14ac:dyDescent="0.25">
      <c r="B3427" t="e">
        <f t="shared" ca="1" si="107"/>
        <v>#NAME?</v>
      </c>
      <c r="C3427">
        <v>3384</v>
      </c>
      <c r="D3427" t="e">
        <f t="shared" ca="1" si="106"/>
        <v>#NAME?</v>
      </c>
      <c r="E3427" s="115" t="e">
        <f t="array" aca="1" ref="E3427" ca="1">IF(OR(C3426=0,AND(B3428=0,C3428=0)),"",IFERROR(INDEX($F$27:$F$36,MATCH(C3427,($F$27:$F$36)*($D$27:$D$36&lt;&gt;0),0)),IF(OR(AND(D3427=0,B3427=0,B3428&lt;&gt;0),AND(D3427*D3426&lt;0,B3427&lt;&gt;0)),IF(D3427=0,C3427,C3427*(1-ABS(D3427)/(ABS(D3427)+ABS(D3426)))+C3426*(1-ABS(D3426)/(ABS(D3427)+ABS(D3426)))),"")))</f>
        <v>#NAME?</v>
      </c>
    </row>
    <row r="3428" spans="2:5" x14ac:dyDescent="0.25">
      <c r="B3428" t="e">
        <f t="shared" ca="1" si="107"/>
        <v>#NAME?</v>
      </c>
      <c r="C3428">
        <v>3385</v>
      </c>
      <c r="D3428" t="e">
        <f t="shared" ca="1" si="106"/>
        <v>#NAME?</v>
      </c>
      <c r="E3428" s="115" t="e">
        <f t="array" aca="1" ref="E3428" ca="1">IF(OR(C3427=0,AND(B3429=0,C3429=0)),"",IFERROR(INDEX($F$27:$F$36,MATCH(C3428,($F$27:$F$36)*($D$27:$D$36&lt;&gt;0),0)),IF(OR(AND(D3428=0,B3428=0,B3429&lt;&gt;0),AND(D3428*D3427&lt;0,B3428&lt;&gt;0)),IF(D3428=0,C3428,C3428*(1-ABS(D3428)/(ABS(D3428)+ABS(D3427)))+C3427*(1-ABS(D3427)/(ABS(D3428)+ABS(D3427)))),"")))</f>
        <v>#NAME?</v>
      </c>
    </row>
    <row r="3429" spans="2:5" x14ac:dyDescent="0.25">
      <c r="B3429" t="e">
        <f t="shared" ca="1" si="107"/>
        <v>#NAME?</v>
      </c>
      <c r="C3429">
        <v>3386</v>
      </c>
      <c r="D3429" t="e">
        <f t="shared" ca="1" si="106"/>
        <v>#NAME?</v>
      </c>
      <c r="E3429" s="115" t="e">
        <f t="array" aca="1" ref="E3429" ca="1">IF(OR(C3428=0,AND(B3430=0,C3430=0)),"",IFERROR(INDEX($F$27:$F$36,MATCH(C3429,($F$27:$F$36)*($D$27:$D$36&lt;&gt;0),0)),IF(OR(AND(D3429=0,B3429=0,B3430&lt;&gt;0),AND(D3429*D3428&lt;0,B3429&lt;&gt;0)),IF(D3429=0,C3429,C3429*(1-ABS(D3429)/(ABS(D3429)+ABS(D3428)))+C3428*(1-ABS(D3428)/(ABS(D3429)+ABS(D3428)))),"")))</f>
        <v>#NAME?</v>
      </c>
    </row>
    <row r="3430" spans="2:5" x14ac:dyDescent="0.25">
      <c r="B3430" t="e">
        <f t="shared" ca="1" si="107"/>
        <v>#NAME?</v>
      </c>
      <c r="C3430">
        <v>3387</v>
      </c>
      <c r="D3430" t="e">
        <f t="shared" ca="1" si="106"/>
        <v>#NAME?</v>
      </c>
      <c r="E3430" s="115" t="e">
        <f t="array" aca="1" ref="E3430" ca="1">IF(OR(C3429=0,AND(B3431=0,C3431=0)),"",IFERROR(INDEX($F$27:$F$36,MATCH(C3430,($F$27:$F$36)*($D$27:$D$36&lt;&gt;0),0)),IF(OR(AND(D3430=0,B3430=0,B3431&lt;&gt;0),AND(D3430*D3429&lt;0,B3430&lt;&gt;0)),IF(D3430=0,C3430,C3430*(1-ABS(D3430)/(ABS(D3430)+ABS(D3429)))+C3429*(1-ABS(D3429)/(ABS(D3430)+ABS(D3429)))),"")))</f>
        <v>#NAME?</v>
      </c>
    </row>
    <row r="3431" spans="2:5" x14ac:dyDescent="0.25">
      <c r="B3431" t="e">
        <f t="shared" ca="1" si="107"/>
        <v>#NAME?</v>
      </c>
      <c r="C3431">
        <v>3388</v>
      </c>
      <c r="D3431" t="e">
        <f t="shared" ca="1" si="106"/>
        <v>#NAME?</v>
      </c>
      <c r="E3431" s="115" t="e">
        <f t="array" aca="1" ref="E3431" ca="1">IF(OR(C3430=0,AND(B3432=0,C3432=0)),"",IFERROR(INDEX($F$27:$F$36,MATCH(C3431,($F$27:$F$36)*($D$27:$D$36&lt;&gt;0),0)),IF(OR(AND(D3431=0,B3431=0,B3432&lt;&gt;0),AND(D3431*D3430&lt;0,B3431&lt;&gt;0)),IF(D3431=0,C3431,C3431*(1-ABS(D3431)/(ABS(D3431)+ABS(D3430)))+C3430*(1-ABS(D3430)/(ABS(D3431)+ABS(D3430)))),"")))</f>
        <v>#NAME?</v>
      </c>
    </row>
    <row r="3432" spans="2:5" x14ac:dyDescent="0.25">
      <c r="B3432" t="e">
        <f t="shared" ca="1" si="107"/>
        <v>#NAME?</v>
      </c>
      <c r="C3432">
        <v>3389</v>
      </c>
      <c r="D3432" t="e">
        <f t="shared" ca="1" si="106"/>
        <v>#NAME?</v>
      </c>
      <c r="E3432" s="115" t="e">
        <f t="array" aca="1" ref="E3432" ca="1">IF(OR(C3431=0,AND(B3433=0,C3433=0)),"",IFERROR(INDEX($F$27:$F$36,MATCH(C3432,($F$27:$F$36)*($D$27:$D$36&lt;&gt;0),0)),IF(OR(AND(D3432=0,B3432=0,B3433&lt;&gt;0),AND(D3432*D3431&lt;0,B3432&lt;&gt;0)),IF(D3432=0,C3432,C3432*(1-ABS(D3432)/(ABS(D3432)+ABS(D3431)))+C3431*(1-ABS(D3431)/(ABS(D3432)+ABS(D3431)))),"")))</f>
        <v>#NAME?</v>
      </c>
    </row>
    <row r="3433" spans="2:5" x14ac:dyDescent="0.25">
      <c r="B3433" t="e">
        <f t="shared" ca="1" si="107"/>
        <v>#NAME?</v>
      </c>
      <c r="C3433">
        <v>3390</v>
      </c>
      <c r="D3433" t="e">
        <f t="shared" ca="1" si="106"/>
        <v>#NAME?</v>
      </c>
      <c r="E3433" s="115" t="e">
        <f t="array" aca="1" ref="E3433" ca="1">IF(OR(C3432=0,AND(B3434=0,C3434=0)),"",IFERROR(INDEX($F$27:$F$36,MATCH(C3433,($F$27:$F$36)*($D$27:$D$36&lt;&gt;0),0)),IF(OR(AND(D3433=0,B3433=0,B3434&lt;&gt;0),AND(D3433*D3432&lt;0,B3433&lt;&gt;0)),IF(D3433=0,C3433,C3433*(1-ABS(D3433)/(ABS(D3433)+ABS(D3432)))+C3432*(1-ABS(D3432)/(ABS(D3433)+ABS(D3432)))),"")))</f>
        <v>#NAME?</v>
      </c>
    </row>
    <row r="3434" spans="2:5" x14ac:dyDescent="0.25">
      <c r="B3434" t="e">
        <f t="shared" ca="1" si="107"/>
        <v>#NAME?</v>
      </c>
      <c r="C3434">
        <v>3391</v>
      </c>
      <c r="D3434" t="e">
        <f t="shared" ca="1" si="106"/>
        <v>#NAME?</v>
      </c>
      <c r="E3434" s="115" t="e">
        <f t="array" aca="1" ref="E3434" ca="1">IF(OR(C3433=0,AND(B3435=0,C3435=0)),"",IFERROR(INDEX($F$27:$F$36,MATCH(C3434,($F$27:$F$36)*($D$27:$D$36&lt;&gt;0),0)),IF(OR(AND(D3434=0,B3434=0,B3435&lt;&gt;0),AND(D3434*D3433&lt;0,B3434&lt;&gt;0)),IF(D3434=0,C3434,C3434*(1-ABS(D3434)/(ABS(D3434)+ABS(D3433)))+C3433*(1-ABS(D3433)/(ABS(D3434)+ABS(D3433)))),"")))</f>
        <v>#NAME?</v>
      </c>
    </row>
    <row r="3435" spans="2:5" x14ac:dyDescent="0.25">
      <c r="B3435" t="e">
        <f t="shared" ca="1" si="107"/>
        <v>#NAME?</v>
      </c>
      <c r="C3435">
        <v>3392</v>
      </c>
      <c r="D3435" t="e">
        <f t="shared" ref="D3435:D3498" ca="1" si="108">SUMPRODUCT(--($J$27:$J$37&gt;0),--($C3435-$F$27:$F$37&gt;0),($D$27:$D$37),($C3435-$F$27:$F$37))+SUMPRODUCT(--($J$27:$J$37&lt;0),--($F$27:$F$37-$C3435&gt;0),($D$27:$D$37),($F$27:$F$37-$C3435))-SUMPRODUCT($D$27:$D$37,$E$27:$E$37)</f>
        <v>#NAME?</v>
      </c>
      <c r="E3435" s="115" t="e">
        <f t="array" aca="1" ref="E3435" ca="1">IF(OR(C3434=0,AND(B3436=0,C3436=0)),"",IFERROR(INDEX($F$27:$F$36,MATCH(C3435,($F$27:$F$36)*($D$27:$D$36&lt;&gt;0),0)),IF(OR(AND(D3435=0,B3435=0,B3436&lt;&gt;0),AND(D3435*D3434&lt;0,B3435&lt;&gt;0)),IF(D3435=0,C3435,C3435*(1-ABS(D3435)/(ABS(D3435)+ABS(D3434)))+C3434*(1-ABS(D3434)/(ABS(D3435)+ABS(D3434)))),"")))</f>
        <v>#NAME?</v>
      </c>
    </row>
    <row r="3436" spans="2:5" x14ac:dyDescent="0.25">
      <c r="B3436" t="e">
        <f t="shared" ref="B3436:B3499" ca="1" si="109">ROUND((D3436-D3435)/(C3436-C3435),12)</f>
        <v>#NAME?</v>
      </c>
      <c r="C3436">
        <v>3393</v>
      </c>
      <c r="D3436" t="e">
        <f t="shared" ca="1" si="108"/>
        <v>#NAME?</v>
      </c>
      <c r="E3436" s="115" t="e">
        <f t="array" aca="1" ref="E3436" ca="1">IF(OR(C3435=0,AND(B3437=0,C3437=0)),"",IFERROR(INDEX($F$27:$F$36,MATCH(C3436,($F$27:$F$36)*($D$27:$D$36&lt;&gt;0),0)),IF(OR(AND(D3436=0,B3436=0,B3437&lt;&gt;0),AND(D3436*D3435&lt;0,B3436&lt;&gt;0)),IF(D3436=0,C3436,C3436*(1-ABS(D3436)/(ABS(D3436)+ABS(D3435)))+C3435*(1-ABS(D3435)/(ABS(D3436)+ABS(D3435)))),"")))</f>
        <v>#NAME?</v>
      </c>
    </row>
    <row r="3437" spans="2:5" x14ac:dyDescent="0.25">
      <c r="B3437" t="e">
        <f t="shared" ca="1" si="109"/>
        <v>#NAME?</v>
      </c>
      <c r="C3437">
        <v>3394</v>
      </c>
      <c r="D3437" t="e">
        <f t="shared" ca="1" si="108"/>
        <v>#NAME?</v>
      </c>
      <c r="E3437" s="115" t="e">
        <f t="array" aca="1" ref="E3437" ca="1">IF(OR(C3436=0,AND(B3438=0,C3438=0)),"",IFERROR(INDEX($F$27:$F$36,MATCH(C3437,($F$27:$F$36)*($D$27:$D$36&lt;&gt;0),0)),IF(OR(AND(D3437=0,B3437=0,B3438&lt;&gt;0),AND(D3437*D3436&lt;0,B3437&lt;&gt;0)),IF(D3437=0,C3437,C3437*(1-ABS(D3437)/(ABS(D3437)+ABS(D3436)))+C3436*(1-ABS(D3436)/(ABS(D3437)+ABS(D3436)))),"")))</f>
        <v>#NAME?</v>
      </c>
    </row>
    <row r="3438" spans="2:5" x14ac:dyDescent="0.25">
      <c r="B3438" t="e">
        <f t="shared" ca="1" si="109"/>
        <v>#NAME?</v>
      </c>
      <c r="C3438">
        <v>3395</v>
      </c>
      <c r="D3438" t="e">
        <f t="shared" ca="1" si="108"/>
        <v>#NAME?</v>
      </c>
      <c r="E3438" s="115" t="e">
        <f t="array" aca="1" ref="E3438" ca="1">IF(OR(C3437=0,AND(B3439=0,C3439=0)),"",IFERROR(INDEX($F$27:$F$36,MATCH(C3438,($F$27:$F$36)*($D$27:$D$36&lt;&gt;0),0)),IF(OR(AND(D3438=0,B3438=0,B3439&lt;&gt;0),AND(D3438*D3437&lt;0,B3438&lt;&gt;0)),IF(D3438=0,C3438,C3438*(1-ABS(D3438)/(ABS(D3438)+ABS(D3437)))+C3437*(1-ABS(D3437)/(ABS(D3438)+ABS(D3437)))),"")))</f>
        <v>#NAME?</v>
      </c>
    </row>
    <row r="3439" spans="2:5" x14ac:dyDescent="0.25">
      <c r="B3439" t="e">
        <f t="shared" ca="1" si="109"/>
        <v>#NAME?</v>
      </c>
      <c r="C3439">
        <v>3396</v>
      </c>
      <c r="D3439" t="e">
        <f t="shared" ca="1" si="108"/>
        <v>#NAME?</v>
      </c>
      <c r="E3439" s="115" t="e">
        <f t="array" aca="1" ref="E3439" ca="1">IF(OR(C3438=0,AND(B3440=0,C3440=0)),"",IFERROR(INDEX($F$27:$F$36,MATCH(C3439,($F$27:$F$36)*($D$27:$D$36&lt;&gt;0),0)),IF(OR(AND(D3439=0,B3439=0,B3440&lt;&gt;0),AND(D3439*D3438&lt;0,B3439&lt;&gt;0)),IF(D3439=0,C3439,C3439*(1-ABS(D3439)/(ABS(D3439)+ABS(D3438)))+C3438*(1-ABS(D3438)/(ABS(D3439)+ABS(D3438)))),"")))</f>
        <v>#NAME?</v>
      </c>
    </row>
    <row r="3440" spans="2:5" x14ac:dyDescent="0.25">
      <c r="B3440" t="e">
        <f t="shared" ca="1" si="109"/>
        <v>#NAME?</v>
      </c>
      <c r="C3440">
        <v>3397</v>
      </c>
      <c r="D3440" t="e">
        <f t="shared" ca="1" si="108"/>
        <v>#NAME?</v>
      </c>
      <c r="E3440" s="115" t="e">
        <f t="array" aca="1" ref="E3440" ca="1">IF(OR(C3439=0,AND(B3441=0,C3441=0)),"",IFERROR(INDEX($F$27:$F$36,MATCH(C3440,($F$27:$F$36)*($D$27:$D$36&lt;&gt;0),0)),IF(OR(AND(D3440=0,B3440=0,B3441&lt;&gt;0),AND(D3440*D3439&lt;0,B3440&lt;&gt;0)),IF(D3440=0,C3440,C3440*(1-ABS(D3440)/(ABS(D3440)+ABS(D3439)))+C3439*(1-ABS(D3439)/(ABS(D3440)+ABS(D3439)))),"")))</f>
        <v>#NAME?</v>
      </c>
    </row>
    <row r="3441" spans="2:5" x14ac:dyDescent="0.25">
      <c r="B3441" t="e">
        <f t="shared" ca="1" si="109"/>
        <v>#NAME?</v>
      </c>
      <c r="C3441">
        <v>3398</v>
      </c>
      <c r="D3441" t="e">
        <f t="shared" ca="1" si="108"/>
        <v>#NAME?</v>
      </c>
      <c r="E3441" s="115" t="e">
        <f t="array" aca="1" ref="E3441" ca="1">IF(OR(C3440=0,AND(B3442=0,C3442=0)),"",IFERROR(INDEX($F$27:$F$36,MATCH(C3441,($F$27:$F$36)*($D$27:$D$36&lt;&gt;0),0)),IF(OR(AND(D3441=0,B3441=0,B3442&lt;&gt;0),AND(D3441*D3440&lt;0,B3441&lt;&gt;0)),IF(D3441=0,C3441,C3441*(1-ABS(D3441)/(ABS(D3441)+ABS(D3440)))+C3440*(1-ABS(D3440)/(ABS(D3441)+ABS(D3440)))),"")))</f>
        <v>#NAME?</v>
      </c>
    </row>
    <row r="3442" spans="2:5" x14ac:dyDescent="0.25">
      <c r="B3442" t="e">
        <f t="shared" ca="1" si="109"/>
        <v>#NAME?</v>
      </c>
      <c r="C3442">
        <v>3399</v>
      </c>
      <c r="D3442" t="e">
        <f t="shared" ca="1" si="108"/>
        <v>#NAME?</v>
      </c>
      <c r="E3442" s="115" t="e">
        <f t="array" aca="1" ref="E3442" ca="1">IF(OR(C3441=0,AND(B3443=0,C3443=0)),"",IFERROR(INDEX($F$27:$F$36,MATCH(C3442,($F$27:$F$36)*($D$27:$D$36&lt;&gt;0),0)),IF(OR(AND(D3442=0,B3442=0,B3443&lt;&gt;0),AND(D3442*D3441&lt;0,B3442&lt;&gt;0)),IF(D3442=0,C3442,C3442*(1-ABS(D3442)/(ABS(D3442)+ABS(D3441)))+C3441*(1-ABS(D3441)/(ABS(D3442)+ABS(D3441)))),"")))</f>
        <v>#NAME?</v>
      </c>
    </row>
    <row r="3443" spans="2:5" x14ac:dyDescent="0.25">
      <c r="B3443" t="e">
        <f t="shared" ca="1" si="109"/>
        <v>#NAME?</v>
      </c>
      <c r="C3443">
        <v>3400</v>
      </c>
      <c r="D3443" t="e">
        <f t="shared" ca="1" si="108"/>
        <v>#NAME?</v>
      </c>
      <c r="E3443" s="115" t="e">
        <f t="array" aca="1" ref="E3443" ca="1">IF(OR(C3442=0,AND(B3444=0,C3444=0)),"",IFERROR(INDEX($F$27:$F$36,MATCH(C3443,($F$27:$F$36)*($D$27:$D$36&lt;&gt;0),0)),IF(OR(AND(D3443=0,B3443=0,B3444&lt;&gt;0),AND(D3443*D3442&lt;0,B3443&lt;&gt;0)),IF(D3443=0,C3443,C3443*(1-ABS(D3443)/(ABS(D3443)+ABS(D3442)))+C3442*(1-ABS(D3442)/(ABS(D3443)+ABS(D3442)))),"")))</f>
        <v>#NAME?</v>
      </c>
    </row>
    <row r="3444" spans="2:5" x14ac:dyDescent="0.25">
      <c r="B3444" t="e">
        <f t="shared" ca="1" si="109"/>
        <v>#NAME?</v>
      </c>
      <c r="C3444">
        <v>3401</v>
      </c>
      <c r="D3444" t="e">
        <f t="shared" ca="1" si="108"/>
        <v>#NAME?</v>
      </c>
      <c r="E3444" s="115" t="e">
        <f t="array" aca="1" ref="E3444" ca="1">IF(OR(C3443=0,AND(B3445=0,C3445=0)),"",IFERROR(INDEX($F$27:$F$36,MATCH(C3444,($F$27:$F$36)*($D$27:$D$36&lt;&gt;0),0)),IF(OR(AND(D3444=0,B3444=0,B3445&lt;&gt;0),AND(D3444*D3443&lt;0,B3444&lt;&gt;0)),IF(D3444=0,C3444,C3444*(1-ABS(D3444)/(ABS(D3444)+ABS(D3443)))+C3443*(1-ABS(D3443)/(ABS(D3444)+ABS(D3443)))),"")))</f>
        <v>#NAME?</v>
      </c>
    </row>
    <row r="3445" spans="2:5" x14ac:dyDescent="0.25">
      <c r="B3445" t="e">
        <f t="shared" ca="1" si="109"/>
        <v>#NAME?</v>
      </c>
      <c r="C3445">
        <v>3402</v>
      </c>
      <c r="D3445" t="e">
        <f t="shared" ca="1" si="108"/>
        <v>#NAME?</v>
      </c>
      <c r="E3445" s="115" t="e">
        <f t="array" aca="1" ref="E3445" ca="1">IF(OR(C3444=0,AND(B3446=0,C3446=0)),"",IFERROR(INDEX($F$27:$F$36,MATCH(C3445,($F$27:$F$36)*($D$27:$D$36&lt;&gt;0),0)),IF(OR(AND(D3445=0,B3445=0,B3446&lt;&gt;0),AND(D3445*D3444&lt;0,B3445&lt;&gt;0)),IF(D3445=0,C3445,C3445*(1-ABS(D3445)/(ABS(D3445)+ABS(D3444)))+C3444*(1-ABS(D3444)/(ABS(D3445)+ABS(D3444)))),"")))</f>
        <v>#NAME?</v>
      </c>
    </row>
    <row r="3446" spans="2:5" x14ac:dyDescent="0.25">
      <c r="B3446" t="e">
        <f t="shared" ca="1" si="109"/>
        <v>#NAME?</v>
      </c>
      <c r="C3446">
        <v>3403</v>
      </c>
      <c r="D3446" t="e">
        <f t="shared" ca="1" si="108"/>
        <v>#NAME?</v>
      </c>
      <c r="E3446" s="115" t="e">
        <f t="array" aca="1" ref="E3446" ca="1">IF(OR(C3445=0,AND(B3447=0,C3447=0)),"",IFERROR(INDEX($F$27:$F$36,MATCH(C3446,($F$27:$F$36)*($D$27:$D$36&lt;&gt;0),0)),IF(OR(AND(D3446=0,B3446=0,B3447&lt;&gt;0),AND(D3446*D3445&lt;0,B3446&lt;&gt;0)),IF(D3446=0,C3446,C3446*(1-ABS(D3446)/(ABS(D3446)+ABS(D3445)))+C3445*(1-ABS(D3445)/(ABS(D3446)+ABS(D3445)))),"")))</f>
        <v>#NAME?</v>
      </c>
    </row>
    <row r="3447" spans="2:5" x14ac:dyDescent="0.25">
      <c r="B3447" t="e">
        <f t="shared" ca="1" si="109"/>
        <v>#NAME?</v>
      </c>
      <c r="C3447">
        <v>3404</v>
      </c>
      <c r="D3447" t="e">
        <f t="shared" ca="1" si="108"/>
        <v>#NAME?</v>
      </c>
      <c r="E3447" s="115" t="e">
        <f t="array" aca="1" ref="E3447" ca="1">IF(OR(C3446=0,AND(B3448=0,C3448=0)),"",IFERROR(INDEX($F$27:$F$36,MATCH(C3447,($F$27:$F$36)*($D$27:$D$36&lt;&gt;0),0)),IF(OR(AND(D3447=0,B3447=0,B3448&lt;&gt;0),AND(D3447*D3446&lt;0,B3447&lt;&gt;0)),IF(D3447=0,C3447,C3447*(1-ABS(D3447)/(ABS(D3447)+ABS(D3446)))+C3446*(1-ABS(D3446)/(ABS(D3447)+ABS(D3446)))),"")))</f>
        <v>#NAME?</v>
      </c>
    </row>
    <row r="3448" spans="2:5" x14ac:dyDescent="0.25">
      <c r="B3448" t="e">
        <f t="shared" ca="1" si="109"/>
        <v>#NAME?</v>
      </c>
      <c r="C3448">
        <v>3405</v>
      </c>
      <c r="D3448" t="e">
        <f t="shared" ca="1" si="108"/>
        <v>#NAME?</v>
      </c>
      <c r="E3448" s="115" t="e">
        <f t="array" aca="1" ref="E3448" ca="1">IF(OR(C3447=0,AND(B3449=0,C3449=0)),"",IFERROR(INDEX($F$27:$F$36,MATCH(C3448,($F$27:$F$36)*($D$27:$D$36&lt;&gt;0),0)),IF(OR(AND(D3448=0,B3448=0,B3449&lt;&gt;0),AND(D3448*D3447&lt;0,B3448&lt;&gt;0)),IF(D3448=0,C3448,C3448*(1-ABS(D3448)/(ABS(D3448)+ABS(D3447)))+C3447*(1-ABS(D3447)/(ABS(D3448)+ABS(D3447)))),"")))</f>
        <v>#NAME?</v>
      </c>
    </row>
    <row r="3449" spans="2:5" x14ac:dyDescent="0.25">
      <c r="B3449" t="e">
        <f t="shared" ca="1" si="109"/>
        <v>#NAME?</v>
      </c>
      <c r="C3449">
        <v>3406</v>
      </c>
      <c r="D3449" t="e">
        <f t="shared" ca="1" si="108"/>
        <v>#NAME?</v>
      </c>
      <c r="E3449" s="115" t="e">
        <f t="array" aca="1" ref="E3449" ca="1">IF(OR(C3448=0,AND(B3450=0,C3450=0)),"",IFERROR(INDEX($F$27:$F$36,MATCH(C3449,($F$27:$F$36)*($D$27:$D$36&lt;&gt;0),0)),IF(OR(AND(D3449=0,B3449=0,B3450&lt;&gt;0),AND(D3449*D3448&lt;0,B3449&lt;&gt;0)),IF(D3449=0,C3449,C3449*(1-ABS(D3449)/(ABS(D3449)+ABS(D3448)))+C3448*(1-ABS(D3448)/(ABS(D3449)+ABS(D3448)))),"")))</f>
        <v>#NAME?</v>
      </c>
    </row>
    <row r="3450" spans="2:5" x14ac:dyDescent="0.25">
      <c r="B3450" t="e">
        <f t="shared" ca="1" si="109"/>
        <v>#NAME?</v>
      </c>
      <c r="C3450">
        <v>3407</v>
      </c>
      <c r="D3450" t="e">
        <f t="shared" ca="1" si="108"/>
        <v>#NAME?</v>
      </c>
      <c r="E3450" s="115" t="e">
        <f t="array" aca="1" ref="E3450" ca="1">IF(OR(C3449=0,AND(B3451=0,C3451=0)),"",IFERROR(INDEX($F$27:$F$36,MATCH(C3450,($F$27:$F$36)*($D$27:$D$36&lt;&gt;0),0)),IF(OR(AND(D3450=0,B3450=0,B3451&lt;&gt;0),AND(D3450*D3449&lt;0,B3450&lt;&gt;0)),IF(D3450=0,C3450,C3450*(1-ABS(D3450)/(ABS(D3450)+ABS(D3449)))+C3449*(1-ABS(D3449)/(ABS(D3450)+ABS(D3449)))),"")))</f>
        <v>#NAME?</v>
      </c>
    </row>
    <row r="3451" spans="2:5" x14ac:dyDescent="0.25">
      <c r="B3451" t="e">
        <f t="shared" ca="1" si="109"/>
        <v>#NAME?</v>
      </c>
      <c r="C3451">
        <v>3408</v>
      </c>
      <c r="D3451" t="e">
        <f t="shared" ca="1" si="108"/>
        <v>#NAME?</v>
      </c>
      <c r="E3451" s="115" t="e">
        <f t="array" aca="1" ref="E3451" ca="1">IF(OR(C3450=0,AND(B3452=0,C3452=0)),"",IFERROR(INDEX($F$27:$F$36,MATCH(C3451,($F$27:$F$36)*($D$27:$D$36&lt;&gt;0),0)),IF(OR(AND(D3451=0,B3451=0,B3452&lt;&gt;0),AND(D3451*D3450&lt;0,B3451&lt;&gt;0)),IF(D3451=0,C3451,C3451*(1-ABS(D3451)/(ABS(D3451)+ABS(D3450)))+C3450*(1-ABS(D3450)/(ABS(D3451)+ABS(D3450)))),"")))</f>
        <v>#NAME?</v>
      </c>
    </row>
    <row r="3452" spans="2:5" x14ac:dyDescent="0.25">
      <c r="B3452" t="e">
        <f t="shared" ca="1" si="109"/>
        <v>#NAME?</v>
      </c>
      <c r="C3452">
        <v>3409</v>
      </c>
      <c r="D3452" t="e">
        <f t="shared" ca="1" si="108"/>
        <v>#NAME?</v>
      </c>
      <c r="E3452" s="115" t="e">
        <f t="array" aca="1" ref="E3452" ca="1">IF(OR(C3451=0,AND(B3453=0,C3453=0)),"",IFERROR(INDEX($F$27:$F$36,MATCH(C3452,($F$27:$F$36)*($D$27:$D$36&lt;&gt;0),0)),IF(OR(AND(D3452=0,B3452=0,B3453&lt;&gt;0),AND(D3452*D3451&lt;0,B3452&lt;&gt;0)),IF(D3452=0,C3452,C3452*(1-ABS(D3452)/(ABS(D3452)+ABS(D3451)))+C3451*(1-ABS(D3451)/(ABS(D3452)+ABS(D3451)))),"")))</f>
        <v>#NAME?</v>
      </c>
    </row>
    <row r="3453" spans="2:5" x14ac:dyDescent="0.25">
      <c r="B3453" t="e">
        <f t="shared" ca="1" si="109"/>
        <v>#NAME?</v>
      </c>
      <c r="C3453">
        <v>3410</v>
      </c>
      <c r="D3453" t="e">
        <f t="shared" ca="1" si="108"/>
        <v>#NAME?</v>
      </c>
      <c r="E3453" s="115" t="e">
        <f t="array" aca="1" ref="E3453" ca="1">IF(OR(C3452=0,AND(B3454=0,C3454=0)),"",IFERROR(INDEX($F$27:$F$36,MATCH(C3453,($F$27:$F$36)*($D$27:$D$36&lt;&gt;0),0)),IF(OR(AND(D3453=0,B3453=0,B3454&lt;&gt;0),AND(D3453*D3452&lt;0,B3453&lt;&gt;0)),IF(D3453=0,C3453,C3453*(1-ABS(D3453)/(ABS(D3453)+ABS(D3452)))+C3452*(1-ABS(D3452)/(ABS(D3453)+ABS(D3452)))),"")))</f>
        <v>#NAME?</v>
      </c>
    </row>
    <row r="3454" spans="2:5" x14ac:dyDescent="0.25">
      <c r="B3454" t="e">
        <f t="shared" ca="1" si="109"/>
        <v>#NAME?</v>
      </c>
      <c r="C3454">
        <v>3411</v>
      </c>
      <c r="D3454" t="e">
        <f t="shared" ca="1" si="108"/>
        <v>#NAME?</v>
      </c>
      <c r="E3454" s="115" t="e">
        <f t="array" aca="1" ref="E3454" ca="1">IF(OR(C3453=0,AND(B3455=0,C3455=0)),"",IFERROR(INDEX($F$27:$F$36,MATCH(C3454,($F$27:$F$36)*($D$27:$D$36&lt;&gt;0),0)),IF(OR(AND(D3454=0,B3454=0,B3455&lt;&gt;0),AND(D3454*D3453&lt;0,B3454&lt;&gt;0)),IF(D3454=0,C3454,C3454*(1-ABS(D3454)/(ABS(D3454)+ABS(D3453)))+C3453*(1-ABS(D3453)/(ABS(D3454)+ABS(D3453)))),"")))</f>
        <v>#NAME?</v>
      </c>
    </row>
    <row r="3455" spans="2:5" x14ac:dyDescent="0.25">
      <c r="B3455" t="e">
        <f t="shared" ca="1" si="109"/>
        <v>#NAME?</v>
      </c>
      <c r="C3455">
        <v>3412</v>
      </c>
      <c r="D3455" t="e">
        <f t="shared" ca="1" si="108"/>
        <v>#NAME?</v>
      </c>
      <c r="E3455" s="115" t="e">
        <f t="array" aca="1" ref="E3455" ca="1">IF(OR(C3454=0,AND(B3456=0,C3456=0)),"",IFERROR(INDEX($F$27:$F$36,MATCH(C3455,($F$27:$F$36)*($D$27:$D$36&lt;&gt;0),0)),IF(OR(AND(D3455=0,B3455=0,B3456&lt;&gt;0),AND(D3455*D3454&lt;0,B3455&lt;&gt;0)),IF(D3455=0,C3455,C3455*(1-ABS(D3455)/(ABS(D3455)+ABS(D3454)))+C3454*(1-ABS(D3454)/(ABS(D3455)+ABS(D3454)))),"")))</f>
        <v>#NAME?</v>
      </c>
    </row>
    <row r="3456" spans="2:5" x14ac:dyDescent="0.25">
      <c r="B3456" t="e">
        <f t="shared" ca="1" si="109"/>
        <v>#NAME?</v>
      </c>
      <c r="C3456">
        <v>3413</v>
      </c>
      <c r="D3456" t="e">
        <f t="shared" ca="1" si="108"/>
        <v>#NAME?</v>
      </c>
      <c r="E3456" s="115" t="e">
        <f t="array" aca="1" ref="E3456" ca="1">IF(OR(C3455=0,AND(B3457=0,C3457=0)),"",IFERROR(INDEX($F$27:$F$36,MATCH(C3456,($F$27:$F$36)*($D$27:$D$36&lt;&gt;0),0)),IF(OR(AND(D3456=0,B3456=0,B3457&lt;&gt;0),AND(D3456*D3455&lt;0,B3456&lt;&gt;0)),IF(D3456=0,C3456,C3456*(1-ABS(D3456)/(ABS(D3456)+ABS(D3455)))+C3455*(1-ABS(D3455)/(ABS(D3456)+ABS(D3455)))),"")))</f>
        <v>#NAME?</v>
      </c>
    </row>
    <row r="3457" spans="2:5" x14ac:dyDescent="0.25">
      <c r="B3457" t="e">
        <f t="shared" ca="1" si="109"/>
        <v>#NAME?</v>
      </c>
      <c r="C3457">
        <v>3414</v>
      </c>
      <c r="D3457" t="e">
        <f t="shared" ca="1" si="108"/>
        <v>#NAME?</v>
      </c>
      <c r="E3457" s="115" t="e">
        <f t="array" aca="1" ref="E3457" ca="1">IF(OR(C3456=0,AND(B3458=0,C3458=0)),"",IFERROR(INDEX($F$27:$F$36,MATCH(C3457,($F$27:$F$36)*($D$27:$D$36&lt;&gt;0),0)),IF(OR(AND(D3457=0,B3457=0,B3458&lt;&gt;0),AND(D3457*D3456&lt;0,B3457&lt;&gt;0)),IF(D3457=0,C3457,C3457*(1-ABS(D3457)/(ABS(D3457)+ABS(D3456)))+C3456*(1-ABS(D3456)/(ABS(D3457)+ABS(D3456)))),"")))</f>
        <v>#NAME?</v>
      </c>
    </row>
    <row r="3458" spans="2:5" x14ac:dyDescent="0.25">
      <c r="B3458" t="e">
        <f t="shared" ca="1" si="109"/>
        <v>#NAME?</v>
      </c>
      <c r="C3458">
        <v>3415</v>
      </c>
      <c r="D3458" t="e">
        <f t="shared" ca="1" si="108"/>
        <v>#NAME?</v>
      </c>
      <c r="E3458" s="115" t="e">
        <f t="array" aca="1" ref="E3458" ca="1">IF(OR(C3457=0,AND(B3459=0,C3459=0)),"",IFERROR(INDEX($F$27:$F$36,MATCH(C3458,($F$27:$F$36)*($D$27:$D$36&lt;&gt;0),0)),IF(OR(AND(D3458=0,B3458=0,B3459&lt;&gt;0),AND(D3458*D3457&lt;0,B3458&lt;&gt;0)),IF(D3458=0,C3458,C3458*(1-ABS(D3458)/(ABS(D3458)+ABS(D3457)))+C3457*(1-ABS(D3457)/(ABS(D3458)+ABS(D3457)))),"")))</f>
        <v>#NAME?</v>
      </c>
    </row>
    <row r="3459" spans="2:5" x14ac:dyDescent="0.25">
      <c r="B3459" t="e">
        <f t="shared" ca="1" si="109"/>
        <v>#NAME?</v>
      </c>
      <c r="C3459">
        <v>3416</v>
      </c>
      <c r="D3459" t="e">
        <f t="shared" ca="1" si="108"/>
        <v>#NAME?</v>
      </c>
      <c r="E3459" s="115" t="e">
        <f t="array" aca="1" ref="E3459" ca="1">IF(OR(C3458=0,AND(B3460=0,C3460=0)),"",IFERROR(INDEX($F$27:$F$36,MATCH(C3459,($F$27:$F$36)*($D$27:$D$36&lt;&gt;0),0)),IF(OR(AND(D3459=0,B3459=0,B3460&lt;&gt;0),AND(D3459*D3458&lt;0,B3459&lt;&gt;0)),IF(D3459=0,C3459,C3459*(1-ABS(D3459)/(ABS(D3459)+ABS(D3458)))+C3458*(1-ABS(D3458)/(ABS(D3459)+ABS(D3458)))),"")))</f>
        <v>#NAME?</v>
      </c>
    </row>
    <row r="3460" spans="2:5" x14ac:dyDescent="0.25">
      <c r="B3460" t="e">
        <f t="shared" ca="1" si="109"/>
        <v>#NAME?</v>
      </c>
      <c r="C3460">
        <v>3417</v>
      </c>
      <c r="D3460" t="e">
        <f t="shared" ca="1" si="108"/>
        <v>#NAME?</v>
      </c>
      <c r="E3460" s="115" t="e">
        <f t="array" aca="1" ref="E3460" ca="1">IF(OR(C3459=0,AND(B3461=0,C3461=0)),"",IFERROR(INDEX($F$27:$F$36,MATCH(C3460,($F$27:$F$36)*($D$27:$D$36&lt;&gt;0),0)),IF(OR(AND(D3460=0,B3460=0,B3461&lt;&gt;0),AND(D3460*D3459&lt;0,B3460&lt;&gt;0)),IF(D3460=0,C3460,C3460*(1-ABS(D3460)/(ABS(D3460)+ABS(D3459)))+C3459*(1-ABS(D3459)/(ABS(D3460)+ABS(D3459)))),"")))</f>
        <v>#NAME?</v>
      </c>
    </row>
    <row r="3461" spans="2:5" x14ac:dyDescent="0.25">
      <c r="B3461" t="e">
        <f t="shared" ca="1" si="109"/>
        <v>#NAME?</v>
      </c>
      <c r="C3461">
        <v>3418</v>
      </c>
      <c r="D3461" t="e">
        <f t="shared" ca="1" si="108"/>
        <v>#NAME?</v>
      </c>
      <c r="E3461" s="115" t="e">
        <f t="array" aca="1" ref="E3461" ca="1">IF(OR(C3460=0,AND(B3462=0,C3462=0)),"",IFERROR(INDEX($F$27:$F$36,MATCH(C3461,($F$27:$F$36)*($D$27:$D$36&lt;&gt;0),0)),IF(OR(AND(D3461=0,B3461=0,B3462&lt;&gt;0),AND(D3461*D3460&lt;0,B3461&lt;&gt;0)),IF(D3461=0,C3461,C3461*(1-ABS(D3461)/(ABS(D3461)+ABS(D3460)))+C3460*(1-ABS(D3460)/(ABS(D3461)+ABS(D3460)))),"")))</f>
        <v>#NAME?</v>
      </c>
    </row>
    <row r="3462" spans="2:5" x14ac:dyDescent="0.25">
      <c r="B3462" t="e">
        <f t="shared" ca="1" si="109"/>
        <v>#NAME?</v>
      </c>
      <c r="C3462">
        <v>3419</v>
      </c>
      <c r="D3462" t="e">
        <f t="shared" ca="1" si="108"/>
        <v>#NAME?</v>
      </c>
      <c r="E3462" s="115" t="e">
        <f t="array" aca="1" ref="E3462" ca="1">IF(OR(C3461=0,AND(B3463=0,C3463=0)),"",IFERROR(INDEX($F$27:$F$36,MATCH(C3462,($F$27:$F$36)*($D$27:$D$36&lt;&gt;0),0)),IF(OR(AND(D3462=0,B3462=0,B3463&lt;&gt;0),AND(D3462*D3461&lt;0,B3462&lt;&gt;0)),IF(D3462=0,C3462,C3462*(1-ABS(D3462)/(ABS(D3462)+ABS(D3461)))+C3461*(1-ABS(D3461)/(ABS(D3462)+ABS(D3461)))),"")))</f>
        <v>#NAME?</v>
      </c>
    </row>
    <row r="3463" spans="2:5" x14ac:dyDescent="0.25">
      <c r="B3463" t="e">
        <f t="shared" ca="1" si="109"/>
        <v>#NAME?</v>
      </c>
      <c r="C3463">
        <v>3420</v>
      </c>
      <c r="D3463" t="e">
        <f t="shared" ca="1" si="108"/>
        <v>#NAME?</v>
      </c>
      <c r="E3463" s="115" t="e">
        <f t="array" aca="1" ref="E3463" ca="1">IF(OR(C3462=0,AND(B3464=0,C3464=0)),"",IFERROR(INDEX($F$27:$F$36,MATCH(C3463,($F$27:$F$36)*($D$27:$D$36&lt;&gt;0),0)),IF(OR(AND(D3463=0,B3463=0,B3464&lt;&gt;0),AND(D3463*D3462&lt;0,B3463&lt;&gt;0)),IF(D3463=0,C3463,C3463*(1-ABS(D3463)/(ABS(D3463)+ABS(D3462)))+C3462*(1-ABS(D3462)/(ABS(D3463)+ABS(D3462)))),"")))</f>
        <v>#NAME?</v>
      </c>
    </row>
    <row r="3464" spans="2:5" x14ac:dyDescent="0.25">
      <c r="B3464" t="e">
        <f t="shared" ca="1" si="109"/>
        <v>#NAME?</v>
      </c>
      <c r="C3464">
        <v>3421</v>
      </c>
      <c r="D3464" t="e">
        <f t="shared" ca="1" si="108"/>
        <v>#NAME?</v>
      </c>
      <c r="E3464" s="115" t="e">
        <f t="array" aca="1" ref="E3464" ca="1">IF(OR(C3463=0,AND(B3465=0,C3465=0)),"",IFERROR(INDEX($F$27:$F$36,MATCH(C3464,($F$27:$F$36)*($D$27:$D$36&lt;&gt;0),0)),IF(OR(AND(D3464=0,B3464=0,B3465&lt;&gt;0),AND(D3464*D3463&lt;0,B3464&lt;&gt;0)),IF(D3464=0,C3464,C3464*(1-ABS(D3464)/(ABS(D3464)+ABS(D3463)))+C3463*(1-ABS(D3463)/(ABS(D3464)+ABS(D3463)))),"")))</f>
        <v>#NAME?</v>
      </c>
    </row>
    <row r="3465" spans="2:5" x14ac:dyDescent="0.25">
      <c r="B3465" t="e">
        <f t="shared" ca="1" si="109"/>
        <v>#NAME?</v>
      </c>
      <c r="C3465">
        <v>3422</v>
      </c>
      <c r="D3465" t="e">
        <f t="shared" ca="1" si="108"/>
        <v>#NAME?</v>
      </c>
      <c r="E3465" s="115" t="e">
        <f t="array" aca="1" ref="E3465" ca="1">IF(OR(C3464=0,AND(B3466=0,C3466=0)),"",IFERROR(INDEX($F$27:$F$36,MATCH(C3465,($F$27:$F$36)*($D$27:$D$36&lt;&gt;0),0)),IF(OR(AND(D3465=0,B3465=0,B3466&lt;&gt;0),AND(D3465*D3464&lt;0,B3465&lt;&gt;0)),IF(D3465=0,C3465,C3465*(1-ABS(D3465)/(ABS(D3465)+ABS(D3464)))+C3464*(1-ABS(D3464)/(ABS(D3465)+ABS(D3464)))),"")))</f>
        <v>#NAME?</v>
      </c>
    </row>
    <row r="3466" spans="2:5" x14ac:dyDescent="0.25">
      <c r="B3466" t="e">
        <f t="shared" ca="1" si="109"/>
        <v>#NAME?</v>
      </c>
      <c r="C3466">
        <v>3423</v>
      </c>
      <c r="D3466" t="e">
        <f t="shared" ca="1" si="108"/>
        <v>#NAME?</v>
      </c>
      <c r="E3466" s="115" t="e">
        <f t="array" aca="1" ref="E3466" ca="1">IF(OR(C3465=0,AND(B3467=0,C3467=0)),"",IFERROR(INDEX($F$27:$F$36,MATCH(C3466,($F$27:$F$36)*($D$27:$D$36&lt;&gt;0),0)),IF(OR(AND(D3466=0,B3466=0,B3467&lt;&gt;0),AND(D3466*D3465&lt;0,B3466&lt;&gt;0)),IF(D3466=0,C3466,C3466*(1-ABS(D3466)/(ABS(D3466)+ABS(D3465)))+C3465*(1-ABS(D3465)/(ABS(D3466)+ABS(D3465)))),"")))</f>
        <v>#NAME?</v>
      </c>
    </row>
    <row r="3467" spans="2:5" x14ac:dyDescent="0.25">
      <c r="B3467" t="e">
        <f t="shared" ca="1" si="109"/>
        <v>#NAME?</v>
      </c>
      <c r="C3467">
        <v>3424</v>
      </c>
      <c r="D3467" t="e">
        <f t="shared" ca="1" si="108"/>
        <v>#NAME?</v>
      </c>
      <c r="E3467" s="115" t="e">
        <f t="array" aca="1" ref="E3467" ca="1">IF(OR(C3466=0,AND(B3468=0,C3468=0)),"",IFERROR(INDEX($F$27:$F$36,MATCH(C3467,($F$27:$F$36)*($D$27:$D$36&lt;&gt;0),0)),IF(OR(AND(D3467=0,B3467=0,B3468&lt;&gt;0),AND(D3467*D3466&lt;0,B3467&lt;&gt;0)),IF(D3467=0,C3467,C3467*(1-ABS(D3467)/(ABS(D3467)+ABS(D3466)))+C3466*(1-ABS(D3466)/(ABS(D3467)+ABS(D3466)))),"")))</f>
        <v>#NAME?</v>
      </c>
    </row>
    <row r="3468" spans="2:5" x14ac:dyDescent="0.25">
      <c r="B3468" t="e">
        <f t="shared" ca="1" si="109"/>
        <v>#NAME?</v>
      </c>
      <c r="C3468">
        <v>3425</v>
      </c>
      <c r="D3468" t="e">
        <f t="shared" ca="1" si="108"/>
        <v>#NAME?</v>
      </c>
      <c r="E3468" s="115" t="e">
        <f t="array" aca="1" ref="E3468" ca="1">IF(OR(C3467=0,AND(B3469=0,C3469=0)),"",IFERROR(INDEX($F$27:$F$36,MATCH(C3468,($F$27:$F$36)*($D$27:$D$36&lt;&gt;0),0)),IF(OR(AND(D3468=0,B3468=0,B3469&lt;&gt;0),AND(D3468*D3467&lt;0,B3468&lt;&gt;0)),IF(D3468=0,C3468,C3468*(1-ABS(D3468)/(ABS(D3468)+ABS(D3467)))+C3467*(1-ABS(D3467)/(ABS(D3468)+ABS(D3467)))),"")))</f>
        <v>#NAME?</v>
      </c>
    </row>
    <row r="3469" spans="2:5" x14ac:dyDescent="0.25">
      <c r="B3469" t="e">
        <f t="shared" ca="1" si="109"/>
        <v>#NAME?</v>
      </c>
      <c r="C3469">
        <v>3426</v>
      </c>
      <c r="D3469" t="e">
        <f t="shared" ca="1" si="108"/>
        <v>#NAME?</v>
      </c>
      <c r="E3469" s="115" t="e">
        <f t="array" aca="1" ref="E3469" ca="1">IF(OR(C3468=0,AND(B3470=0,C3470=0)),"",IFERROR(INDEX($F$27:$F$36,MATCH(C3469,($F$27:$F$36)*($D$27:$D$36&lt;&gt;0),0)),IF(OR(AND(D3469=0,B3469=0,B3470&lt;&gt;0),AND(D3469*D3468&lt;0,B3469&lt;&gt;0)),IF(D3469=0,C3469,C3469*(1-ABS(D3469)/(ABS(D3469)+ABS(D3468)))+C3468*(1-ABS(D3468)/(ABS(D3469)+ABS(D3468)))),"")))</f>
        <v>#NAME?</v>
      </c>
    </row>
    <row r="3470" spans="2:5" x14ac:dyDescent="0.25">
      <c r="B3470" t="e">
        <f t="shared" ca="1" si="109"/>
        <v>#NAME?</v>
      </c>
      <c r="C3470">
        <v>3427</v>
      </c>
      <c r="D3470" t="e">
        <f t="shared" ca="1" si="108"/>
        <v>#NAME?</v>
      </c>
      <c r="E3470" s="115" t="e">
        <f t="array" aca="1" ref="E3470" ca="1">IF(OR(C3469=0,AND(B3471=0,C3471=0)),"",IFERROR(INDEX($F$27:$F$36,MATCH(C3470,($F$27:$F$36)*($D$27:$D$36&lt;&gt;0),0)),IF(OR(AND(D3470=0,B3470=0,B3471&lt;&gt;0),AND(D3470*D3469&lt;0,B3470&lt;&gt;0)),IF(D3470=0,C3470,C3470*(1-ABS(D3470)/(ABS(D3470)+ABS(D3469)))+C3469*(1-ABS(D3469)/(ABS(D3470)+ABS(D3469)))),"")))</f>
        <v>#NAME?</v>
      </c>
    </row>
    <row r="3471" spans="2:5" x14ac:dyDescent="0.25">
      <c r="B3471" t="e">
        <f t="shared" ca="1" si="109"/>
        <v>#NAME?</v>
      </c>
      <c r="C3471">
        <v>3428</v>
      </c>
      <c r="D3471" t="e">
        <f t="shared" ca="1" si="108"/>
        <v>#NAME?</v>
      </c>
      <c r="E3471" s="115" t="e">
        <f t="array" aca="1" ref="E3471" ca="1">IF(OR(C3470=0,AND(B3472=0,C3472=0)),"",IFERROR(INDEX($F$27:$F$36,MATCH(C3471,($F$27:$F$36)*($D$27:$D$36&lt;&gt;0),0)),IF(OR(AND(D3471=0,B3471=0,B3472&lt;&gt;0),AND(D3471*D3470&lt;0,B3471&lt;&gt;0)),IF(D3471=0,C3471,C3471*(1-ABS(D3471)/(ABS(D3471)+ABS(D3470)))+C3470*(1-ABS(D3470)/(ABS(D3471)+ABS(D3470)))),"")))</f>
        <v>#NAME?</v>
      </c>
    </row>
    <row r="3472" spans="2:5" x14ac:dyDescent="0.25">
      <c r="B3472" t="e">
        <f t="shared" ca="1" si="109"/>
        <v>#NAME?</v>
      </c>
      <c r="C3472">
        <v>3429</v>
      </c>
      <c r="D3472" t="e">
        <f t="shared" ca="1" si="108"/>
        <v>#NAME?</v>
      </c>
      <c r="E3472" s="115" t="e">
        <f t="array" aca="1" ref="E3472" ca="1">IF(OR(C3471=0,AND(B3473=0,C3473=0)),"",IFERROR(INDEX($F$27:$F$36,MATCH(C3472,($F$27:$F$36)*($D$27:$D$36&lt;&gt;0),0)),IF(OR(AND(D3472=0,B3472=0,B3473&lt;&gt;0),AND(D3472*D3471&lt;0,B3472&lt;&gt;0)),IF(D3472=0,C3472,C3472*(1-ABS(D3472)/(ABS(D3472)+ABS(D3471)))+C3471*(1-ABS(D3471)/(ABS(D3472)+ABS(D3471)))),"")))</f>
        <v>#NAME?</v>
      </c>
    </row>
    <row r="3473" spans="2:5" x14ac:dyDescent="0.25">
      <c r="B3473" t="e">
        <f t="shared" ca="1" si="109"/>
        <v>#NAME?</v>
      </c>
      <c r="C3473">
        <v>3430</v>
      </c>
      <c r="D3473" t="e">
        <f t="shared" ca="1" si="108"/>
        <v>#NAME?</v>
      </c>
      <c r="E3473" s="115" t="e">
        <f t="array" aca="1" ref="E3473" ca="1">IF(OR(C3472=0,AND(B3474=0,C3474=0)),"",IFERROR(INDEX($F$27:$F$36,MATCH(C3473,($F$27:$F$36)*($D$27:$D$36&lt;&gt;0),0)),IF(OR(AND(D3473=0,B3473=0,B3474&lt;&gt;0),AND(D3473*D3472&lt;0,B3473&lt;&gt;0)),IF(D3473=0,C3473,C3473*(1-ABS(D3473)/(ABS(D3473)+ABS(D3472)))+C3472*(1-ABS(D3472)/(ABS(D3473)+ABS(D3472)))),"")))</f>
        <v>#NAME?</v>
      </c>
    </row>
    <row r="3474" spans="2:5" x14ac:dyDescent="0.25">
      <c r="B3474" t="e">
        <f t="shared" ca="1" si="109"/>
        <v>#NAME?</v>
      </c>
      <c r="C3474">
        <v>3431</v>
      </c>
      <c r="D3474" t="e">
        <f t="shared" ca="1" si="108"/>
        <v>#NAME?</v>
      </c>
      <c r="E3474" s="115" t="e">
        <f t="array" aca="1" ref="E3474" ca="1">IF(OR(C3473=0,AND(B3475=0,C3475=0)),"",IFERROR(INDEX($F$27:$F$36,MATCH(C3474,($F$27:$F$36)*($D$27:$D$36&lt;&gt;0),0)),IF(OR(AND(D3474=0,B3474=0,B3475&lt;&gt;0),AND(D3474*D3473&lt;0,B3474&lt;&gt;0)),IF(D3474=0,C3474,C3474*(1-ABS(D3474)/(ABS(D3474)+ABS(D3473)))+C3473*(1-ABS(D3473)/(ABS(D3474)+ABS(D3473)))),"")))</f>
        <v>#NAME?</v>
      </c>
    </row>
    <row r="3475" spans="2:5" x14ac:dyDescent="0.25">
      <c r="B3475" t="e">
        <f t="shared" ca="1" si="109"/>
        <v>#NAME?</v>
      </c>
      <c r="C3475">
        <v>3432</v>
      </c>
      <c r="D3475" t="e">
        <f t="shared" ca="1" si="108"/>
        <v>#NAME?</v>
      </c>
      <c r="E3475" s="115" t="e">
        <f t="array" aca="1" ref="E3475" ca="1">IF(OR(C3474=0,AND(B3476=0,C3476=0)),"",IFERROR(INDEX($F$27:$F$36,MATCH(C3475,($F$27:$F$36)*($D$27:$D$36&lt;&gt;0),0)),IF(OR(AND(D3475=0,B3475=0,B3476&lt;&gt;0),AND(D3475*D3474&lt;0,B3475&lt;&gt;0)),IF(D3475=0,C3475,C3475*(1-ABS(D3475)/(ABS(D3475)+ABS(D3474)))+C3474*(1-ABS(D3474)/(ABS(D3475)+ABS(D3474)))),"")))</f>
        <v>#NAME?</v>
      </c>
    </row>
    <row r="3476" spans="2:5" x14ac:dyDescent="0.25">
      <c r="B3476" t="e">
        <f t="shared" ca="1" si="109"/>
        <v>#NAME?</v>
      </c>
      <c r="C3476">
        <v>3433</v>
      </c>
      <c r="D3476" t="e">
        <f t="shared" ca="1" si="108"/>
        <v>#NAME?</v>
      </c>
      <c r="E3476" s="115" t="e">
        <f t="array" aca="1" ref="E3476" ca="1">IF(OR(C3475=0,AND(B3477=0,C3477=0)),"",IFERROR(INDEX($F$27:$F$36,MATCH(C3476,($F$27:$F$36)*($D$27:$D$36&lt;&gt;0),0)),IF(OR(AND(D3476=0,B3476=0,B3477&lt;&gt;0),AND(D3476*D3475&lt;0,B3476&lt;&gt;0)),IF(D3476=0,C3476,C3476*(1-ABS(D3476)/(ABS(D3476)+ABS(D3475)))+C3475*(1-ABS(D3475)/(ABS(D3476)+ABS(D3475)))),"")))</f>
        <v>#NAME?</v>
      </c>
    </row>
    <row r="3477" spans="2:5" x14ac:dyDescent="0.25">
      <c r="B3477" t="e">
        <f t="shared" ca="1" si="109"/>
        <v>#NAME?</v>
      </c>
      <c r="C3477">
        <v>3434</v>
      </c>
      <c r="D3477" t="e">
        <f t="shared" ca="1" si="108"/>
        <v>#NAME?</v>
      </c>
      <c r="E3477" s="115" t="e">
        <f t="array" aca="1" ref="E3477" ca="1">IF(OR(C3476=0,AND(B3478=0,C3478=0)),"",IFERROR(INDEX($F$27:$F$36,MATCH(C3477,($F$27:$F$36)*($D$27:$D$36&lt;&gt;0),0)),IF(OR(AND(D3477=0,B3477=0,B3478&lt;&gt;0),AND(D3477*D3476&lt;0,B3477&lt;&gt;0)),IF(D3477=0,C3477,C3477*(1-ABS(D3477)/(ABS(D3477)+ABS(D3476)))+C3476*(1-ABS(D3476)/(ABS(D3477)+ABS(D3476)))),"")))</f>
        <v>#NAME?</v>
      </c>
    </row>
    <row r="3478" spans="2:5" x14ac:dyDescent="0.25">
      <c r="B3478" t="e">
        <f t="shared" ca="1" si="109"/>
        <v>#NAME?</v>
      </c>
      <c r="C3478">
        <v>3435</v>
      </c>
      <c r="D3478" t="e">
        <f t="shared" ca="1" si="108"/>
        <v>#NAME?</v>
      </c>
      <c r="E3478" s="115" t="e">
        <f t="array" aca="1" ref="E3478" ca="1">IF(OR(C3477=0,AND(B3479=0,C3479=0)),"",IFERROR(INDEX($F$27:$F$36,MATCH(C3478,($F$27:$F$36)*($D$27:$D$36&lt;&gt;0),0)),IF(OR(AND(D3478=0,B3478=0,B3479&lt;&gt;0),AND(D3478*D3477&lt;0,B3478&lt;&gt;0)),IF(D3478=0,C3478,C3478*(1-ABS(D3478)/(ABS(D3478)+ABS(D3477)))+C3477*(1-ABS(D3477)/(ABS(D3478)+ABS(D3477)))),"")))</f>
        <v>#NAME?</v>
      </c>
    </row>
    <row r="3479" spans="2:5" x14ac:dyDescent="0.25">
      <c r="B3479" t="e">
        <f t="shared" ca="1" si="109"/>
        <v>#NAME?</v>
      </c>
      <c r="C3479">
        <v>3436</v>
      </c>
      <c r="D3479" t="e">
        <f t="shared" ca="1" si="108"/>
        <v>#NAME?</v>
      </c>
      <c r="E3479" s="115" t="e">
        <f t="array" aca="1" ref="E3479" ca="1">IF(OR(C3478=0,AND(B3480=0,C3480=0)),"",IFERROR(INDEX($F$27:$F$36,MATCH(C3479,($F$27:$F$36)*($D$27:$D$36&lt;&gt;0),0)),IF(OR(AND(D3479=0,B3479=0,B3480&lt;&gt;0),AND(D3479*D3478&lt;0,B3479&lt;&gt;0)),IF(D3479=0,C3479,C3479*(1-ABS(D3479)/(ABS(D3479)+ABS(D3478)))+C3478*(1-ABS(D3478)/(ABS(D3479)+ABS(D3478)))),"")))</f>
        <v>#NAME?</v>
      </c>
    </row>
    <row r="3480" spans="2:5" x14ac:dyDescent="0.25">
      <c r="B3480" t="e">
        <f t="shared" ca="1" si="109"/>
        <v>#NAME?</v>
      </c>
      <c r="C3480">
        <v>3437</v>
      </c>
      <c r="D3480" t="e">
        <f t="shared" ca="1" si="108"/>
        <v>#NAME?</v>
      </c>
      <c r="E3480" s="115" t="e">
        <f t="array" aca="1" ref="E3480" ca="1">IF(OR(C3479=0,AND(B3481=0,C3481=0)),"",IFERROR(INDEX($F$27:$F$36,MATCH(C3480,($F$27:$F$36)*($D$27:$D$36&lt;&gt;0),0)),IF(OR(AND(D3480=0,B3480=0,B3481&lt;&gt;0),AND(D3480*D3479&lt;0,B3480&lt;&gt;0)),IF(D3480=0,C3480,C3480*(1-ABS(D3480)/(ABS(D3480)+ABS(D3479)))+C3479*(1-ABS(D3479)/(ABS(D3480)+ABS(D3479)))),"")))</f>
        <v>#NAME?</v>
      </c>
    </row>
    <row r="3481" spans="2:5" x14ac:dyDescent="0.25">
      <c r="B3481" t="e">
        <f t="shared" ca="1" si="109"/>
        <v>#NAME?</v>
      </c>
      <c r="C3481">
        <v>3438</v>
      </c>
      <c r="D3481" t="e">
        <f t="shared" ca="1" si="108"/>
        <v>#NAME?</v>
      </c>
      <c r="E3481" s="115" t="e">
        <f t="array" aca="1" ref="E3481" ca="1">IF(OR(C3480=0,AND(B3482=0,C3482=0)),"",IFERROR(INDEX($F$27:$F$36,MATCH(C3481,($F$27:$F$36)*($D$27:$D$36&lt;&gt;0),0)),IF(OR(AND(D3481=0,B3481=0,B3482&lt;&gt;0),AND(D3481*D3480&lt;0,B3481&lt;&gt;0)),IF(D3481=0,C3481,C3481*(1-ABS(D3481)/(ABS(D3481)+ABS(D3480)))+C3480*(1-ABS(D3480)/(ABS(D3481)+ABS(D3480)))),"")))</f>
        <v>#NAME?</v>
      </c>
    </row>
    <row r="3482" spans="2:5" x14ac:dyDescent="0.25">
      <c r="B3482" t="e">
        <f t="shared" ca="1" si="109"/>
        <v>#NAME?</v>
      </c>
      <c r="C3482">
        <v>3439</v>
      </c>
      <c r="D3482" t="e">
        <f t="shared" ca="1" si="108"/>
        <v>#NAME?</v>
      </c>
      <c r="E3482" s="115" t="e">
        <f t="array" aca="1" ref="E3482" ca="1">IF(OR(C3481=0,AND(B3483=0,C3483=0)),"",IFERROR(INDEX($F$27:$F$36,MATCH(C3482,($F$27:$F$36)*($D$27:$D$36&lt;&gt;0),0)),IF(OR(AND(D3482=0,B3482=0,B3483&lt;&gt;0),AND(D3482*D3481&lt;0,B3482&lt;&gt;0)),IF(D3482=0,C3482,C3482*(1-ABS(D3482)/(ABS(D3482)+ABS(D3481)))+C3481*(1-ABS(D3481)/(ABS(D3482)+ABS(D3481)))),"")))</f>
        <v>#NAME?</v>
      </c>
    </row>
    <row r="3483" spans="2:5" x14ac:dyDescent="0.25">
      <c r="B3483" t="e">
        <f t="shared" ca="1" si="109"/>
        <v>#NAME?</v>
      </c>
      <c r="C3483">
        <v>3440</v>
      </c>
      <c r="D3483" t="e">
        <f t="shared" ca="1" si="108"/>
        <v>#NAME?</v>
      </c>
      <c r="E3483" s="115" t="e">
        <f t="array" aca="1" ref="E3483" ca="1">IF(OR(C3482=0,AND(B3484=0,C3484=0)),"",IFERROR(INDEX($F$27:$F$36,MATCH(C3483,($F$27:$F$36)*($D$27:$D$36&lt;&gt;0),0)),IF(OR(AND(D3483=0,B3483=0,B3484&lt;&gt;0),AND(D3483*D3482&lt;0,B3483&lt;&gt;0)),IF(D3483=0,C3483,C3483*(1-ABS(D3483)/(ABS(D3483)+ABS(D3482)))+C3482*(1-ABS(D3482)/(ABS(D3483)+ABS(D3482)))),"")))</f>
        <v>#NAME?</v>
      </c>
    </row>
    <row r="3484" spans="2:5" x14ac:dyDescent="0.25">
      <c r="B3484" t="e">
        <f t="shared" ca="1" si="109"/>
        <v>#NAME?</v>
      </c>
      <c r="C3484">
        <v>3441</v>
      </c>
      <c r="D3484" t="e">
        <f t="shared" ca="1" si="108"/>
        <v>#NAME?</v>
      </c>
      <c r="E3484" s="115" t="e">
        <f t="array" aca="1" ref="E3484" ca="1">IF(OR(C3483=0,AND(B3485=0,C3485=0)),"",IFERROR(INDEX($F$27:$F$36,MATCH(C3484,($F$27:$F$36)*($D$27:$D$36&lt;&gt;0),0)),IF(OR(AND(D3484=0,B3484=0,B3485&lt;&gt;0),AND(D3484*D3483&lt;0,B3484&lt;&gt;0)),IF(D3484=0,C3484,C3484*(1-ABS(D3484)/(ABS(D3484)+ABS(D3483)))+C3483*(1-ABS(D3483)/(ABS(D3484)+ABS(D3483)))),"")))</f>
        <v>#NAME?</v>
      </c>
    </row>
    <row r="3485" spans="2:5" x14ac:dyDescent="0.25">
      <c r="B3485" t="e">
        <f t="shared" ca="1" si="109"/>
        <v>#NAME?</v>
      </c>
      <c r="C3485">
        <v>3442</v>
      </c>
      <c r="D3485" t="e">
        <f t="shared" ca="1" si="108"/>
        <v>#NAME?</v>
      </c>
      <c r="E3485" s="115" t="e">
        <f t="array" aca="1" ref="E3485" ca="1">IF(OR(C3484=0,AND(B3486=0,C3486=0)),"",IFERROR(INDEX($F$27:$F$36,MATCH(C3485,($F$27:$F$36)*($D$27:$D$36&lt;&gt;0),0)),IF(OR(AND(D3485=0,B3485=0,B3486&lt;&gt;0),AND(D3485*D3484&lt;0,B3485&lt;&gt;0)),IF(D3485=0,C3485,C3485*(1-ABS(D3485)/(ABS(D3485)+ABS(D3484)))+C3484*(1-ABS(D3484)/(ABS(D3485)+ABS(D3484)))),"")))</f>
        <v>#NAME?</v>
      </c>
    </row>
    <row r="3486" spans="2:5" x14ac:dyDescent="0.25">
      <c r="B3486" t="e">
        <f t="shared" ca="1" si="109"/>
        <v>#NAME?</v>
      </c>
      <c r="C3486">
        <v>3443</v>
      </c>
      <c r="D3486" t="e">
        <f t="shared" ca="1" si="108"/>
        <v>#NAME?</v>
      </c>
      <c r="E3486" s="115" t="e">
        <f t="array" aca="1" ref="E3486" ca="1">IF(OR(C3485=0,AND(B3487=0,C3487=0)),"",IFERROR(INDEX($F$27:$F$36,MATCH(C3486,($F$27:$F$36)*($D$27:$D$36&lt;&gt;0),0)),IF(OR(AND(D3486=0,B3486=0,B3487&lt;&gt;0),AND(D3486*D3485&lt;0,B3486&lt;&gt;0)),IF(D3486=0,C3486,C3486*(1-ABS(D3486)/(ABS(D3486)+ABS(D3485)))+C3485*(1-ABS(D3485)/(ABS(D3486)+ABS(D3485)))),"")))</f>
        <v>#NAME?</v>
      </c>
    </row>
    <row r="3487" spans="2:5" x14ac:dyDescent="0.25">
      <c r="B3487" t="e">
        <f t="shared" ca="1" si="109"/>
        <v>#NAME?</v>
      </c>
      <c r="C3487">
        <v>3444</v>
      </c>
      <c r="D3487" t="e">
        <f t="shared" ca="1" si="108"/>
        <v>#NAME?</v>
      </c>
      <c r="E3487" s="115" t="e">
        <f t="array" aca="1" ref="E3487" ca="1">IF(OR(C3486=0,AND(B3488=0,C3488=0)),"",IFERROR(INDEX($F$27:$F$36,MATCH(C3487,($F$27:$F$36)*($D$27:$D$36&lt;&gt;0),0)),IF(OR(AND(D3487=0,B3487=0,B3488&lt;&gt;0),AND(D3487*D3486&lt;0,B3487&lt;&gt;0)),IF(D3487=0,C3487,C3487*(1-ABS(D3487)/(ABS(D3487)+ABS(D3486)))+C3486*(1-ABS(D3486)/(ABS(D3487)+ABS(D3486)))),"")))</f>
        <v>#NAME?</v>
      </c>
    </row>
    <row r="3488" spans="2:5" x14ac:dyDescent="0.25">
      <c r="B3488" t="e">
        <f t="shared" ca="1" si="109"/>
        <v>#NAME?</v>
      </c>
      <c r="C3488">
        <v>3445</v>
      </c>
      <c r="D3488" t="e">
        <f t="shared" ca="1" si="108"/>
        <v>#NAME?</v>
      </c>
      <c r="E3488" s="115" t="e">
        <f t="array" aca="1" ref="E3488" ca="1">IF(OR(C3487=0,AND(B3489=0,C3489=0)),"",IFERROR(INDEX($F$27:$F$36,MATCH(C3488,($F$27:$F$36)*($D$27:$D$36&lt;&gt;0),0)),IF(OR(AND(D3488=0,B3488=0,B3489&lt;&gt;0),AND(D3488*D3487&lt;0,B3488&lt;&gt;0)),IF(D3488=0,C3488,C3488*(1-ABS(D3488)/(ABS(D3488)+ABS(D3487)))+C3487*(1-ABS(D3487)/(ABS(D3488)+ABS(D3487)))),"")))</f>
        <v>#NAME?</v>
      </c>
    </row>
    <row r="3489" spans="2:5" x14ac:dyDescent="0.25">
      <c r="B3489" t="e">
        <f t="shared" ca="1" si="109"/>
        <v>#NAME?</v>
      </c>
      <c r="C3489">
        <v>3446</v>
      </c>
      <c r="D3489" t="e">
        <f t="shared" ca="1" si="108"/>
        <v>#NAME?</v>
      </c>
      <c r="E3489" s="115" t="e">
        <f t="array" aca="1" ref="E3489" ca="1">IF(OR(C3488=0,AND(B3490=0,C3490=0)),"",IFERROR(INDEX($F$27:$F$36,MATCH(C3489,($F$27:$F$36)*($D$27:$D$36&lt;&gt;0),0)),IF(OR(AND(D3489=0,B3489=0,B3490&lt;&gt;0),AND(D3489*D3488&lt;0,B3489&lt;&gt;0)),IF(D3489=0,C3489,C3489*(1-ABS(D3489)/(ABS(D3489)+ABS(D3488)))+C3488*(1-ABS(D3488)/(ABS(D3489)+ABS(D3488)))),"")))</f>
        <v>#NAME?</v>
      </c>
    </row>
    <row r="3490" spans="2:5" x14ac:dyDescent="0.25">
      <c r="B3490" t="e">
        <f t="shared" ca="1" si="109"/>
        <v>#NAME?</v>
      </c>
      <c r="C3490">
        <v>3447</v>
      </c>
      <c r="D3490" t="e">
        <f t="shared" ca="1" si="108"/>
        <v>#NAME?</v>
      </c>
      <c r="E3490" s="115" t="e">
        <f t="array" aca="1" ref="E3490" ca="1">IF(OR(C3489=0,AND(B3491=0,C3491=0)),"",IFERROR(INDEX($F$27:$F$36,MATCH(C3490,($F$27:$F$36)*($D$27:$D$36&lt;&gt;0),0)),IF(OR(AND(D3490=0,B3490=0,B3491&lt;&gt;0),AND(D3490*D3489&lt;0,B3490&lt;&gt;0)),IF(D3490=0,C3490,C3490*(1-ABS(D3490)/(ABS(D3490)+ABS(D3489)))+C3489*(1-ABS(D3489)/(ABS(D3490)+ABS(D3489)))),"")))</f>
        <v>#NAME?</v>
      </c>
    </row>
    <row r="3491" spans="2:5" x14ac:dyDescent="0.25">
      <c r="B3491" t="e">
        <f t="shared" ca="1" si="109"/>
        <v>#NAME?</v>
      </c>
      <c r="C3491">
        <v>3448</v>
      </c>
      <c r="D3491" t="e">
        <f t="shared" ca="1" si="108"/>
        <v>#NAME?</v>
      </c>
      <c r="E3491" s="115" t="e">
        <f t="array" aca="1" ref="E3491" ca="1">IF(OR(C3490=0,AND(B3492=0,C3492=0)),"",IFERROR(INDEX($F$27:$F$36,MATCH(C3491,($F$27:$F$36)*($D$27:$D$36&lt;&gt;0),0)),IF(OR(AND(D3491=0,B3491=0,B3492&lt;&gt;0),AND(D3491*D3490&lt;0,B3491&lt;&gt;0)),IF(D3491=0,C3491,C3491*(1-ABS(D3491)/(ABS(D3491)+ABS(D3490)))+C3490*(1-ABS(D3490)/(ABS(D3491)+ABS(D3490)))),"")))</f>
        <v>#NAME?</v>
      </c>
    </row>
    <row r="3492" spans="2:5" x14ac:dyDescent="0.25">
      <c r="B3492" t="e">
        <f t="shared" ca="1" si="109"/>
        <v>#NAME?</v>
      </c>
      <c r="C3492">
        <v>3449</v>
      </c>
      <c r="D3492" t="e">
        <f t="shared" ca="1" si="108"/>
        <v>#NAME?</v>
      </c>
      <c r="E3492" s="115" t="e">
        <f t="array" aca="1" ref="E3492" ca="1">IF(OR(C3491=0,AND(B3493=0,C3493=0)),"",IFERROR(INDEX($F$27:$F$36,MATCH(C3492,($F$27:$F$36)*($D$27:$D$36&lt;&gt;0),0)),IF(OR(AND(D3492=0,B3492=0,B3493&lt;&gt;0),AND(D3492*D3491&lt;0,B3492&lt;&gt;0)),IF(D3492=0,C3492,C3492*(1-ABS(D3492)/(ABS(D3492)+ABS(D3491)))+C3491*(1-ABS(D3491)/(ABS(D3492)+ABS(D3491)))),"")))</f>
        <v>#NAME?</v>
      </c>
    </row>
    <row r="3493" spans="2:5" x14ac:dyDescent="0.25">
      <c r="B3493" t="e">
        <f t="shared" ca="1" si="109"/>
        <v>#NAME?</v>
      </c>
      <c r="C3493">
        <v>3450</v>
      </c>
      <c r="D3493" t="e">
        <f t="shared" ca="1" si="108"/>
        <v>#NAME?</v>
      </c>
      <c r="E3493" s="115" t="e">
        <f t="array" aca="1" ref="E3493" ca="1">IF(OR(C3492=0,AND(B3494=0,C3494=0)),"",IFERROR(INDEX($F$27:$F$36,MATCH(C3493,($F$27:$F$36)*($D$27:$D$36&lt;&gt;0),0)),IF(OR(AND(D3493=0,B3493=0,B3494&lt;&gt;0),AND(D3493*D3492&lt;0,B3493&lt;&gt;0)),IF(D3493=0,C3493,C3493*(1-ABS(D3493)/(ABS(D3493)+ABS(D3492)))+C3492*(1-ABS(D3492)/(ABS(D3493)+ABS(D3492)))),"")))</f>
        <v>#NAME?</v>
      </c>
    </row>
    <row r="3494" spans="2:5" x14ac:dyDescent="0.25">
      <c r="B3494" t="e">
        <f t="shared" ca="1" si="109"/>
        <v>#NAME?</v>
      </c>
      <c r="C3494">
        <v>3451</v>
      </c>
      <c r="D3494" t="e">
        <f t="shared" ca="1" si="108"/>
        <v>#NAME?</v>
      </c>
      <c r="E3494" s="115" t="e">
        <f t="array" aca="1" ref="E3494" ca="1">IF(OR(C3493=0,AND(B3495=0,C3495=0)),"",IFERROR(INDEX($F$27:$F$36,MATCH(C3494,($F$27:$F$36)*($D$27:$D$36&lt;&gt;0),0)),IF(OR(AND(D3494=0,B3494=0,B3495&lt;&gt;0),AND(D3494*D3493&lt;0,B3494&lt;&gt;0)),IF(D3494=0,C3494,C3494*(1-ABS(D3494)/(ABS(D3494)+ABS(D3493)))+C3493*(1-ABS(D3493)/(ABS(D3494)+ABS(D3493)))),"")))</f>
        <v>#NAME?</v>
      </c>
    </row>
    <row r="3495" spans="2:5" x14ac:dyDescent="0.25">
      <c r="B3495" t="e">
        <f t="shared" ca="1" si="109"/>
        <v>#NAME?</v>
      </c>
      <c r="C3495">
        <v>3452</v>
      </c>
      <c r="D3495" t="e">
        <f t="shared" ca="1" si="108"/>
        <v>#NAME?</v>
      </c>
      <c r="E3495" s="115" t="e">
        <f t="array" aca="1" ref="E3495" ca="1">IF(OR(C3494=0,AND(B3496=0,C3496=0)),"",IFERROR(INDEX($F$27:$F$36,MATCH(C3495,($F$27:$F$36)*($D$27:$D$36&lt;&gt;0),0)),IF(OR(AND(D3495=0,B3495=0,B3496&lt;&gt;0),AND(D3495*D3494&lt;0,B3495&lt;&gt;0)),IF(D3495=0,C3495,C3495*(1-ABS(D3495)/(ABS(D3495)+ABS(D3494)))+C3494*(1-ABS(D3494)/(ABS(D3495)+ABS(D3494)))),"")))</f>
        <v>#NAME?</v>
      </c>
    </row>
    <row r="3496" spans="2:5" x14ac:dyDescent="0.25">
      <c r="B3496" t="e">
        <f t="shared" ca="1" si="109"/>
        <v>#NAME?</v>
      </c>
      <c r="C3496">
        <v>3453</v>
      </c>
      <c r="D3496" t="e">
        <f t="shared" ca="1" si="108"/>
        <v>#NAME?</v>
      </c>
      <c r="E3496" s="115" t="e">
        <f t="array" aca="1" ref="E3496" ca="1">IF(OR(C3495=0,AND(B3497=0,C3497=0)),"",IFERROR(INDEX($F$27:$F$36,MATCH(C3496,($F$27:$F$36)*($D$27:$D$36&lt;&gt;0),0)),IF(OR(AND(D3496=0,B3496=0,B3497&lt;&gt;0),AND(D3496*D3495&lt;0,B3496&lt;&gt;0)),IF(D3496=0,C3496,C3496*(1-ABS(D3496)/(ABS(D3496)+ABS(D3495)))+C3495*(1-ABS(D3495)/(ABS(D3496)+ABS(D3495)))),"")))</f>
        <v>#NAME?</v>
      </c>
    </row>
    <row r="3497" spans="2:5" x14ac:dyDescent="0.25">
      <c r="B3497" t="e">
        <f t="shared" ca="1" si="109"/>
        <v>#NAME?</v>
      </c>
      <c r="C3497">
        <v>3454</v>
      </c>
      <c r="D3497" t="e">
        <f t="shared" ca="1" si="108"/>
        <v>#NAME?</v>
      </c>
      <c r="E3497" s="115" t="e">
        <f t="array" aca="1" ref="E3497" ca="1">IF(OR(C3496=0,AND(B3498=0,C3498=0)),"",IFERROR(INDEX($F$27:$F$36,MATCH(C3497,($F$27:$F$36)*($D$27:$D$36&lt;&gt;0),0)),IF(OR(AND(D3497=0,B3497=0,B3498&lt;&gt;0),AND(D3497*D3496&lt;0,B3497&lt;&gt;0)),IF(D3497=0,C3497,C3497*(1-ABS(D3497)/(ABS(D3497)+ABS(D3496)))+C3496*(1-ABS(D3496)/(ABS(D3497)+ABS(D3496)))),"")))</f>
        <v>#NAME?</v>
      </c>
    </row>
    <row r="3498" spans="2:5" x14ac:dyDescent="0.25">
      <c r="B3498" t="e">
        <f t="shared" ca="1" si="109"/>
        <v>#NAME?</v>
      </c>
      <c r="C3498">
        <v>3455</v>
      </c>
      <c r="D3498" t="e">
        <f t="shared" ca="1" si="108"/>
        <v>#NAME?</v>
      </c>
      <c r="E3498" s="115" t="e">
        <f t="array" aca="1" ref="E3498" ca="1">IF(OR(C3497=0,AND(B3499=0,C3499=0)),"",IFERROR(INDEX($F$27:$F$36,MATCH(C3498,($F$27:$F$36)*($D$27:$D$36&lt;&gt;0),0)),IF(OR(AND(D3498=0,B3498=0,B3499&lt;&gt;0),AND(D3498*D3497&lt;0,B3498&lt;&gt;0)),IF(D3498=0,C3498,C3498*(1-ABS(D3498)/(ABS(D3498)+ABS(D3497)))+C3497*(1-ABS(D3497)/(ABS(D3498)+ABS(D3497)))),"")))</f>
        <v>#NAME?</v>
      </c>
    </row>
    <row r="3499" spans="2:5" x14ac:dyDescent="0.25">
      <c r="B3499" t="e">
        <f t="shared" ca="1" si="109"/>
        <v>#NAME?</v>
      </c>
      <c r="C3499">
        <v>3456</v>
      </c>
      <c r="D3499" t="e">
        <f t="shared" ref="D3499:D3562" ca="1" si="110">SUMPRODUCT(--($J$27:$J$37&gt;0),--($C3499-$F$27:$F$37&gt;0),($D$27:$D$37),($C3499-$F$27:$F$37))+SUMPRODUCT(--($J$27:$J$37&lt;0),--($F$27:$F$37-$C3499&gt;0),($D$27:$D$37),($F$27:$F$37-$C3499))-SUMPRODUCT($D$27:$D$37,$E$27:$E$37)</f>
        <v>#NAME?</v>
      </c>
      <c r="E3499" s="115" t="e">
        <f t="array" aca="1" ref="E3499" ca="1">IF(OR(C3498=0,AND(B3500=0,C3500=0)),"",IFERROR(INDEX($F$27:$F$36,MATCH(C3499,($F$27:$F$36)*($D$27:$D$36&lt;&gt;0),0)),IF(OR(AND(D3499=0,B3499=0,B3500&lt;&gt;0),AND(D3499*D3498&lt;0,B3499&lt;&gt;0)),IF(D3499=0,C3499,C3499*(1-ABS(D3499)/(ABS(D3499)+ABS(D3498)))+C3498*(1-ABS(D3498)/(ABS(D3499)+ABS(D3498)))),"")))</f>
        <v>#NAME?</v>
      </c>
    </row>
    <row r="3500" spans="2:5" x14ac:dyDescent="0.25">
      <c r="B3500" t="e">
        <f t="shared" ref="B3500:B3563" ca="1" si="111">ROUND((D3500-D3499)/(C3500-C3499),12)</f>
        <v>#NAME?</v>
      </c>
      <c r="C3500">
        <v>3457</v>
      </c>
      <c r="D3500" t="e">
        <f t="shared" ca="1" si="110"/>
        <v>#NAME?</v>
      </c>
      <c r="E3500" s="115" t="e">
        <f t="array" aca="1" ref="E3500" ca="1">IF(OR(C3499=0,AND(B3501=0,C3501=0)),"",IFERROR(INDEX($F$27:$F$36,MATCH(C3500,($F$27:$F$36)*($D$27:$D$36&lt;&gt;0),0)),IF(OR(AND(D3500=0,B3500=0,B3501&lt;&gt;0),AND(D3500*D3499&lt;0,B3500&lt;&gt;0)),IF(D3500=0,C3500,C3500*(1-ABS(D3500)/(ABS(D3500)+ABS(D3499)))+C3499*(1-ABS(D3499)/(ABS(D3500)+ABS(D3499)))),"")))</f>
        <v>#NAME?</v>
      </c>
    </row>
    <row r="3501" spans="2:5" x14ac:dyDescent="0.25">
      <c r="B3501" t="e">
        <f t="shared" ca="1" si="111"/>
        <v>#NAME?</v>
      </c>
      <c r="C3501">
        <v>3458</v>
      </c>
      <c r="D3501" t="e">
        <f t="shared" ca="1" si="110"/>
        <v>#NAME?</v>
      </c>
      <c r="E3501" s="115" t="e">
        <f t="array" aca="1" ref="E3501" ca="1">IF(OR(C3500=0,AND(B3502=0,C3502=0)),"",IFERROR(INDEX($F$27:$F$36,MATCH(C3501,($F$27:$F$36)*($D$27:$D$36&lt;&gt;0),0)),IF(OR(AND(D3501=0,B3501=0,B3502&lt;&gt;0),AND(D3501*D3500&lt;0,B3501&lt;&gt;0)),IF(D3501=0,C3501,C3501*(1-ABS(D3501)/(ABS(D3501)+ABS(D3500)))+C3500*(1-ABS(D3500)/(ABS(D3501)+ABS(D3500)))),"")))</f>
        <v>#NAME?</v>
      </c>
    </row>
    <row r="3502" spans="2:5" x14ac:dyDescent="0.25">
      <c r="B3502" t="e">
        <f t="shared" ca="1" si="111"/>
        <v>#NAME?</v>
      </c>
      <c r="C3502">
        <v>3459</v>
      </c>
      <c r="D3502" t="e">
        <f t="shared" ca="1" si="110"/>
        <v>#NAME?</v>
      </c>
      <c r="E3502" s="115" t="e">
        <f t="array" aca="1" ref="E3502" ca="1">IF(OR(C3501=0,AND(B3503=0,C3503=0)),"",IFERROR(INDEX($F$27:$F$36,MATCH(C3502,($F$27:$F$36)*($D$27:$D$36&lt;&gt;0),0)),IF(OR(AND(D3502=0,B3502=0,B3503&lt;&gt;0),AND(D3502*D3501&lt;0,B3502&lt;&gt;0)),IF(D3502=0,C3502,C3502*(1-ABS(D3502)/(ABS(D3502)+ABS(D3501)))+C3501*(1-ABS(D3501)/(ABS(D3502)+ABS(D3501)))),"")))</f>
        <v>#NAME?</v>
      </c>
    </row>
    <row r="3503" spans="2:5" x14ac:dyDescent="0.25">
      <c r="B3503" t="e">
        <f t="shared" ca="1" si="111"/>
        <v>#NAME?</v>
      </c>
      <c r="C3503">
        <v>3460</v>
      </c>
      <c r="D3503" t="e">
        <f t="shared" ca="1" si="110"/>
        <v>#NAME?</v>
      </c>
      <c r="E3503" s="115" t="e">
        <f t="array" aca="1" ref="E3503" ca="1">IF(OR(C3502=0,AND(B3504=0,C3504=0)),"",IFERROR(INDEX($F$27:$F$36,MATCH(C3503,($F$27:$F$36)*($D$27:$D$36&lt;&gt;0),0)),IF(OR(AND(D3503=0,B3503=0,B3504&lt;&gt;0),AND(D3503*D3502&lt;0,B3503&lt;&gt;0)),IF(D3503=0,C3503,C3503*(1-ABS(D3503)/(ABS(D3503)+ABS(D3502)))+C3502*(1-ABS(D3502)/(ABS(D3503)+ABS(D3502)))),"")))</f>
        <v>#NAME?</v>
      </c>
    </row>
    <row r="3504" spans="2:5" x14ac:dyDescent="0.25">
      <c r="B3504" t="e">
        <f t="shared" ca="1" si="111"/>
        <v>#NAME?</v>
      </c>
      <c r="C3504">
        <v>3461</v>
      </c>
      <c r="D3504" t="e">
        <f t="shared" ca="1" si="110"/>
        <v>#NAME?</v>
      </c>
      <c r="E3504" s="115" t="e">
        <f t="array" aca="1" ref="E3504" ca="1">IF(OR(C3503=0,AND(B3505=0,C3505=0)),"",IFERROR(INDEX($F$27:$F$36,MATCH(C3504,($F$27:$F$36)*($D$27:$D$36&lt;&gt;0),0)),IF(OR(AND(D3504=0,B3504=0,B3505&lt;&gt;0),AND(D3504*D3503&lt;0,B3504&lt;&gt;0)),IF(D3504=0,C3504,C3504*(1-ABS(D3504)/(ABS(D3504)+ABS(D3503)))+C3503*(1-ABS(D3503)/(ABS(D3504)+ABS(D3503)))),"")))</f>
        <v>#NAME?</v>
      </c>
    </row>
    <row r="3505" spans="2:5" x14ac:dyDescent="0.25">
      <c r="B3505" t="e">
        <f t="shared" ca="1" si="111"/>
        <v>#NAME?</v>
      </c>
      <c r="C3505">
        <v>3462</v>
      </c>
      <c r="D3505" t="e">
        <f t="shared" ca="1" si="110"/>
        <v>#NAME?</v>
      </c>
      <c r="E3505" s="115" t="e">
        <f t="array" aca="1" ref="E3505" ca="1">IF(OR(C3504=0,AND(B3506=0,C3506=0)),"",IFERROR(INDEX($F$27:$F$36,MATCH(C3505,($F$27:$F$36)*($D$27:$D$36&lt;&gt;0),0)),IF(OR(AND(D3505=0,B3505=0,B3506&lt;&gt;0),AND(D3505*D3504&lt;0,B3505&lt;&gt;0)),IF(D3505=0,C3505,C3505*(1-ABS(D3505)/(ABS(D3505)+ABS(D3504)))+C3504*(1-ABS(D3504)/(ABS(D3505)+ABS(D3504)))),"")))</f>
        <v>#NAME?</v>
      </c>
    </row>
    <row r="3506" spans="2:5" x14ac:dyDescent="0.25">
      <c r="B3506" t="e">
        <f t="shared" ca="1" si="111"/>
        <v>#NAME?</v>
      </c>
      <c r="C3506">
        <v>3463</v>
      </c>
      <c r="D3506" t="e">
        <f t="shared" ca="1" si="110"/>
        <v>#NAME?</v>
      </c>
      <c r="E3506" s="115" t="e">
        <f t="array" aca="1" ref="E3506" ca="1">IF(OR(C3505=0,AND(B3507=0,C3507=0)),"",IFERROR(INDEX($F$27:$F$36,MATCH(C3506,($F$27:$F$36)*($D$27:$D$36&lt;&gt;0),0)),IF(OR(AND(D3506=0,B3506=0,B3507&lt;&gt;0),AND(D3506*D3505&lt;0,B3506&lt;&gt;0)),IF(D3506=0,C3506,C3506*(1-ABS(D3506)/(ABS(D3506)+ABS(D3505)))+C3505*(1-ABS(D3505)/(ABS(D3506)+ABS(D3505)))),"")))</f>
        <v>#NAME?</v>
      </c>
    </row>
    <row r="3507" spans="2:5" x14ac:dyDescent="0.25">
      <c r="B3507" t="e">
        <f t="shared" ca="1" si="111"/>
        <v>#NAME?</v>
      </c>
      <c r="C3507">
        <v>3464</v>
      </c>
      <c r="D3507" t="e">
        <f t="shared" ca="1" si="110"/>
        <v>#NAME?</v>
      </c>
      <c r="E3507" s="115" t="e">
        <f t="array" aca="1" ref="E3507" ca="1">IF(OR(C3506=0,AND(B3508=0,C3508=0)),"",IFERROR(INDEX($F$27:$F$36,MATCH(C3507,($F$27:$F$36)*($D$27:$D$36&lt;&gt;0),0)),IF(OR(AND(D3507=0,B3507=0,B3508&lt;&gt;0),AND(D3507*D3506&lt;0,B3507&lt;&gt;0)),IF(D3507=0,C3507,C3507*(1-ABS(D3507)/(ABS(D3507)+ABS(D3506)))+C3506*(1-ABS(D3506)/(ABS(D3507)+ABS(D3506)))),"")))</f>
        <v>#NAME?</v>
      </c>
    </row>
    <row r="3508" spans="2:5" x14ac:dyDescent="0.25">
      <c r="B3508" t="e">
        <f t="shared" ca="1" si="111"/>
        <v>#NAME?</v>
      </c>
      <c r="C3508">
        <v>3465</v>
      </c>
      <c r="D3508" t="e">
        <f t="shared" ca="1" si="110"/>
        <v>#NAME?</v>
      </c>
      <c r="E3508" s="115" t="e">
        <f t="array" aca="1" ref="E3508" ca="1">IF(OR(C3507=0,AND(B3509=0,C3509=0)),"",IFERROR(INDEX($F$27:$F$36,MATCH(C3508,($F$27:$F$36)*($D$27:$D$36&lt;&gt;0),0)),IF(OR(AND(D3508=0,B3508=0,B3509&lt;&gt;0),AND(D3508*D3507&lt;0,B3508&lt;&gt;0)),IF(D3508=0,C3508,C3508*(1-ABS(D3508)/(ABS(D3508)+ABS(D3507)))+C3507*(1-ABS(D3507)/(ABS(D3508)+ABS(D3507)))),"")))</f>
        <v>#NAME?</v>
      </c>
    </row>
    <row r="3509" spans="2:5" x14ac:dyDescent="0.25">
      <c r="B3509" t="e">
        <f t="shared" ca="1" si="111"/>
        <v>#NAME?</v>
      </c>
      <c r="C3509">
        <v>3466</v>
      </c>
      <c r="D3509" t="e">
        <f t="shared" ca="1" si="110"/>
        <v>#NAME?</v>
      </c>
      <c r="E3509" s="115" t="e">
        <f t="array" aca="1" ref="E3509" ca="1">IF(OR(C3508=0,AND(B3510=0,C3510=0)),"",IFERROR(INDEX($F$27:$F$36,MATCH(C3509,($F$27:$F$36)*($D$27:$D$36&lt;&gt;0),0)),IF(OR(AND(D3509=0,B3509=0,B3510&lt;&gt;0),AND(D3509*D3508&lt;0,B3509&lt;&gt;0)),IF(D3509=0,C3509,C3509*(1-ABS(D3509)/(ABS(D3509)+ABS(D3508)))+C3508*(1-ABS(D3508)/(ABS(D3509)+ABS(D3508)))),"")))</f>
        <v>#NAME?</v>
      </c>
    </row>
    <row r="3510" spans="2:5" x14ac:dyDescent="0.25">
      <c r="B3510" t="e">
        <f t="shared" ca="1" si="111"/>
        <v>#NAME?</v>
      </c>
      <c r="C3510">
        <v>3467</v>
      </c>
      <c r="D3510" t="e">
        <f t="shared" ca="1" si="110"/>
        <v>#NAME?</v>
      </c>
      <c r="E3510" s="115" t="e">
        <f t="array" aca="1" ref="E3510" ca="1">IF(OR(C3509=0,AND(B3511=0,C3511=0)),"",IFERROR(INDEX($F$27:$F$36,MATCH(C3510,($F$27:$F$36)*($D$27:$D$36&lt;&gt;0),0)),IF(OR(AND(D3510=0,B3510=0,B3511&lt;&gt;0),AND(D3510*D3509&lt;0,B3510&lt;&gt;0)),IF(D3510=0,C3510,C3510*(1-ABS(D3510)/(ABS(D3510)+ABS(D3509)))+C3509*(1-ABS(D3509)/(ABS(D3510)+ABS(D3509)))),"")))</f>
        <v>#NAME?</v>
      </c>
    </row>
    <row r="3511" spans="2:5" x14ac:dyDescent="0.25">
      <c r="B3511" t="e">
        <f t="shared" ca="1" si="111"/>
        <v>#NAME?</v>
      </c>
      <c r="C3511">
        <v>3468</v>
      </c>
      <c r="D3511" t="e">
        <f t="shared" ca="1" si="110"/>
        <v>#NAME?</v>
      </c>
      <c r="E3511" s="115" t="e">
        <f t="array" aca="1" ref="E3511" ca="1">IF(OR(C3510=0,AND(B3512=0,C3512=0)),"",IFERROR(INDEX($F$27:$F$36,MATCH(C3511,($F$27:$F$36)*($D$27:$D$36&lt;&gt;0),0)),IF(OR(AND(D3511=0,B3511=0,B3512&lt;&gt;0),AND(D3511*D3510&lt;0,B3511&lt;&gt;0)),IF(D3511=0,C3511,C3511*(1-ABS(D3511)/(ABS(D3511)+ABS(D3510)))+C3510*(1-ABS(D3510)/(ABS(D3511)+ABS(D3510)))),"")))</f>
        <v>#NAME?</v>
      </c>
    </row>
    <row r="3512" spans="2:5" x14ac:dyDescent="0.25">
      <c r="B3512" t="e">
        <f t="shared" ca="1" si="111"/>
        <v>#NAME?</v>
      </c>
      <c r="C3512">
        <v>3469</v>
      </c>
      <c r="D3512" t="e">
        <f t="shared" ca="1" si="110"/>
        <v>#NAME?</v>
      </c>
      <c r="E3512" s="115" t="e">
        <f t="array" aca="1" ref="E3512" ca="1">IF(OR(C3511=0,AND(B3513=0,C3513=0)),"",IFERROR(INDEX($F$27:$F$36,MATCH(C3512,($F$27:$F$36)*($D$27:$D$36&lt;&gt;0),0)),IF(OR(AND(D3512=0,B3512=0,B3513&lt;&gt;0),AND(D3512*D3511&lt;0,B3512&lt;&gt;0)),IF(D3512=0,C3512,C3512*(1-ABS(D3512)/(ABS(D3512)+ABS(D3511)))+C3511*(1-ABS(D3511)/(ABS(D3512)+ABS(D3511)))),"")))</f>
        <v>#NAME?</v>
      </c>
    </row>
    <row r="3513" spans="2:5" x14ac:dyDescent="0.25">
      <c r="B3513" t="e">
        <f t="shared" ca="1" si="111"/>
        <v>#NAME?</v>
      </c>
      <c r="C3513">
        <v>3470</v>
      </c>
      <c r="D3513" t="e">
        <f t="shared" ca="1" si="110"/>
        <v>#NAME?</v>
      </c>
      <c r="E3513" s="115" t="e">
        <f t="array" aca="1" ref="E3513" ca="1">IF(OR(C3512=0,AND(B3514=0,C3514=0)),"",IFERROR(INDEX($F$27:$F$36,MATCH(C3513,($F$27:$F$36)*($D$27:$D$36&lt;&gt;0),0)),IF(OR(AND(D3513=0,B3513=0,B3514&lt;&gt;0),AND(D3513*D3512&lt;0,B3513&lt;&gt;0)),IF(D3513=0,C3513,C3513*(1-ABS(D3513)/(ABS(D3513)+ABS(D3512)))+C3512*(1-ABS(D3512)/(ABS(D3513)+ABS(D3512)))),"")))</f>
        <v>#NAME?</v>
      </c>
    </row>
    <row r="3514" spans="2:5" x14ac:dyDescent="0.25">
      <c r="B3514" t="e">
        <f t="shared" ca="1" si="111"/>
        <v>#NAME?</v>
      </c>
      <c r="C3514">
        <v>3471</v>
      </c>
      <c r="D3514" t="e">
        <f t="shared" ca="1" si="110"/>
        <v>#NAME?</v>
      </c>
      <c r="E3514" s="115" t="e">
        <f t="array" aca="1" ref="E3514" ca="1">IF(OR(C3513=0,AND(B3515=0,C3515=0)),"",IFERROR(INDEX($F$27:$F$36,MATCH(C3514,($F$27:$F$36)*($D$27:$D$36&lt;&gt;0),0)),IF(OR(AND(D3514=0,B3514=0,B3515&lt;&gt;0),AND(D3514*D3513&lt;0,B3514&lt;&gt;0)),IF(D3514=0,C3514,C3514*(1-ABS(D3514)/(ABS(D3514)+ABS(D3513)))+C3513*(1-ABS(D3513)/(ABS(D3514)+ABS(D3513)))),"")))</f>
        <v>#NAME?</v>
      </c>
    </row>
    <row r="3515" spans="2:5" x14ac:dyDescent="0.25">
      <c r="B3515" t="e">
        <f t="shared" ca="1" si="111"/>
        <v>#NAME?</v>
      </c>
      <c r="C3515">
        <v>3472</v>
      </c>
      <c r="D3515" t="e">
        <f t="shared" ca="1" si="110"/>
        <v>#NAME?</v>
      </c>
      <c r="E3515" s="115" t="e">
        <f t="array" aca="1" ref="E3515" ca="1">IF(OR(C3514=0,AND(B3516=0,C3516=0)),"",IFERROR(INDEX($F$27:$F$36,MATCH(C3515,($F$27:$F$36)*($D$27:$D$36&lt;&gt;0),0)),IF(OR(AND(D3515=0,B3515=0,B3516&lt;&gt;0),AND(D3515*D3514&lt;0,B3515&lt;&gt;0)),IF(D3515=0,C3515,C3515*(1-ABS(D3515)/(ABS(D3515)+ABS(D3514)))+C3514*(1-ABS(D3514)/(ABS(D3515)+ABS(D3514)))),"")))</f>
        <v>#NAME?</v>
      </c>
    </row>
    <row r="3516" spans="2:5" x14ac:dyDescent="0.25">
      <c r="B3516" t="e">
        <f t="shared" ca="1" si="111"/>
        <v>#NAME?</v>
      </c>
      <c r="C3516">
        <v>3473</v>
      </c>
      <c r="D3516" t="e">
        <f t="shared" ca="1" si="110"/>
        <v>#NAME?</v>
      </c>
      <c r="E3516" s="115" t="e">
        <f t="array" aca="1" ref="E3516" ca="1">IF(OR(C3515=0,AND(B3517=0,C3517=0)),"",IFERROR(INDEX($F$27:$F$36,MATCH(C3516,($F$27:$F$36)*($D$27:$D$36&lt;&gt;0),0)),IF(OR(AND(D3516=0,B3516=0,B3517&lt;&gt;0),AND(D3516*D3515&lt;0,B3516&lt;&gt;0)),IF(D3516=0,C3516,C3516*(1-ABS(D3516)/(ABS(D3516)+ABS(D3515)))+C3515*(1-ABS(D3515)/(ABS(D3516)+ABS(D3515)))),"")))</f>
        <v>#NAME?</v>
      </c>
    </row>
    <row r="3517" spans="2:5" x14ac:dyDescent="0.25">
      <c r="B3517" t="e">
        <f t="shared" ca="1" si="111"/>
        <v>#NAME?</v>
      </c>
      <c r="C3517">
        <v>3474</v>
      </c>
      <c r="D3517" t="e">
        <f t="shared" ca="1" si="110"/>
        <v>#NAME?</v>
      </c>
      <c r="E3517" s="115" t="e">
        <f t="array" aca="1" ref="E3517" ca="1">IF(OR(C3516=0,AND(B3518=0,C3518=0)),"",IFERROR(INDEX($F$27:$F$36,MATCH(C3517,($F$27:$F$36)*($D$27:$D$36&lt;&gt;0),0)),IF(OR(AND(D3517=0,B3517=0,B3518&lt;&gt;0),AND(D3517*D3516&lt;0,B3517&lt;&gt;0)),IF(D3517=0,C3517,C3517*(1-ABS(D3517)/(ABS(D3517)+ABS(D3516)))+C3516*(1-ABS(D3516)/(ABS(D3517)+ABS(D3516)))),"")))</f>
        <v>#NAME?</v>
      </c>
    </row>
    <row r="3518" spans="2:5" x14ac:dyDescent="0.25">
      <c r="B3518" t="e">
        <f t="shared" ca="1" si="111"/>
        <v>#NAME?</v>
      </c>
      <c r="C3518">
        <v>3475</v>
      </c>
      <c r="D3518" t="e">
        <f t="shared" ca="1" si="110"/>
        <v>#NAME?</v>
      </c>
      <c r="E3518" s="115" t="e">
        <f t="array" aca="1" ref="E3518" ca="1">IF(OR(C3517=0,AND(B3519=0,C3519=0)),"",IFERROR(INDEX($F$27:$F$36,MATCH(C3518,($F$27:$F$36)*($D$27:$D$36&lt;&gt;0),0)),IF(OR(AND(D3518=0,B3518=0,B3519&lt;&gt;0),AND(D3518*D3517&lt;0,B3518&lt;&gt;0)),IF(D3518=0,C3518,C3518*(1-ABS(D3518)/(ABS(D3518)+ABS(D3517)))+C3517*(1-ABS(D3517)/(ABS(D3518)+ABS(D3517)))),"")))</f>
        <v>#NAME?</v>
      </c>
    </row>
    <row r="3519" spans="2:5" x14ac:dyDescent="0.25">
      <c r="B3519" t="e">
        <f t="shared" ca="1" si="111"/>
        <v>#NAME?</v>
      </c>
      <c r="C3519">
        <v>3476</v>
      </c>
      <c r="D3519" t="e">
        <f t="shared" ca="1" si="110"/>
        <v>#NAME?</v>
      </c>
      <c r="E3519" s="115" t="e">
        <f t="array" aca="1" ref="E3519" ca="1">IF(OR(C3518=0,AND(B3520=0,C3520=0)),"",IFERROR(INDEX($F$27:$F$36,MATCH(C3519,($F$27:$F$36)*($D$27:$D$36&lt;&gt;0),0)),IF(OR(AND(D3519=0,B3519=0,B3520&lt;&gt;0),AND(D3519*D3518&lt;0,B3519&lt;&gt;0)),IF(D3519=0,C3519,C3519*(1-ABS(D3519)/(ABS(D3519)+ABS(D3518)))+C3518*(1-ABS(D3518)/(ABS(D3519)+ABS(D3518)))),"")))</f>
        <v>#NAME?</v>
      </c>
    </row>
    <row r="3520" spans="2:5" x14ac:dyDescent="0.25">
      <c r="B3520" t="e">
        <f t="shared" ca="1" si="111"/>
        <v>#NAME?</v>
      </c>
      <c r="C3520">
        <v>3477</v>
      </c>
      <c r="D3520" t="e">
        <f t="shared" ca="1" si="110"/>
        <v>#NAME?</v>
      </c>
      <c r="E3520" s="115" t="e">
        <f t="array" aca="1" ref="E3520" ca="1">IF(OR(C3519=0,AND(B3521=0,C3521=0)),"",IFERROR(INDEX($F$27:$F$36,MATCH(C3520,($F$27:$F$36)*($D$27:$D$36&lt;&gt;0),0)),IF(OR(AND(D3520=0,B3520=0,B3521&lt;&gt;0),AND(D3520*D3519&lt;0,B3520&lt;&gt;0)),IF(D3520=0,C3520,C3520*(1-ABS(D3520)/(ABS(D3520)+ABS(D3519)))+C3519*(1-ABS(D3519)/(ABS(D3520)+ABS(D3519)))),"")))</f>
        <v>#NAME?</v>
      </c>
    </row>
    <row r="3521" spans="2:5" x14ac:dyDescent="0.25">
      <c r="B3521" t="e">
        <f t="shared" ca="1" si="111"/>
        <v>#NAME?</v>
      </c>
      <c r="C3521">
        <v>3478</v>
      </c>
      <c r="D3521" t="e">
        <f t="shared" ca="1" si="110"/>
        <v>#NAME?</v>
      </c>
      <c r="E3521" s="115" t="e">
        <f t="array" aca="1" ref="E3521" ca="1">IF(OR(C3520=0,AND(B3522=0,C3522=0)),"",IFERROR(INDEX($F$27:$F$36,MATCH(C3521,($F$27:$F$36)*($D$27:$D$36&lt;&gt;0),0)),IF(OR(AND(D3521=0,B3521=0,B3522&lt;&gt;0),AND(D3521*D3520&lt;0,B3521&lt;&gt;0)),IF(D3521=0,C3521,C3521*(1-ABS(D3521)/(ABS(D3521)+ABS(D3520)))+C3520*(1-ABS(D3520)/(ABS(D3521)+ABS(D3520)))),"")))</f>
        <v>#NAME?</v>
      </c>
    </row>
    <row r="3522" spans="2:5" x14ac:dyDescent="0.25">
      <c r="B3522" t="e">
        <f t="shared" ca="1" si="111"/>
        <v>#NAME?</v>
      </c>
      <c r="C3522">
        <v>3479</v>
      </c>
      <c r="D3522" t="e">
        <f t="shared" ca="1" si="110"/>
        <v>#NAME?</v>
      </c>
      <c r="E3522" s="115" t="e">
        <f t="array" aca="1" ref="E3522" ca="1">IF(OR(C3521=0,AND(B3523=0,C3523=0)),"",IFERROR(INDEX($F$27:$F$36,MATCH(C3522,($F$27:$F$36)*($D$27:$D$36&lt;&gt;0),0)),IF(OR(AND(D3522=0,B3522=0,B3523&lt;&gt;0),AND(D3522*D3521&lt;0,B3522&lt;&gt;0)),IF(D3522=0,C3522,C3522*(1-ABS(D3522)/(ABS(D3522)+ABS(D3521)))+C3521*(1-ABS(D3521)/(ABS(D3522)+ABS(D3521)))),"")))</f>
        <v>#NAME?</v>
      </c>
    </row>
    <row r="3523" spans="2:5" x14ac:dyDescent="0.25">
      <c r="B3523" t="e">
        <f t="shared" ca="1" si="111"/>
        <v>#NAME?</v>
      </c>
      <c r="C3523">
        <v>3480</v>
      </c>
      <c r="D3523" t="e">
        <f t="shared" ca="1" si="110"/>
        <v>#NAME?</v>
      </c>
      <c r="E3523" s="115" t="e">
        <f t="array" aca="1" ref="E3523" ca="1">IF(OR(C3522=0,AND(B3524=0,C3524=0)),"",IFERROR(INDEX($F$27:$F$36,MATCH(C3523,($F$27:$F$36)*($D$27:$D$36&lt;&gt;0),0)),IF(OR(AND(D3523=0,B3523=0,B3524&lt;&gt;0),AND(D3523*D3522&lt;0,B3523&lt;&gt;0)),IF(D3523=0,C3523,C3523*(1-ABS(D3523)/(ABS(D3523)+ABS(D3522)))+C3522*(1-ABS(D3522)/(ABS(D3523)+ABS(D3522)))),"")))</f>
        <v>#NAME?</v>
      </c>
    </row>
    <row r="3524" spans="2:5" x14ac:dyDescent="0.25">
      <c r="B3524" t="e">
        <f t="shared" ca="1" si="111"/>
        <v>#NAME?</v>
      </c>
      <c r="C3524">
        <v>3481</v>
      </c>
      <c r="D3524" t="e">
        <f t="shared" ca="1" si="110"/>
        <v>#NAME?</v>
      </c>
      <c r="E3524" s="115" t="e">
        <f t="array" aca="1" ref="E3524" ca="1">IF(OR(C3523=0,AND(B3525=0,C3525=0)),"",IFERROR(INDEX($F$27:$F$36,MATCH(C3524,($F$27:$F$36)*($D$27:$D$36&lt;&gt;0),0)),IF(OR(AND(D3524=0,B3524=0,B3525&lt;&gt;0),AND(D3524*D3523&lt;0,B3524&lt;&gt;0)),IF(D3524=0,C3524,C3524*(1-ABS(D3524)/(ABS(D3524)+ABS(D3523)))+C3523*(1-ABS(D3523)/(ABS(D3524)+ABS(D3523)))),"")))</f>
        <v>#NAME?</v>
      </c>
    </row>
    <row r="3525" spans="2:5" x14ac:dyDescent="0.25">
      <c r="B3525" t="e">
        <f t="shared" ca="1" si="111"/>
        <v>#NAME?</v>
      </c>
      <c r="C3525">
        <v>3482</v>
      </c>
      <c r="D3525" t="e">
        <f t="shared" ca="1" si="110"/>
        <v>#NAME?</v>
      </c>
      <c r="E3525" s="115" t="e">
        <f t="array" aca="1" ref="E3525" ca="1">IF(OR(C3524=0,AND(B3526=0,C3526=0)),"",IFERROR(INDEX($F$27:$F$36,MATCH(C3525,($F$27:$F$36)*($D$27:$D$36&lt;&gt;0),0)),IF(OR(AND(D3525=0,B3525=0,B3526&lt;&gt;0),AND(D3525*D3524&lt;0,B3525&lt;&gt;0)),IF(D3525=0,C3525,C3525*(1-ABS(D3525)/(ABS(D3525)+ABS(D3524)))+C3524*(1-ABS(D3524)/(ABS(D3525)+ABS(D3524)))),"")))</f>
        <v>#NAME?</v>
      </c>
    </row>
    <row r="3526" spans="2:5" x14ac:dyDescent="0.25">
      <c r="B3526" t="e">
        <f t="shared" ca="1" si="111"/>
        <v>#NAME?</v>
      </c>
      <c r="C3526">
        <v>3483</v>
      </c>
      <c r="D3526" t="e">
        <f t="shared" ca="1" si="110"/>
        <v>#NAME?</v>
      </c>
      <c r="E3526" s="115" t="e">
        <f t="array" aca="1" ref="E3526" ca="1">IF(OR(C3525=0,AND(B3527=0,C3527=0)),"",IFERROR(INDEX($F$27:$F$36,MATCH(C3526,($F$27:$F$36)*($D$27:$D$36&lt;&gt;0),0)),IF(OR(AND(D3526=0,B3526=0,B3527&lt;&gt;0),AND(D3526*D3525&lt;0,B3526&lt;&gt;0)),IF(D3526=0,C3526,C3526*(1-ABS(D3526)/(ABS(D3526)+ABS(D3525)))+C3525*(1-ABS(D3525)/(ABS(D3526)+ABS(D3525)))),"")))</f>
        <v>#NAME?</v>
      </c>
    </row>
    <row r="3527" spans="2:5" x14ac:dyDescent="0.25">
      <c r="B3527" t="e">
        <f t="shared" ca="1" si="111"/>
        <v>#NAME?</v>
      </c>
      <c r="C3527">
        <v>3484</v>
      </c>
      <c r="D3527" t="e">
        <f t="shared" ca="1" si="110"/>
        <v>#NAME?</v>
      </c>
      <c r="E3527" s="115" t="e">
        <f t="array" aca="1" ref="E3527" ca="1">IF(OR(C3526=0,AND(B3528=0,C3528=0)),"",IFERROR(INDEX($F$27:$F$36,MATCH(C3527,($F$27:$F$36)*($D$27:$D$36&lt;&gt;0),0)),IF(OR(AND(D3527=0,B3527=0,B3528&lt;&gt;0),AND(D3527*D3526&lt;0,B3527&lt;&gt;0)),IF(D3527=0,C3527,C3527*(1-ABS(D3527)/(ABS(D3527)+ABS(D3526)))+C3526*(1-ABS(D3526)/(ABS(D3527)+ABS(D3526)))),"")))</f>
        <v>#NAME?</v>
      </c>
    </row>
    <row r="3528" spans="2:5" x14ac:dyDescent="0.25">
      <c r="B3528" t="e">
        <f t="shared" ca="1" si="111"/>
        <v>#NAME?</v>
      </c>
      <c r="C3528">
        <v>3485</v>
      </c>
      <c r="D3528" t="e">
        <f t="shared" ca="1" si="110"/>
        <v>#NAME?</v>
      </c>
      <c r="E3528" s="115" t="e">
        <f t="array" aca="1" ref="E3528" ca="1">IF(OR(C3527=0,AND(B3529=0,C3529=0)),"",IFERROR(INDEX($F$27:$F$36,MATCH(C3528,($F$27:$F$36)*($D$27:$D$36&lt;&gt;0),0)),IF(OR(AND(D3528=0,B3528=0,B3529&lt;&gt;0),AND(D3528*D3527&lt;0,B3528&lt;&gt;0)),IF(D3528=0,C3528,C3528*(1-ABS(D3528)/(ABS(D3528)+ABS(D3527)))+C3527*(1-ABS(D3527)/(ABS(D3528)+ABS(D3527)))),"")))</f>
        <v>#NAME?</v>
      </c>
    </row>
    <row r="3529" spans="2:5" x14ac:dyDescent="0.25">
      <c r="B3529" t="e">
        <f t="shared" ca="1" si="111"/>
        <v>#NAME?</v>
      </c>
      <c r="C3529">
        <v>3486</v>
      </c>
      <c r="D3529" t="e">
        <f t="shared" ca="1" si="110"/>
        <v>#NAME?</v>
      </c>
      <c r="E3529" s="115" t="e">
        <f t="array" aca="1" ref="E3529" ca="1">IF(OR(C3528=0,AND(B3530=0,C3530=0)),"",IFERROR(INDEX($F$27:$F$36,MATCH(C3529,($F$27:$F$36)*($D$27:$D$36&lt;&gt;0),0)),IF(OR(AND(D3529=0,B3529=0,B3530&lt;&gt;0),AND(D3529*D3528&lt;0,B3529&lt;&gt;0)),IF(D3529=0,C3529,C3529*(1-ABS(D3529)/(ABS(D3529)+ABS(D3528)))+C3528*(1-ABS(D3528)/(ABS(D3529)+ABS(D3528)))),"")))</f>
        <v>#NAME?</v>
      </c>
    </row>
    <row r="3530" spans="2:5" x14ac:dyDescent="0.25">
      <c r="B3530" t="e">
        <f t="shared" ca="1" si="111"/>
        <v>#NAME?</v>
      </c>
      <c r="C3530">
        <v>3487</v>
      </c>
      <c r="D3530" t="e">
        <f t="shared" ca="1" si="110"/>
        <v>#NAME?</v>
      </c>
      <c r="E3530" s="115" t="e">
        <f t="array" aca="1" ref="E3530" ca="1">IF(OR(C3529=0,AND(B3531=0,C3531=0)),"",IFERROR(INDEX($F$27:$F$36,MATCH(C3530,($F$27:$F$36)*($D$27:$D$36&lt;&gt;0),0)),IF(OR(AND(D3530=0,B3530=0,B3531&lt;&gt;0),AND(D3530*D3529&lt;0,B3530&lt;&gt;0)),IF(D3530=0,C3530,C3530*(1-ABS(D3530)/(ABS(D3530)+ABS(D3529)))+C3529*(1-ABS(D3529)/(ABS(D3530)+ABS(D3529)))),"")))</f>
        <v>#NAME?</v>
      </c>
    </row>
    <row r="3531" spans="2:5" x14ac:dyDescent="0.25">
      <c r="B3531" t="e">
        <f t="shared" ca="1" si="111"/>
        <v>#NAME?</v>
      </c>
      <c r="C3531">
        <v>3488</v>
      </c>
      <c r="D3531" t="e">
        <f t="shared" ca="1" si="110"/>
        <v>#NAME?</v>
      </c>
      <c r="E3531" s="115" t="e">
        <f t="array" aca="1" ref="E3531" ca="1">IF(OR(C3530=0,AND(B3532=0,C3532=0)),"",IFERROR(INDEX($F$27:$F$36,MATCH(C3531,($F$27:$F$36)*($D$27:$D$36&lt;&gt;0),0)),IF(OR(AND(D3531=0,B3531=0,B3532&lt;&gt;0),AND(D3531*D3530&lt;0,B3531&lt;&gt;0)),IF(D3531=0,C3531,C3531*(1-ABS(D3531)/(ABS(D3531)+ABS(D3530)))+C3530*(1-ABS(D3530)/(ABS(D3531)+ABS(D3530)))),"")))</f>
        <v>#NAME?</v>
      </c>
    </row>
    <row r="3532" spans="2:5" x14ac:dyDescent="0.25">
      <c r="B3532" t="e">
        <f t="shared" ca="1" si="111"/>
        <v>#NAME?</v>
      </c>
      <c r="C3532">
        <v>3489</v>
      </c>
      <c r="D3532" t="e">
        <f t="shared" ca="1" si="110"/>
        <v>#NAME?</v>
      </c>
      <c r="E3532" s="115" t="e">
        <f t="array" aca="1" ref="E3532" ca="1">IF(OR(C3531=0,AND(B3533=0,C3533=0)),"",IFERROR(INDEX($F$27:$F$36,MATCH(C3532,($F$27:$F$36)*($D$27:$D$36&lt;&gt;0),0)),IF(OR(AND(D3532=0,B3532=0,B3533&lt;&gt;0),AND(D3532*D3531&lt;0,B3532&lt;&gt;0)),IF(D3532=0,C3532,C3532*(1-ABS(D3532)/(ABS(D3532)+ABS(D3531)))+C3531*(1-ABS(D3531)/(ABS(D3532)+ABS(D3531)))),"")))</f>
        <v>#NAME?</v>
      </c>
    </row>
    <row r="3533" spans="2:5" x14ac:dyDescent="0.25">
      <c r="B3533" t="e">
        <f t="shared" ca="1" si="111"/>
        <v>#NAME?</v>
      </c>
      <c r="C3533">
        <v>3490</v>
      </c>
      <c r="D3533" t="e">
        <f t="shared" ca="1" si="110"/>
        <v>#NAME?</v>
      </c>
      <c r="E3533" s="115" t="e">
        <f t="array" aca="1" ref="E3533" ca="1">IF(OR(C3532=0,AND(B3534=0,C3534=0)),"",IFERROR(INDEX($F$27:$F$36,MATCH(C3533,($F$27:$F$36)*($D$27:$D$36&lt;&gt;0),0)),IF(OR(AND(D3533=0,B3533=0,B3534&lt;&gt;0),AND(D3533*D3532&lt;0,B3533&lt;&gt;0)),IF(D3533=0,C3533,C3533*(1-ABS(D3533)/(ABS(D3533)+ABS(D3532)))+C3532*(1-ABS(D3532)/(ABS(D3533)+ABS(D3532)))),"")))</f>
        <v>#NAME?</v>
      </c>
    </row>
    <row r="3534" spans="2:5" x14ac:dyDescent="0.25">
      <c r="B3534" t="e">
        <f t="shared" ca="1" si="111"/>
        <v>#NAME?</v>
      </c>
      <c r="C3534">
        <v>3491</v>
      </c>
      <c r="D3534" t="e">
        <f t="shared" ca="1" si="110"/>
        <v>#NAME?</v>
      </c>
      <c r="E3534" s="115" t="e">
        <f t="array" aca="1" ref="E3534" ca="1">IF(OR(C3533=0,AND(B3535=0,C3535=0)),"",IFERROR(INDEX($F$27:$F$36,MATCH(C3534,($F$27:$F$36)*($D$27:$D$36&lt;&gt;0),0)),IF(OR(AND(D3534=0,B3534=0,B3535&lt;&gt;0),AND(D3534*D3533&lt;0,B3534&lt;&gt;0)),IF(D3534=0,C3534,C3534*(1-ABS(D3534)/(ABS(D3534)+ABS(D3533)))+C3533*(1-ABS(D3533)/(ABS(D3534)+ABS(D3533)))),"")))</f>
        <v>#NAME?</v>
      </c>
    </row>
    <row r="3535" spans="2:5" x14ac:dyDescent="0.25">
      <c r="B3535" t="e">
        <f t="shared" ca="1" si="111"/>
        <v>#NAME?</v>
      </c>
      <c r="C3535">
        <v>3492</v>
      </c>
      <c r="D3535" t="e">
        <f t="shared" ca="1" si="110"/>
        <v>#NAME?</v>
      </c>
      <c r="E3535" s="115" t="e">
        <f t="array" aca="1" ref="E3535" ca="1">IF(OR(C3534=0,AND(B3536=0,C3536=0)),"",IFERROR(INDEX($F$27:$F$36,MATCH(C3535,($F$27:$F$36)*($D$27:$D$36&lt;&gt;0),0)),IF(OR(AND(D3535=0,B3535=0,B3536&lt;&gt;0),AND(D3535*D3534&lt;0,B3535&lt;&gt;0)),IF(D3535=0,C3535,C3535*(1-ABS(D3535)/(ABS(D3535)+ABS(D3534)))+C3534*(1-ABS(D3534)/(ABS(D3535)+ABS(D3534)))),"")))</f>
        <v>#NAME?</v>
      </c>
    </row>
    <row r="3536" spans="2:5" x14ac:dyDescent="0.25">
      <c r="B3536" t="e">
        <f t="shared" ca="1" si="111"/>
        <v>#NAME?</v>
      </c>
      <c r="C3536">
        <v>3493</v>
      </c>
      <c r="D3536" t="e">
        <f t="shared" ca="1" si="110"/>
        <v>#NAME?</v>
      </c>
      <c r="E3536" s="115" t="e">
        <f t="array" aca="1" ref="E3536" ca="1">IF(OR(C3535=0,AND(B3537=0,C3537=0)),"",IFERROR(INDEX($F$27:$F$36,MATCH(C3536,($F$27:$F$36)*($D$27:$D$36&lt;&gt;0),0)),IF(OR(AND(D3536=0,B3536=0,B3537&lt;&gt;0),AND(D3536*D3535&lt;0,B3536&lt;&gt;0)),IF(D3536=0,C3536,C3536*(1-ABS(D3536)/(ABS(D3536)+ABS(D3535)))+C3535*(1-ABS(D3535)/(ABS(D3536)+ABS(D3535)))),"")))</f>
        <v>#NAME?</v>
      </c>
    </row>
    <row r="3537" spans="2:5" x14ac:dyDescent="0.25">
      <c r="B3537" t="e">
        <f t="shared" ca="1" si="111"/>
        <v>#NAME?</v>
      </c>
      <c r="C3537">
        <v>3494</v>
      </c>
      <c r="D3537" t="e">
        <f t="shared" ca="1" si="110"/>
        <v>#NAME?</v>
      </c>
      <c r="E3537" s="115" t="e">
        <f t="array" aca="1" ref="E3537" ca="1">IF(OR(C3536=0,AND(B3538=0,C3538=0)),"",IFERROR(INDEX($F$27:$F$36,MATCH(C3537,($F$27:$F$36)*($D$27:$D$36&lt;&gt;0),0)),IF(OR(AND(D3537=0,B3537=0,B3538&lt;&gt;0),AND(D3537*D3536&lt;0,B3537&lt;&gt;0)),IF(D3537=0,C3537,C3537*(1-ABS(D3537)/(ABS(D3537)+ABS(D3536)))+C3536*(1-ABS(D3536)/(ABS(D3537)+ABS(D3536)))),"")))</f>
        <v>#NAME?</v>
      </c>
    </row>
    <row r="3538" spans="2:5" x14ac:dyDescent="0.25">
      <c r="B3538" t="e">
        <f t="shared" ca="1" si="111"/>
        <v>#NAME?</v>
      </c>
      <c r="C3538">
        <v>3495</v>
      </c>
      <c r="D3538" t="e">
        <f t="shared" ca="1" si="110"/>
        <v>#NAME?</v>
      </c>
      <c r="E3538" s="115" t="e">
        <f t="array" aca="1" ref="E3538" ca="1">IF(OR(C3537=0,AND(B3539=0,C3539=0)),"",IFERROR(INDEX($F$27:$F$36,MATCH(C3538,($F$27:$F$36)*($D$27:$D$36&lt;&gt;0),0)),IF(OR(AND(D3538=0,B3538=0,B3539&lt;&gt;0),AND(D3538*D3537&lt;0,B3538&lt;&gt;0)),IF(D3538=0,C3538,C3538*(1-ABS(D3538)/(ABS(D3538)+ABS(D3537)))+C3537*(1-ABS(D3537)/(ABS(D3538)+ABS(D3537)))),"")))</f>
        <v>#NAME?</v>
      </c>
    </row>
    <row r="3539" spans="2:5" x14ac:dyDescent="0.25">
      <c r="B3539" t="e">
        <f t="shared" ca="1" si="111"/>
        <v>#NAME?</v>
      </c>
      <c r="C3539">
        <v>3496</v>
      </c>
      <c r="D3539" t="e">
        <f t="shared" ca="1" si="110"/>
        <v>#NAME?</v>
      </c>
      <c r="E3539" s="115" t="e">
        <f t="array" aca="1" ref="E3539" ca="1">IF(OR(C3538=0,AND(B3540=0,C3540=0)),"",IFERROR(INDEX($F$27:$F$36,MATCH(C3539,($F$27:$F$36)*($D$27:$D$36&lt;&gt;0),0)),IF(OR(AND(D3539=0,B3539=0,B3540&lt;&gt;0),AND(D3539*D3538&lt;0,B3539&lt;&gt;0)),IF(D3539=0,C3539,C3539*(1-ABS(D3539)/(ABS(D3539)+ABS(D3538)))+C3538*(1-ABS(D3538)/(ABS(D3539)+ABS(D3538)))),"")))</f>
        <v>#NAME?</v>
      </c>
    </row>
    <row r="3540" spans="2:5" x14ac:dyDescent="0.25">
      <c r="B3540" t="e">
        <f t="shared" ca="1" si="111"/>
        <v>#NAME?</v>
      </c>
      <c r="C3540">
        <v>3497</v>
      </c>
      <c r="D3540" t="e">
        <f t="shared" ca="1" si="110"/>
        <v>#NAME?</v>
      </c>
      <c r="E3540" s="115" t="e">
        <f t="array" aca="1" ref="E3540" ca="1">IF(OR(C3539=0,AND(B3541=0,C3541=0)),"",IFERROR(INDEX($F$27:$F$36,MATCH(C3540,($F$27:$F$36)*($D$27:$D$36&lt;&gt;0),0)),IF(OR(AND(D3540=0,B3540=0,B3541&lt;&gt;0),AND(D3540*D3539&lt;0,B3540&lt;&gt;0)),IF(D3540=0,C3540,C3540*(1-ABS(D3540)/(ABS(D3540)+ABS(D3539)))+C3539*(1-ABS(D3539)/(ABS(D3540)+ABS(D3539)))),"")))</f>
        <v>#NAME?</v>
      </c>
    </row>
    <row r="3541" spans="2:5" x14ac:dyDescent="0.25">
      <c r="B3541" t="e">
        <f t="shared" ca="1" si="111"/>
        <v>#NAME?</v>
      </c>
      <c r="C3541">
        <v>3498</v>
      </c>
      <c r="D3541" t="e">
        <f t="shared" ca="1" si="110"/>
        <v>#NAME?</v>
      </c>
      <c r="E3541" s="115" t="e">
        <f t="array" aca="1" ref="E3541" ca="1">IF(OR(C3540=0,AND(B3542=0,C3542=0)),"",IFERROR(INDEX($F$27:$F$36,MATCH(C3541,($F$27:$F$36)*($D$27:$D$36&lt;&gt;0),0)),IF(OR(AND(D3541=0,B3541=0,B3542&lt;&gt;0),AND(D3541*D3540&lt;0,B3541&lt;&gt;0)),IF(D3541=0,C3541,C3541*(1-ABS(D3541)/(ABS(D3541)+ABS(D3540)))+C3540*(1-ABS(D3540)/(ABS(D3541)+ABS(D3540)))),"")))</f>
        <v>#NAME?</v>
      </c>
    </row>
    <row r="3542" spans="2:5" x14ac:dyDescent="0.25">
      <c r="B3542" t="e">
        <f t="shared" ca="1" si="111"/>
        <v>#NAME?</v>
      </c>
      <c r="C3542">
        <v>3499</v>
      </c>
      <c r="D3542" t="e">
        <f t="shared" ca="1" si="110"/>
        <v>#NAME?</v>
      </c>
      <c r="E3542" s="115" t="e">
        <f t="array" aca="1" ref="E3542" ca="1">IF(OR(C3541=0,AND(B3543=0,C3543=0)),"",IFERROR(INDEX($F$27:$F$36,MATCH(C3542,($F$27:$F$36)*($D$27:$D$36&lt;&gt;0),0)),IF(OR(AND(D3542=0,B3542=0,B3543&lt;&gt;0),AND(D3542*D3541&lt;0,B3542&lt;&gt;0)),IF(D3542=0,C3542,C3542*(1-ABS(D3542)/(ABS(D3542)+ABS(D3541)))+C3541*(1-ABS(D3541)/(ABS(D3542)+ABS(D3541)))),"")))</f>
        <v>#NAME?</v>
      </c>
    </row>
    <row r="3543" spans="2:5" x14ac:dyDescent="0.25">
      <c r="B3543" t="e">
        <f t="shared" ca="1" si="111"/>
        <v>#NAME?</v>
      </c>
      <c r="C3543">
        <v>3500</v>
      </c>
      <c r="D3543" t="e">
        <f t="shared" ca="1" si="110"/>
        <v>#NAME?</v>
      </c>
      <c r="E3543" s="115" t="e">
        <f t="array" aca="1" ref="E3543" ca="1">IF(OR(C3542=0,AND(B3544=0,C3544=0)),"",IFERROR(INDEX($F$27:$F$36,MATCH(C3543,($F$27:$F$36)*($D$27:$D$36&lt;&gt;0),0)),IF(OR(AND(D3543=0,B3543=0,B3544&lt;&gt;0),AND(D3543*D3542&lt;0,B3543&lt;&gt;0)),IF(D3543=0,C3543,C3543*(1-ABS(D3543)/(ABS(D3543)+ABS(D3542)))+C3542*(1-ABS(D3542)/(ABS(D3543)+ABS(D3542)))),"")))</f>
        <v>#NAME?</v>
      </c>
    </row>
    <row r="3544" spans="2:5" x14ac:dyDescent="0.25">
      <c r="B3544" t="e">
        <f t="shared" ca="1" si="111"/>
        <v>#NAME?</v>
      </c>
      <c r="C3544">
        <v>3501</v>
      </c>
      <c r="D3544" t="e">
        <f t="shared" ca="1" si="110"/>
        <v>#NAME?</v>
      </c>
      <c r="E3544" s="115" t="e">
        <f t="array" aca="1" ref="E3544" ca="1">IF(OR(C3543=0,AND(B3545=0,C3545=0)),"",IFERROR(INDEX($F$27:$F$36,MATCH(C3544,($F$27:$F$36)*($D$27:$D$36&lt;&gt;0),0)),IF(OR(AND(D3544=0,B3544=0,B3545&lt;&gt;0),AND(D3544*D3543&lt;0,B3544&lt;&gt;0)),IF(D3544=0,C3544,C3544*(1-ABS(D3544)/(ABS(D3544)+ABS(D3543)))+C3543*(1-ABS(D3543)/(ABS(D3544)+ABS(D3543)))),"")))</f>
        <v>#NAME?</v>
      </c>
    </row>
    <row r="3545" spans="2:5" x14ac:dyDescent="0.25">
      <c r="B3545" t="e">
        <f t="shared" ca="1" si="111"/>
        <v>#NAME?</v>
      </c>
      <c r="C3545">
        <v>3502</v>
      </c>
      <c r="D3545" t="e">
        <f t="shared" ca="1" si="110"/>
        <v>#NAME?</v>
      </c>
      <c r="E3545" s="115" t="e">
        <f t="array" aca="1" ref="E3545" ca="1">IF(OR(C3544=0,AND(B3546=0,C3546=0)),"",IFERROR(INDEX($F$27:$F$36,MATCH(C3545,($F$27:$F$36)*($D$27:$D$36&lt;&gt;0),0)),IF(OR(AND(D3545=0,B3545=0,B3546&lt;&gt;0),AND(D3545*D3544&lt;0,B3545&lt;&gt;0)),IF(D3545=0,C3545,C3545*(1-ABS(D3545)/(ABS(D3545)+ABS(D3544)))+C3544*(1-ABS(D3544)/(ABS(D3545)+ABS(D3544)))),"")))</f>
        <v>#NAME?</v>
      </c>
    </row>
    <row r="3546" spans="2:5" x14ac:dyDescent="0.25">
      <c r="B3546" t="e">
        <f t="shared" ca="1" si="111"/>
        <v>#NAME?</v>
      </c>
      <c r="C3546">
        <v>3503</v>
      </c>
      <c r="D3546" t="e">
        <f t="shared" ca="1" si="110"/>
        <v>#NAME?</v>
      </c>
      <c r="E3546" s="115" t="e">
        <f t="array" aca="1" ref="E3546" ca="1">IF(OR(C3545=0,AND(B3547=0,C3547=0)),"",IFERROR(INDEX($F$27:$F$36,MATCH(C3546,($F$27:$F$36)*($D$27:$D$36&lt;&gt;0),0)),IF(OR(AND(D3546=0,B3546=0,B3547&lt;&gt;0),AND(D3546*D3545&lt;0,B3546&lt;&gt;0)),IF(D3546=0,C3546,C3546*(1-ABS(D3546)/(ABS(D3546)+ABS(D3545)))+C3545*(1-ABS(D3545)/(ABS(D3546)+ABS(D3545)))),"")))</f>
        <v>#NAME?</v>
      </c>
    </row>
    <row r="3547" spans="2:5" x14ac:dyDescent="0.25">
      <c r="B3547" t="e">
        <f t="shared" ca="1" si="111"/>
        <v>#NAME?</v>
      </c>
      <c r="C3547">
        <v>3504</v>
      </c>
      <c r="D3547" t="e">
        <f t="shared" ca="1" si="110"/>
        <v>#NAME?</v>
      </c>
      <c r="E3547" s="115" t="e">
        <f t="array" aca="1" ref="E3547" ca="1">IF(OR(C3546=0,AND(B3548=0,C3548=0)),"",IFERROR(INDEX($F$27:$F$36,MATCH(C3547,($F$27:$F$36)*($D$27:$D$36&lt;&gt;0),0)),IF(OR(AND(D3547=0,B3547=0,B3548&lt;&gt;0),AND(D3547*D3546&lt;0,B3547&lt;&gt;0)),IF(D3547=0,C3547,C3547*(1-ABS(D3547)/(ABS(D3547)+ABS(D3546)))+C3546*(1-ABS(D3546)/(ABS(D3547)+ABS(D3546)))),"")))</f>
        <v>#NAME?</v>
      </c>
    </row>
    <row r="3548" spans="2:5" x14ac:dyDescent="0.25">
      <c r="B3548" t="e">
        <f t="shared" ca="1" si="111"/>
        <v>#NAME?</v>
      </c>
      <c r="C3548">
        <v>3505</v>
      </c>
      <c r="D3548" t="e">
        <f t="shared" ca="1" si="110"/>
        <v>#NAME?</v>
      </c>
      <c r="E3548" s="115" t="e">
        <f t="array" aca="1" ref="E3548" ca="1">IF(OR(C3547=0,AND(B3549=0,C3549=0)),"",IFERROR(INDEX($F$27:$F$36,MATCH(C3548,($F$27:$F$36)*($D$27:$D$36&lt;&gt;0),0)),IF(OR(AND(D3548=0,B3548=0,B3549&lt;&gt;0),AND(D3548*D3547&lt;0,B3548&lt;&gt;0)),IF(D3548=0,C3548,C3548*(1-ABS(D3548)/(ABS(D3548)+ABS(D3547)))+C3547*(1-ABS(D3547)/(ABS(D3548)+ABS(D3547)))),"")))</f>
        <v>#NAME?</v>
      </c>
    </row>
    <row r="3549" spans="2:5" x14ac:dyDescent="0.25">
      <c r="B3549" t="e">
        <f t="shared" ca="1" si="111"/>
        <v>#NAME?</v>
      </c>
      <c r="C3549">
        <v>3506</v>
      </c>
      <c r="D3549" t="e">
        <f t="shared" ca="1" si="110"/>
        <v>#NAME?</v>
      </c>
      <c r="E3549" s="115" t="e">
        <f t="array" aca="1" ref="E3549" ca="1">IF(OR(C3548=0,AND(B3550=0,C3550=0)),"",IFERROR(INDEX($F$27:$F$36,MATCH(C3549,($F$27:$F$36)*($D$27:$D$36&lt;&gt;0),0)),IF(OR(AND(D3549=0,B3549=0,B3550&lt;&gt;0),AND(D3549*D3548&lt;0,B3549&lt;&gt;0)),IF(D3549=0,C3549,C3549*(1-ABS(D3549)/(ABS(D3549)+ABS(D3548)))+C3548*(1-ABS(D3548)/(ABS(D3549)+ABS(D3548)))),"")))</f>
        <v>#NAME?</v>
      </c>
    </row>
    <row r="3550" spans="2:5" x14ac:dyDescent="0.25">
      <c r="B3550" t="e">
        <f t="shared" ca="1" si="111"/>
        <v>#NAME?</v>
      </c>
      <c r="C3550">
        <v>3507</v>
      </c>
      <c r="D3550" t="e">
        <f t="shared" ca="1" si="110"/>
        <v>#NAME?</v>
      </c>
      <c r="E3550" s="115" t="e">
        <f t="array" aca="1" ref="E3550" ca="1">IF(OR(C3549=0,AND(B3551=0,C3551=0)),"",IFERROR(INDEX($F$27:$F$36,MATCH(C3550,($F$27:$F$36)*($D$27:$D$36&lt;&gt;0),0)),IF(OR(AND(D3550=0,B3550=0,B3551&lt;&gt;0),AND(D3550*D3549&lt;0,B3550&lt;&gt;0)),IF(D3550=0,C3550,C3550*(1-ABS(D3550)/(ABS(D3550)+ABS(D3549)))+C3549*(1-ABS(D3549)/(ABS(D3550)+ABS(D3549)))),"")))</f>
        <v>#NAME?</v>
      </c>
    </row>
    <row r="3551" spans="2:5" x14ac:dyDescent="0.25">
      <c r="B3551" t="e">
        <f t="shared" ca="1" si="111"/>
        <v>#NAME?</v>
      </c>
      <c r="C3551">
        <v>3508</v>
      </c>
      <c r="D3551" t="e">
        <f t="shared" ca="1" si="110"/>
        <v>#NAME?</v>
      </c>
      <c r="E3551" s="115" t="e">
        <f t="array" aca="1" ref="E3551" ca="1">IF(OR(C3550=0,AND(B3552=0,C3552=0)),"",IFERROR(INDEX($F$27:$F$36,MATCH(C3551,($F$27:$F$36)*($D$27:$D$36&lt;&gt;0),0)),IF(OR(AND(D3551=0,B3551=0,B3552&lt;&gt;0),AND(D3551*D3550&lt;0,B3551&lt;&gt;0)),IF(D3551=0,C3551,C3551*(1-ABS(D3551)/(ABS(D3551)+ABS(D3550)))+C3550*(1-ABS(D3550)/(ABS(D3551)+ABS(D3550)))),"")))</f>
        <v>#NAME?</v>
      </c>
    </row>
    <row r="3552" spans="2:5" x14ac:dyDescent="0.25">
      <c r="B3552" t="e">
        <f t="shared" ca="1" si="111"/>
        <v>#NAME?</v>
      </c>
      <c r="C3552">
        <v>3509</v>
      </c>
      <c r="D3552" t="e">
        <f t="shared" ca="1" si="110"/>
        <v>#NAME?</v>
      </c>
      <c r="E3552" s="115" t="e">
        <f t="array" aca="1" ref="E3552" ca="1">IF(OR(C3551=0,AND(B3553=0,C3553=0)),"",IFERROR(INDEX($F$27:$F$36,MATCH(C3552,($F$27:$F$36)*($D$27:$D$36&lt;&gt;0),0)),IF(OR(AND(D3552=0,B3552=0,B3553&lt;&gt;0),AND(D3552*D3551&lt;0,B3552&lt;&gt;0)),IF(D3552=0,C3552,C3552*(1-ABS(D3552)/(ABS(D3552)+ABS(D3551)))+C3551*(1-ABS(D3551)/(ABS(D3552)+ABS(D3551)))),"")))</f>
        <v>#NAME?</v>
      </c>
    </row>
    <row r="3553" spans="2:5" x14ac:dyDescent="0.25">
      <c r="B3553" t="e">
        <f t="shared" ca="1" si="111"/>
        <v>#NAME?</v>
      </c>
      <c r="C3553">
        <v>3510</v>
      </c>
      <c r="D3553" t="e">
        <f t="shared" ca="1" si="110"/>
        <v>#NAME?</v>
      </c>
      <c r="E3553" s="115" t="e">
        <f t="array" aca="1" ref="E3553" ca="1">IF(OR(C3552=0,AND(B3554=0,C3554=0)),"",IFERROR(INDEX($F$27:$F$36,MATCH(C3553,($F$27:$F$36)*($D$27:$D$36&lt;&gt;0),0)),IF(OR(AND(D3553=0,B3553=0,B3554&lt;&gt;0),AND(D3553*D3552&lt;0,B3553&lt;&gt;0)),IF(D3553=0,C3553,C3553*(1-ABS(D3553)/(ABS(D3553)+ABS(D3552)))+C3552*(1-ABS(D3552)/(ABS(D3553)+ABS(D3552)))),"")))</f>
        <v>#NAME?</v>
      </c>
    </row>
    <row r="3554" spans="2:5" x14ac:dyDescent="0.25">
      <c r="B3554" t="e">
        <f t="shared" ca="1" si="111"/>
        <v>#NAME?</v>
      </c>
      <c r="C3554">
        <v>3511</v>
      </c>
      <c r="D3554" t="e">
        <f t="shared" ca="1" si="110"/>
        <v>#NAME?</v>
      </c>
      <c r="E3554" s="115" t="e">
        <f t="array" aca="1" ref="E3554" ca="1">IF(OR(C3553=0,AND(B3555=0,C3555=0)),"",IFERROR(INDEX($F$27:$F$36,MATCH(C3554,($F$27:$F$36)*($D$27:$D$36&lt;&gt;0),0)),IF(OR(AND(D3554=0,B3554=0,B3555&lt;&gt;0),AND(D3554*D3553&lt;0,B3554&lt;&gt;0)),IF(D3554=0,C3554,C3554*(1-ABS(D3554)/(ABS(D3554)+ABS(D3553)))+C3553*(1-ABS(D3553)/(ABS(D3554)+ABS(D3553)))),"")))</f>
        <v>#NAME?</v>
      </c>
    </row>
    <row r="3555" spans="2:5" x14ac:dyDescent="0.25">
      <c r="B3555" t="e">
        <f t="shared" ca="1" si="111"/>
        <v>#NAME?</v>
      </c>
      <c r="C3555">
        <v>3512</v>
      </c>
      <c r="D3555" t="e">
        <f t="shared" ca="1" si="110"/>
        <v>#NAME?</v>
      </c>
      <c r="E3555" s="115" t="e">
        <f t="array" aca="1" ref="E3555" ca="1">IF(OR(C3554=0,AND(B3556=0,C3556=0)),"",IFERROR(INDEX($F$27:$F$36,MATCH(C3555,($F$27:$F$36)*($D$27:$D$36&lt;&gt;0),0)),IF(OR(AND(D3555=0,B3555=0,B3556&lt;&gt;0),AND(D3555*D3554&lt;0,B3555&lt;&gt;0)),IF(D3555=0,C3555,C3555*(1-ABS(D3555)/(ABS(D3555)+ABS(D3554)))+C3554*(1-ABS(D3554)/(ABS(D3555)+ABS(D3554)))),"")))</f>
        <v>#NAME?</v>
      </c>
    </row>
    <row r="3556" spans="2:5" x14ac:dyDescent="0.25">
      <c r="B3556" t="e">
        <f t="shared" ca="1" si="111"/>
        <v>#NAME?</v>
      </c>
      <c r="C3556">
        <v>3513</v>
      </c>
      <c r="D3556" t="e">
        <f t="shared" ca="1" si="110"/>
        <v>#NAME?</v>
      </c>
      <c r="E3556" s="115" t="e">
        <f t="array" aca="1" ref="E3556" ca="1">IF(OR(C3555=0,AND(B3557=0,C3557=0)),"",IFERROR(INDEX($F$27:$F$36,MATCH(C3556,($F$27:$F$36)*($D$27:$D$36&lt;&gt;0),0)),IF(OR(AND(D3556=0,B3556=0,B3557&lt;&gt;0),AND(D3556*D3555&lt;0,B3556&lt;&gt;0)),IF(D3556=0,C3556,C3556*(1-ABS(D3556)/(ABS(D3556)+ABS(D3555)))+C3555*(1-ABS(D3555)/(ABS(D3556)+ABS(D3555)))),"")))</f>
        <v>#NAME?</v>
      </c>
    </row>
    <row r="3557" spans="2:5" x14ac:dyDescent="0.25">
      <c r="B3557" t="e">
        <f t="shared" ca="1" si="111"/>
        <v>#NAME?</v>
      </c>
      <c r="C3557">
        <v>3514</v>
      </c>
      <c r="D3557" t="e">
        <f t="shared" ca="1" si="110"/>
        <v>#NAME?</v>
      </c>
      <c r="E3557" s="115" t="e">
        <f t="array" aca="1" ref="E3557" ca="1">IF(OR(C3556=0,AND(B3558=0,C3558=0)),"",IFERROR(INDEX($F$27:$F$36,MATCH(C3557,($F$27:$F$36)*($D$27:$D$36&lt;&gt;0),0)),IF(OR(AND(D3557=0,B3557=0,B3558&lt;&gt;0),AND(D3557*D3556&lt;0,B3557&lt;&gt;0)),IF(D3557=0,C3557,C3557*(1-ABS(D3557)/(ABS(D3557)+ABS(D3556)))+C3556*(1-ABS(D3556)/(ABS(D3557)+ABS(D3556)))),"")))</f>
        <v>#NAME?</v>
      </c>
    </row>
    <row r="3558" spans="2:5" x14ac:dyDescent="0.25">
      <c r="B3558" t="e">
        <f t="shared" ca="1" si="111"/>
        <v>#NAME?</v>
      </c>
      <c r="C3558">
        <v>3515</v>
      </c>
      <c r="D3558" t="e">
        <f t="shared" ca="1" si="110"/>
        <v>#NAME?</v>
      </c>
      <c r="E3558" s="115" t="e">
        <f t="array" aca="1" ref="E3558" ca="1">IF(OR(C3557=0,AND(B3559=0,C3559=0)),"",IFERROR(INDEX($F$27:$F$36,MATCH(C3558,($F$27:$F$36)*($D$27:$D$36&lt;&gt;0),0)),IF(OR(AND(D3558=0,B3558=0,B3559&lt;&gt;0),AND(D3558*D3557&lt;0,B3558&lt;&gt;0)),IF(D3558=0,C3558,C3558*(1-ABS(D3558)/(ABS(D3558)+ABS(D3557)))+C3557*(1-ABS(D3557)/(ABS(D3558)+ABS(D3557)))),"")))</f>
        <v>#NAME?</v>
      </c>
    </row>
    <row r="3559" spans="2:5" x14ac:dyDescent="0.25">
      <c r="B3559" t="e">
        <f t="shared" ca="1" si="111"/>
        <v>#NAME?</v>
      </c>
      <c r="C3559">
        <v>3516</v>
      </c>
      <c r="D3559" t="e">
        <f t="shared" ca="1" si="110"/>
        <v>#NAME?</v>
      </c>
      <c r="E3559" s="115" t="e">
        <f t="array" aca="1" ref="E3559" ca="1">IF(OR(C3558=0,AND(B3560=0,C3560=0)),"",IFERROR(INDEX($F$27:$F$36,MATCH(C3559,($F$27:$F$36)*($D$27:$D$36&lt;&gt;0),0)),IF(OR(AND(D3559=0,B3559=0,B3560&lt;&gt;0),AND(D3559*D3558&lt;0,B3559&lt;&gt;0)),IF(D3559=0,C3559,C3559*(1-ABS(D3559)/(ABS(D3559)+ABS(D3558)))+C3558*(1-ABS(D3558)/(ABS(D3559)+ABS(D3558)))),"")))</f>
        <v>#NAME?</v>
      </c>
    </row>
    <row r="3560" spans="2:5" x14ac:dyDescent="0.25">
      <c r="B3560" t="e">
        <f t="shared" ca="1" si="111"/>
        <v>#NAME?</v>
      </c>
      <c r="C3560">
        <v>3517</v>
      </c>
      <c r="D3560" t="e">
        <f t="shared" ca="1" si="110"/>
        <v>#NAME?</v>
      </c>
      <c r="E3560" s="115" t="e">
        <f t="array" aca="1" ref="E3560" ca="1">IF(OR(C3559=0,AND(B3561=0,C3561=0)),"",IFERROR(INDEX($F$27:$F$36,MATCH(C3560,($F$27:$F$36)*($D$27:$D$36&lt;&gt;0),0)),IF(OR(AND(D3560=0,B3560=0,B3561&lt;&gt;0),AND(D3560*D3559&lt;0,B3560&lt;&gt;0)),IF(D3560=0,C3560,C3560*(1-ABS(D3560)/(ABS(D3560)+ABS(D3559)))+C3559*(1-ABS(D3559)/(ABS(D3560)+ABS(D3559)))),"")))</f>
        <v>#NAME?</v>
      </c>
    </row>
    <row r="3561" spans="2:5" x14ac:dyDescent="0.25">
      <c r="B3561" t="e">
        <f t="shared" ca="1" si="111"/>
        <v>#NAME?</v>
      </c>
      <c r="C3561">
        <v>3518</v>
      </c>
      <c r="D3561" t="e">
        <f t="shared" ca="1" si="110"/>
        <v>#NAME?</v>
      </c>
      <c r="E3561" s="115" t="e">
        <f t="array" aca="1" ref="E3561" ca="1">IF(OR(C3560=0,AND(B3562=0,C3562=0)),"",IFERROR(INDEX($F$27:$F$36,MATCH(C3561,($F$27:$F$36)*($D$27:$D$36&lt;&gt;0),0)),IF(OR(AND(D3561=0,B3561=0,B3562&lt;&gt;0),AND(D3561*D3560&lt;0,B3561&lt;&gt;0)),IF(D3561=0,C3561,C3561*(1-ABS(D3561)/(ABS(D3561)+ABS(D3560)))+C3560*(1-ABS(D3560)/(ABS(D3561)+ABS(D3560)))),"")))</f>
        <v>#NAME?</v>
      </c>
    </row>
    <row r="3562" spans="2:5" x14ac:dyDescent="0.25">
      <c r="B3562" t="e">
        <f t="shared" ca="1" si="111"/>
        <v>#NAME?</v>
      </c>
      <c r="C3562">
        <v>3519</v>
      </c>
      <c r="D3562" t="e">
        <f t="shared" ca="1" si="110"/>
        <v>#NAME?</v>
      </c>
      <c r="E3562" s="115" t="e">
        <f t="array" aca="1" ref="E3562" ca="1">IF(OR(C3561=0,AND(B3563=0,C3563=0)),"",IFERROR(INDEX($F$27:$F$36,MATCH(C3562,($F$27:$F$36)*($D$27:$D$36&lt;&gt;0),0)),IF(OR(AND(D3562=0,B3562=0,B3563&lt;&gt;0),AND(D3562*D3561&lt;0,B3562&lt;&gt;0)),IF(D3562=0,C3562,C3562*(1-ABS(D3562)/(ABS(D3562)+ABS(D3561)))+C3561*(1-ABS(D3561)/(ABS(D3562)+ABS(D3561)))),"")))</f>
        <v>#NAME?</v>
      </c>
    </row>
    <row r="3563" spans="2:5" x14ac:dyDescent="0.25">
      <c r="B3563" t="e">
        <f t="shared" ca="1" si="111"/>
        <v>#NAME?</v>
      </c>
      <c r="C3563">
        <v>3520</v>
      </c>
      <c r="D3563" t="e">
        <f t="shared" ref="D3563:D3626" ca="1" si="112">SUMPRODUCT(--($J$27:$J$37&gt;0),--($C3563-$F$27:$F$37&gt;0),($D$27:$D$37),($C3563-$F$27:$F$37))+SUMPRODUCT(--($J$27:$J$37&lt;0),--($F$27:$F$37-$C3563&gt;0),($D$27:$D$37),($F$27:$F$37-$C3563))-SUMPRODUCT($D$27:$D$37,$E$27:$E$37)</f>
        <v>#NAME?</v>
      </c>
      <c r="E3563" s="115" t="e">
        <f t="array" aca="1" ref="E3563" ca="1">IF(OR(C3562=0,AND(B3564=0,C3564=0)),"",IFERROR(INDEX($F$27:$F$36,MATCH(C3563,($F$27:$F$36)*($D$27:$D$36&lt;&gt;0),0)),IF(OR(AND(D3563=0,B3563=0,B3564&lt;&gt;0),AND(D3563*D3562&lt;0,B3563&lt;&gt;0)),IF(D3563=0,C3563,C3563*(1-ABS(D3563)/(ABS(D3563)+ABS(D3562)))+C3562*(1-ABS(D3562)/(ABS(D3563)+ABS(D3562)))),"")))</f>
        <v>#NAME?</v>
      </c>
    </row>
    <row r="3564" spans="2:5" x14ac:dyDescent="0.25">
      <c r="B3564" t="e">
        <f t="shared" ref="B3564:B3627" ca="1" si="113">ROUND((D3564-D3563)/(C3564-C3563),12)</f>
        <v>#NAME?</v>
      </c>
      <c r="C3564">
        <v>3521</v>
      </c>
      <c r="D3564" t="e">
        <f t="shared" ca="1" si="112"/>
        <v>#NAME?</v>
      </c>
      <c r="E3564" s="115" t="e">
        <f t="array" aca="1" ref="E3564" ca="1">IF(OR(C3563=0,AND(B3565=0,C3565=0)),"",IFERROR(INDEX($F$27:$F$36,MATCH(C3564,($F$27:$F$36)*($D$27:$D$36&lt;&gt;0),0)),IF(OR(AND(D3564=0,B3564=0,B3565&lt;&gt;0),AND(D3564*D3563&lt;0,B3564&lt;&gt;0)),IF(D3564=0,C3564,C3564*(1-ABS(D3564)/(ABS(D3564)+ABS(D3563)))+C3563*(1-ABS(D3563)/(ABS(D3564)+ABS(D3563)))),"")))</f>
        <v>#NAME?</v>
      </c>
    </row>
    <row r="3565" spans="2:5" x14ac:dyDescent="0.25">
      <c r="B3565" t="e">
        <f t="shared" ca="1" si="113"/>
        <v>#NAME?</v>
      </c>
      <c r="C3565">
        <v>3522</v>
      </c>
      <c r="D3565" t="e">
        <f t="shared" ca="1" si="112"/>
        <v>#NAME?</v>
      </c>
      <c r="E3565" s="115" t="e">
        <f t="array" aca="1" ref="E3565" ca="1">IF(OR(C3564=0,AND(B3566=0,C3566=0)),"",IFERROR(INDEX($F$27:$F$36,MATCH(C3565,($F$27:$F$36)*($D$27:$D$36&lt;&gt;0),0)),IF(OR(AND(D3565=0,B3565=0,B3566&lt;&gt;0),AND(D3565*D3564&lt;0,B3565&lt;&gt;0)),IF(D3565=0,C3565,C3565*(1-ABS(D3565)/(ABS(D3565)+ABS(D3564)))+C3564*(1-ABS(D3564)/(ABS(D3565)+ABS(D3564)))),"")))</f>
        <v>#NAME?</v>
      </c>
    </row>
    <row r="3566" spans="2:5" x14ac:dyDescent="0.25">
      <c r="B3566" t="e">
        <f t="shared" ca="1" si="113"/>
        <v>#NAME?</v>
      </c>
      <c r="C3566">
        <v>3523</v>
      </c>
      <c r="D3566" t="e">
        <f t="shared" ca="1" si="112"/>
        <v>#NAME?</v>
      </c>
      <c r="E3566" s="115" t="e">
        <f t="array" aca="1" ref="E3566" ca="1">IF(OR(C3565=0,AND(B3567=0,C3567=0)),"",IFERROR(INDEX($F$27:$F$36,MATCH(C3566,($F$27:$F$36)*($D$27:$D$36&lt;&gt;0),0)),IF(OR(AND(D3566=0,B3566=0,B3567&lt;&gt;0),AND(D3566*D3565&lt;0,B3566&lt;&gt;0)),IF(D3566=0,C3566,C3566*(1-ABS(D3566)/(ABS(D3566)+ABS(D3565)))+C3565*(1-ABS(D3565)/(ABS(D3566)+ABS(D3565)))),"")))</f>
        <v>#NAME?</v>
      </c>
    </row>
    <row r="3567" spans="2:5" x14ac:dyDescent="0.25">
      <c r="B3567" t="e">
        <f t="shared" ca="1" si="113"/>
        <v>#NAME?</v>
      </c>
      <c r="C3567">
        <v>3524</v>
      </c>
      <c r="D3567" t="e">
        <f t="shared" ca="1" si="112"/>
        <v>#NAME?</v>
      </c>
      <c r="E3567" s="115" t="e">
        <f t="array" aca="1" ref="E3567" ca="1">IF(OR(C3566=0,AND(B3568=0,C3568=0)),"",IFERROR(INDEX($F$27:$F$36,MATCH(C3567,($F$27:$F$36)*($D$27:$D$36&lt;&gt;0),0)),IF(OR(AND(D3567=0,B3567=0,B3568&lt;&gt;0),AND(D3567*D3566&lt;0,B3567&lt;&gt;0)),IF(D3567=0,C3567,C3567*(1-ABS(D3567)/(ABS(D3567)+ABS(D3566)))+C3566*(1-ABS(D3566)/(ABS(D3567)+ABS(D3566)))),"")))</f>
        <v>#NAME?</v>
      </c>
    </row>
    <row r="3568" spans="2:5" x14ac:dyDescent="0.25">
      <c r="B3568" t="e">
        <f t="shared" ca="1" si="113"/>
        <v>#NAME?</v>
      </c>
      <c r="C3568">
        <v>3525</v>
      </c>
      <c r="D3568" t="e">
        <f t="shared" ca="1" si="112"/>
        <v>#NAME?</v>
      </c>
      <c r="E3568" s="115" t="e">
        <f t="array" aca="1" ref="E3568" ca="1">IF(OR(C3567=0,AND(B3569=0,C3569=0)),"",IFERROR(INDEX($F$27:$F$36,MATCH(C3568,($F$27:$F$36)*($D$27:$D$36&lt;&gt;0),0)),IF(OR(AND(D3568=0,B3568=0,B3569&lt;&gt;0),AND(D3568*D3567&lt;0,B3568&lt;&gt;0)),IF(D3568=0,C3568,C3568*(1-ABS(D3568)/(ABS(D3568)+ABS(D3567)))+C3567*(1-ABS(D3567)/(ABS(D3568)+ABS(D3567)))),"")))</f>
        <v>#NAME?</v>
      </c>
    </row>
    <row r="3569" spans="2:5" x14ac:dyDescent="0.25">
      <c r="B3569" t="e">
        <f t="shared" ca="1" si="113"/>
        <v>#NAME?</v>
      </c>
      <c r="C3569">
        <v>3526</v>
      </c>
      <c r="D3569" t="e">
        <f t="shared" ca="1" si="112"/>
        <v>#NAME?</v>
      </c>
      <c r="E3569" s="115" t="e">
        <f t="array" aca="1" ref="E3569" ca="1">IF(OR(C3568=0,AND(B3570=0,C3570=0)),"",IFERROR(INDEX($F$27:$F$36,MATCH(C3569,($F$27:$F$36)*($D$27:$D$36&lt;&gt;0),0)),IF(OR(AND(D3569=0,B3569=0,B3570&lt;&gt;0),AND(D3569*D3568&lt;0,B3569&lt;&gt;0)),IF(D3569=0,C3569,C3569*(1-ABS(D3569)/(ABS(D3569)+ABS(D3568)))+C3568*(1-ABS(D3568)/(ABS(D3569)+ABS(D3568)))),"")))</f>
        <v>#NAME?</v>
      </c>
    </row>
    <row r="3570" spans="2:5" x14ac:dyDescent="0.25">
      <c r="B3570" t="e">
        <f t="shared" ca="1" si="113"/>
        <v>#NAME?</v>
      </c>
      <c r="C3570">
        <v>3527</v>
      </c>
      <c r="D3570" t="e">
        <f t="shared" ca="1" si="112"/>
        <v>#NAME?</v>
      </c>
      <c r="E3570" s="115" t="e">
        <f t="array" aca="1" ref="E3570" ca="1">IF(OR(C3569=0,AND(B3571=0,C3571=0)),"",IFERROR(INDEX($F$27:$F$36,MATCH(C3570,($F$27:$F$36)*($D$27:$D$36&lt;&gt;0),0)),IF(OR(AND(D3570=0,B3570=0,B3571&lt;&gt;0),AND(D3570*D3569&lt;0,B3570&lt;&gt;0)),IF(D3570=0,C3570,C3570*(1-ABS(D3570)/(ABS(D3570)+ABS(D3569)))+C3569*(1-ABS(D3569)/(ABS(D3570)+ABS(D3569)))),"")))</f>
        <v>#NAME?</v>
      </c>
    </row>
    <row r="3571" spans="2:5" x14ac:dyDescent="0.25">
      <c r="B3571" t="e">
        <f t="shared" ca="1" si="113"/>
        <v>#NAME?</v>
      </c>
      <c r="C3571">
        <v>3528</v>
      </c>
      <c r="D3571" t="e">
        <f t="shared" ca="1" si="112"/>
        <v>#NAME?</v>
      </c>
      <c r="E3571" s="115" t="e">
        <f t="array" aca="1" ref="E3571" ca="1">IF(OR(C3570=0,AND(B3572=0,C3572=0)),"",IFERROR(INDEX($F$27:$F$36,MATCH(C3571,($F$27:$F$36)*($D$27:$D$36&lt;&gt;0),0)),IF(OR(AND(D3571=0,B3571=0,B3572&lt;&gt;0),AND(D3571*D3570&lt;0,B3571&lt;&gt;0)),IF(D3571=0,C3571,C3571*(1-ABS(D3571)/(ABS(D3571)+ABS(D3570)))+C3570*(1-ABS(D3570)/(ABS(D3571)+ABS(D3570)))),"")))</f>
        <v>#NAME?</v>
      </c>
    </row>
    <row r="3572" spans="2:5" x14ac:dyDescent="0.25">
      <c r="B3572" t="e">
        <f t="shared" ca="1" si="113"/>
        <v>#NAME?</v>
      </c>
      <c r="C3572">
        <v>3529</v>
      </c>
      <c r="D3572" t="e">
        <f t="shared" ca="1" si="112"/>
        <v>#NAME?</v>
      </c>
      <c r="E3572" s="115" t="e">
        <f t="array" aca="1" ref="E3572" ca="1">IF(OR(C3571=0,AND(B3573=0,C3573=0)),"",IFERROR(INDEX($F$27:$F$36,MATCH(C3572,($F$27:$F$36)*($D$27:$D$36&lt;&gt;0),0)),IF(OR(AND(D3572=0,B3572=0,B3573&lt;&gt;0),AND(D3572*D3571&lt;0,B3572&lt;&gt;0)),IF(D3572=0,C3572,C3572*(1-ABS(D3572)/(ABS(D3572)+ABS(D3571)))+C3571*(1-ABS(D3571)/(ABS(D3572)+ABS(D3571)))),"")))</f>
        <v>#NAME?</v>
      </c>
    </row>
    <row r="3573" spans="2:5" x14ac:dyDescent="0.25">
      <c r="B3573" t="e">
        <f t="shared" ca="1" si="113"/>
        <v>#NAME?</v>
      </c>
      <c r="C3573">
        <v>3530</v>
      </c>
      <c r="D3573" t="e">
        <f t="shared" ca="1" si="112"/>
        <v>#NAME?</v>
      </c>
      <c r="E3573" s="115" t="e">
        <f t="array" aca="1" ref="E3573" ca="1">IF(OR(C3572=0,AND(B3574=0,C3574=0)),"",IFERROR(INDEX($F$27:$F$36,MATCH(C3573,($F$27:$F$36)*($D$27:$D$36&lt;&gt;0),0)),IF(OR(AND(D3573=0,B3573=0,B3574&lt;&gt;0),AND(D3573*D3572&lt;0,B3573&lt;&gt;0)),IF(D3573=0,C3573,C3573*(1-ABS(D3573)/(ABS(D3573)+ABS(D3572)))+C3572*(1-ABS(D3572)/(ABS(D3573)+ABS(D3572)))),"")))</f>
        <v>#NAME?</v>
      </c>
    </row>
    <row r="3574" spans="2:5" x14ac:dyDescent="0.25">
      <c r="B3574" t="e">
        <f t="shared" ca="1" si="113"/>
        <v>#NAME?</v>
      </c>
      <c r="C3574">
        <v>3531</v>
      </c>
      <c r="D3574" t="e">
        <f t="shared" ca="1" si="112"/>
        <v>#NAME?</v>
      </c>
      <c r="E3574" s="115" t="e">
        <f t="array" aca="1" ref="E3574" ca="1">IF(OR(C3573=0,AND(B3575=0,C3575=0)),"",IFERROR(INDEX($F$27:$F$36,MATCH(C3574,($F$27:$F$36)*($D$27:$D$36&lt;&gt;0),0)),IF(OR(AND(D3574=0,B3574=0,B3575&lt;&gt;0),AND(D3574*D3573&lt;0,B3574&lt;&gt;0)),IF(D3574=0,C3574,C3574*(1-ABS(D3574)/(ABS(D3574)+ABS(D3573)))+C3573*(1-ABS(D3573)/(ABS(D3574)+ABS(D3573)))),"")))</f>
        <v>#NAME?</v>
      </c>
    </row>
    <row r="3575" spans="2:5" x14ac:dyDescent="0.25">
      <c r="B3575" t="e">
        <f t="shared" ca="1" si="113"/>
        <v>#NAME?</v>
      </c>
      <c r="C3575">
        <v>3532</v>
      </c>
      <c r="D3575" t="e">
        <f t="shared" ca="1" si="112"/>
        <v>#NAME?</v>
      </c>
      <c r="E3575" s="115" t="e">
        <f t="array" aca="1" ref="E3575" ca="1">IF(OR(C3574=0,AND(B3576=0,C3576=0)),"",IFERROR(INDEX($F$27:$F$36,MATCH(C3575,($F$27:$F$36)*($D$27:$D$36&lt;&gt;0),0)),IF(OR(AND(D3575=0,B3575=0,B3576&lt;&gt;0),AND(D3575*D3574&lt;0,B3575&lt;&gt;0)),IF(D3575=0,C3575,C3575*(1-ABS(D3575)/(ABS(D3575)+ABS(D3574)))+C3574*(1-ABS(D3574)/(ABS(D3575)+ABS(D3574)))),"")))</f>
        <v>#NAME?</v>
      </c>
    </row>
    <row r="3576" spans="2:5" x14ac:dyDescent="0.25">
      <c r="B3576" t="e">
        <f t="shared" ca="1" si="113"/>
        <v>#NAME?</v>
      </c>
      <c r="C3576">
        <v>3533</v>
      </c>
      <c r="D3576" t="e">
        <f t="shared" ca="1" si="112"/>
        <v>#NAME?</v>
      </c>
      <c r="E3576" s="115" t="e">
        <f t="array" aca="1" ref="E3576" ca="1">IF(OR(C3575=0,AND(B3577=0,C3577=0)),"",IFERROR(INDEX($F$27:$F$36,MATCH(C3576,($F$27:$F$36)*($D$27:$D$36&lt;&gt;0),0)),IF(OR(AND(D3576=0,B3576=0,B3577&lt;&gt;0),AND(D3576*D3575&lt;0,B3576&lt;&gt;0)),IF(D3576=0,C3576,C3576*(1-ABS(D3576)/(ABS(D3576)+ABS(D3575)))+C3575*(1-ABS(D3575)/(ABS(D3576)+ABS(D3575)))),"")))</f>
        <v>#NAME?</v>
      </c>
    </row>
    <row r="3577" spans="2:5" x14ac:dyDescent="0.25">
      <c r="B3577" t="e">
        <f t="shared" ca="1" si="113"/>
        <v>#NAME?</v>
      </c>
      <c r="C3577">
        <v>3534</v>
      </c>
      <c r="D3577" t="e">
        <f t="shared" ca="1" si="112"/>
        <v>#NAME?</v>
      </c>
      <c r="E3577" s="115" t="e">
        <f t="array" aca="1" ref="E3577" ca="1">IF(OR(C3576=0,AND(B3578=0,C3578=0)),"",IFERROR(INDEX($F$27:$F$36,MATCH(C3577,($F$27:$F$36)*($D$27:$D$36&lt;&gt;0),0)),IF(OR(AND(D3577=0,B3577=0,B3578&lt;&gt;0),AND(D3577*D3576&lt;0,B3577&lt;&gt;0)),IF(D3577=0,C3577,C3577*(1-ABS(D3577)/(ABS(D3577)+ABS(D3576)))+C3576*(1-ABS(D3576)/(ABS(D3577)+ABS(D3576)))),"")))</f>
        <v>#NAME?</v>
      </c>
    </row>
    <row r="3578" spans="2:5" x14ac:dyDescent="0.25">
      <c r="B3578" t="e">
        <f t="shared" ca="1" si="113"/>
        <v>#NAME?</v>
      </c>
      <c r="C3578">
        <v>3535</v>
      </c>
      <c r="D3578" t="e">
        <f t="shared" ca="1" si="112"/>
        <v>#NAME?</v>
      </c>
      <c r="E3578" s="115" t="e">
        <f t="array" aca="1" ref="E3578" ca="1">IF(OR(C3577=0,AND(B3579=0,C3579=0)),"",IFERROR(INDEX($F$27:$F$36,MATCH(C3578,($F$27:$F$36)*($D$27:$D$36&lt;&gt;0),0)),IF(OR(AND(D3578=0,B3578=0,B3579&lt;&gt;0),AND(D3578*D3577&lt;0,B3578&lt;&gt;0)),IF(D3578=0,C3578,C3578*(1-ABS(D3578)/(ABS(D3578)+ABS(D3577)))+C3577*(1-ABS(D3577)/(ABS(D3578)+ABS(D3577)))),"")))</f>
        <v>#NAME?</v>
      </c>
    </row>
    <row r="3579" spans="2:5" x14ac:dyDescent="0.25">
      <c r="B3579" t="e">
        <f t="shared" ca="1" si="113"/>
        <v>#NAME?</v>
      </c>
      <c r="C3579">
        <v>3536</v>
      </c>
      <c r="D3579" t="e">
        <f t="shared" ca="1" si="112"/>
        <v>#NAME?</v>
      </c>
      <c r="E3579" s="115" t="e">
        <f t="array" aca="1" ref="E3579" ca="1">IF(OR(C3578=0,AND(B3580=0,C3580=0)),"",IFERROR(INDEX($F$27:$F$36,MATCH(C3579,($F$27:$F$36)*($D$27:$D$36&lt;&gt;0),0)),IF(OR(AND(D3579=0,B3579=0,B3580&lt;&gt;0),AND(D3579*D3578&lt;0,B3579&lt;&gt;0)),IF(D3579=0,C3579,C3579*(1-ABS(D3579)/(ABS(D3579)+ABS(D3578)))+C3578*(1-ABS(D3578)/(ABS(D3579)+ABS(D3578)))),"")))</f>
        <v>#NAME?</v>
      </c>
    </row>
    <row r="3580" spans="2:5" x14ac:dyDescent="0.25">
      <c r="B3580" t="e">
        <f t="shared" ca="1" si="113"/>
        <v>#NAME?</v>
      </c>
      <c r="C3580">
        <v>3537</v>
      </c>
      <c r="D3580" t="e">
        <f t="shared" ca="1" si="112"/>
        <v>#NAME?</v>
      </c>
      <c r="E3580" s="115" t="e">
        <f t="array" aca="1" ref="E3580" ca="1">IF(OR(C3579=0,AND(B3581=0,C3581=0)),"",IFERROR(INDEX($F$27:$F$36,MATCH(C3580,($F$27:$F$36)*($D$27:$D$36&lt;&gt;0),0)),IF(OR(AND(D3580=0,B3580=0,B3581&lt;&gt;0),AND(D3580*D3579&lt;0,B3580&lt;&gt;0)),IF(D3580=0,C3580,C3580*(1-ABS(D3580)/(ABS(D3580)+ABS(D3579)))+C3579*(1-ABS(D3579)/(ABS(D3580)+ABS(D3579)))),"")))</f>
        <v>#NAME?</v>
      </c>
    </row>
    <row r="3581" spans="2:5" x14ac:dyDescent="0.25">
      <c r="B3581" t="e">
        <f t="shared" ca="1" si="113"/>
        <v>#NAME?</v>
      </c>
      <c r="C3581">
        <v>3538</v>
      </c>
      <c r="D3581" t="e">
        <f t="shared" ca="1" si="112"/>
        <v>#NAME?</v>
      </c>
      <c r="E3581" s="115" t="e">
        <f t="array" aca="1" ref="E3581" ca="1">IF(OR(C3580=0,AND(B3582=0,C3582=0)),"",IFERROR(INDEX($F$27:$F$36,MATCH(C3581,($F$27:$F$36)*($D$27:$D$36&lt;&gt;0),0)),IF(OR(AND(D3581=0,B3581=0,B3582&lt;&gt;0),AND(D3581*D3580&lt;0,B3581&lt;&gt;0)),IF(D3581=0,C3581,C3581*(1-ABS(D3581)/(ABS(D3581)+ABS(D3580)))+C3580*(1-ABS(D3580)/(ABS(D3581)+ABS(D3580)))),"")))</f>
        <v>#NAME?</v>
      </c>
    </row>
    <row r="3582" spans="2:5" x14ac:dyDescent="0.25">
      <c r="B3582" t="e">
        <f t="shared" ca="1" si="113"/>
        <v>#NAME?</v>
      </c>
      <c r="C3582">
        <v>3539</v>
      </c>
      <c r="D3582" t="e">
        <f t="shared" ca="1" si="112"/>
        <v>#NAME?</v>
      </c>
      <c r="E3582" s="115" t="e">
        <f t="array" aca="1" ref="E3582" ca="1">IF(OR(C3581=0,AND(B3583=0,C3583=0)),"",IFERROR(INDEX($F$27:$F$36,MATCH(C3582,($F$27:$F$36)*($D$27:$D$36&lt;&gt;0),0)),IF(OR(AND(D3582=0,B3582=0,B3583&lt;&gt;0),AND(D3582*D3581&lt;0,B3582&lt;&gt;0)),IF(D3582=0,C3582,C3582*(1-ABS(D3582)/(ABS(D3582)+ABS(D3581)))+C3581*(1-ABS(D3581)/(ABS(D3582)+ABS(D3581)))),"")))</f>
        <v>#NAME?</v>
      </c>
    </row>
    <row r="3583" spans="2:5" x14ac:dyDescent="0.25">
      <c r="B3583" t="e">
        <f t="shared" ca="1" si="113"/>
        <v>#NAME?</v>
      </c>
      <c r="C3583">
        <v>3540</v>
      </c>
      <c r="D3583" t="e">
        <f t="shared" ca="1" si="112"/>
        <v>#NAME?</v>
      </c>
      <c r="E3583" s="115" t="e">
        <f t="array" aca="1" ref="E3583" ca="1">IF(OR(C3582=0,AND(B3584=0,C3584=0)),"",IFERROR(INDEX($F$27:$F$36,MATCH(C3583,($F$27:$F$36)*($D$27:$D$36&lt;&gt;0),0)),IF(OR(AND(D3583=0,B3583=0,B3584&lt;&gt;0),AND(D3583*D3582&lt;0,B3583&lt;&gt;0)),IF(D3583=0,C3583,C3583*(1-ABS(D3583)/(ABS(D3583)+ABS(D3582)))+C3582*(1-ABS(D3582)/(ABS(D3583)+ABS(D3582)))),"")))</f>
        <v>#NAME?</v>
      </c>
    </row>
    <row r="3584" spans="2:5" x14ac:dyDescent="0.25">
      <c r="B3584" t="e">
        <f t="shared" ca="1" si="113"/>
        <v>#NAME?</v>
      </c>
      <c r="C3584">
        <v>3541</v>
      </c>
      <c r="D3584" t="e">
        <f t="shared" ca="1" si="112"/>
        <v>#NAME?</v>
      </c>
      <c r="E3584" s="115" t="e">
        <f t="array" aca="1" ref="E3584" ca="1">IF(OR(C3583=0,AND(B3585=0,C3585=0)),"",IFERROR(INDEX($F$27:$F$36,MATCH(C3584,($F$27:$F$36)*($D$27:$D$36&lt;&gt;0),0)),IF(OR(AND(D3584=0,B3584=0,B3585&lt;&gt;0),AND(D3584*D3583&lt;0,B3584&lt;&gt;0)),IF(D3584=0,C3584,C3584*(1-ABS(D3584)/(ABS(D3584)+ABS(D3583)))+C3583*(1-ABS(D3583)/(ABS(D3584)+ABS(D3583)))),"")))</f>
        <v>#NAME?</v>
      </c>
    </row>
    <row r="3585" spans="2:5" x14ac:dyDescent="0.25">
      <c r="B3585" t="e">
        <f t="shared" ca="1" si="113"/>
        <v>#NAME?</v>
      </c>
      <c r="C3585">
        <v>3542</v>
      </c>
      <c r="D3585" t="e">
        <f t="shared" ca="1" si="112"/>
        <v>#NAME?</v>
      </c>
      <c r="E3585" s="115" t="e">
        <f t="array" aca="1" ref="E3585" ca="1">IF(OR(C3584=0,AND(B3586=0,C3586=0)),"",IFERROR(INDEX($F$27:$F$36,MATCH(C3585,($F$27:$F$36)*($D$27:$D$36&lt;&gt;0),0)),IF(OR(AND(D3585=0,B3585=0,B3586&lt;&gt;0),AND(D3585*D3584&lt;0,B3585&lt;&gt;0)),IF(D3585=0,C3585,C3585*(1-ABS(D3585)/(ABS(D3585)+ABS(D3584)))+C3584*(1-ABS(D3584)/(ABS(D3585)+ABS(D3584)))),"")))</f>
        <v>#NAME?</v>
      </c>
    </row>
    <row r="3586" spans="2:5" x14ac:dyDescent="0.25">
      <c r="B3586" t="e">
        <f t="shared" ca="1" si="113"/>
        <v>#NAME?</v>
      </c>
      <c r="C3586">
        <v>3543</v>
      </c>
      <c r="D3586" t="e">
        <f t="shared" ca="1" si="112"/>
        <v>#NAME?</v>
      </c>
      <c r="E3586" s="115" t="e">
        <f t="array" aca="1" ref="E3586" ca="1">IF(OR(C3585=0,AND(B3587=0,C3587=0)),"",IFERROR(INDEX($F$27:$F$36,MATCH(C3586,($F$27:$F$36)*($D$27:$D$36&lt;&gt;0),0)),IF(OR(AND(D3586=0,B3586=0,B3587&lt;&gt;0),AND(D3586*D3585&lt;0,B3586&lt;&gt;0)),IF(D3586=0,C3586,C3586*(1-ABS(D3586)/(ABS(D3586)+ABS(D3585)))+C3585*(1-ABS(D3585)/(ABS(D3586)+ABS(D3585)))),"")))</f>
        <v>#NAME?</v>
      </c>
    </row>
    <row r="3587" spans="2:5" x14ac:dyDescent="0.25">
      <c r="B3587" t="e">
        <f t="shared" ca="1" si="113"/>
        <v>#NAME?</v>
      </c>
      <c r="C3587">
        <v>3544</v>
      </c>
      <c r="D3587" t="e">
        <f t="shared" ca="1" si="112"/>
        <v>#NAME?</v>
      </c>
      <c r="E3587" s="115" t="e">
        <f t="array" aca="1" ref="E3587" ca="1">IF(OR(C3586=0,AND(B3588=0,C3588=0)),"",IFERROR(INDEX($F$27:$F$36,MATCH(C3587,($F$27:$F$36)*($D$27:$D$36&lt;&gt;0),0)),IF(OR(AND(D3587=0,B3587=0,B3588&lt;&gt;0),AND(D3587*D3586&lt;0,B3587&lt;&gt;0)),IF(D3587=0,C3587,C3587*(1-ABS(D3587)/(ABS(D3587)+ABS(D3586)))+C3586*(1-ABS(D3586)/(ABS(D3587)+ABS(D3586)))),"")))</f>
        <v>#NAME?</v>
      </c>
    </row>
    <row r="3588" spans="2:5" x14ac:dyDescent="0.25">
      <c r="B3588" t="e">
        <f t="shared" ca="1" si="113"/>
        <v>#NAME?</v>
      </c>
      <c r="C3588">
        <v>3545</v>
      </c>
      <c r="D3588" t="e">
        <f t="shared" ca="1" si="112"/>
        <v>#NAME?</v>
      </c>
      <c r="E3588" s="115" t="e">
        <f t="array" aca="1" ref="E3588" ca="1">IF(OR(C3587=0,AND(B3589=0,C3589=0)),"",IFERROR(INDEX($F$27:$F$36,MATCH(C3588,($F$27:$F$36)*($D$27:$D$36&lt;&gt;0),0)),IF(OR(AND(D3588=0,B3588=0,B3589&lt;&gt;0),AND(D3588*D3587&lt;0,B3588&lt;&gt;0)),IF(D3588=0,C3588,C3588*(1-ABS(D3588)/(ABS(D3588)+ABS(D3587)))+C3587*(1-ABS(D3587)/(ABS(D3588)+ABS(D3587)))),"")))</f>
        <v>#NAME?</v>
      </c>
    </row>
    <row r="3589" spans="2:5" x14ac:dyDescent="0.25">
      <c r="B3589" t="e">
        <f t="shared" ca="1" si="113"/>
        <v>#NAME?</v>
      </c>
      <c r="C3589">
        <v>3546</v>
      </c>
      <c r="D3589" t="e">
        <f t="shared" ca="1" si="112"/>
        <v>#NAME?</v>
      </c>
      <c r="E3589" s="115" t="e">
        <f t="array" aca="1" ref="E3589" ca="1">IF(OR(C3588=0,AND(B3590=0,C3590=0)),"",IFERROR(INDEX($F$27:$F$36,MATCH(C3589,($F$27:$F$36)*($D$27:$D$36&lt;&gt;0),0)),IF(OR(AND(D3589=0,B3589=0,B3590&lt;&gt;0),AND(D3589*D3588&lt;0,B3589&lt;&gt;0)),IF(D3589=0,C3589,C3589*(1-ABS(D3589)/(ABS(D3589)+ABS(D3588)))+C3588*(1-ABS(D3588)/(ABS(D3589)+ABS(D3588)))),"")))</f>
        <v>#NAME?</v>
      </c>
    </row>
    <row r="3590" spans="2:5" x14ac:dyDescent="0.25">
      <c r="B3590" t="e">
        <f t="shared" ca="1" si="113"/>
        <v>#NAME?</v>
      </c>
      <c r="C3590">
        <v>3547</v>
      </c>
      <c r="D3590" t="e">
        <f t="shared" ca="1" si="112"/>
        <v>#NAME?</v>
      </c>
      <c r="E3590" s="115" t="e">
        <f t="array" aca="1" ref="E3590" ca="1">IF(OR(C3589=0,AND(B3591=0,C3591=0)),"",IFERROR(INDEX($F$27:$F$36,MATCH(C3590,($F$27:$F$36)*($D$27:$D$36&lt;&gt;0),0)),IF(OR(AND(D3590=0,B3590=0,B3591&lt;&gt;0),AND(D3590*D3589&lt;0,B3590&lt;&gt;0)),IF(D3590=0,C3590,C3590*(1-ABS(D3590)/(ABS(D3590)+ABS(D3589)))+C3589*(1-ABS(D3589)/(ABS(D3590)+ABS(D3589)))),"")))</f>
        <v>#NAME?</v>
      </c>
    </row>
    <row r="3591" spans="2:5" x14ac:dyDescent="0.25">
      <c r="B3591" t="e">
        <f t="shared" ca="1" si="113"/>
        <v>#NAME?</v>
      </c>
      <c r="C3591">
        <v>3548</v>
      </c>
      <c r="D3591" t="e">
        <f t="shared" ca="1" si="112"/>
        <v>#NAME?</v>
      </c>
      <c r="E3591" s="115" t="e">
        <f t="array" aca="1" ref="E3591" ca="1">IF(OR(C3590=0,AND(B3592=0,C3592=0)),"",IFERROR(INDEX($F$27:$F$36,MATCH(C3591,($F$27:$F$36)*($D$27:$D$36&lt;&gt;0),0)),IF(OR(AND(D3591=0,B3591=0,B3592&lt;&gt;0),AND(D3591*D3590&lt;0,B3591&lt;&gt;0)),IF(D3591=0,C3591,C3591*(1-ABS(D3591)/(ABS(D3591)+ABS(D3590)))+C3590*(1-ABS(D3590)/(ABS(D3591)+ABS(D3590)))),"")))</f>
        <v>#NAME?</v>
      </c>
    </row>
    <row r="3592" spans="2:5" x14ac:dyDescent="0.25">
      <c r="B3592" t="e">
        <f t="shared" ca="1" si="113"/>
        <v>#NAME?</v>
      </c>
      <c r="C3592">
        <v>3549</v>
      </c>
      <c r="D3592" t="e">
        <f t="shared" ca="1" si="112"/>
        <v>#NAME?</v>
      </c>
      <c r="E3592" s="115" t="e">
        <f t="array" aca="1" ref="E3592" ca="1">IF(OR(C3591=0,AND(B3593=0,C3593=0)),"",IFERROR(INDEX($F$27:$F$36,MATCH(C3592,($F$27:$F$36)*($D$27:$D$36&lt;&gt;0),0)),IF(OR(AND(D3592=0,B3592=0,B3593&lt;&gt;0),AND(D3592*D3591&lt;0,B3592&lt;&gt;0)),IF(D3592=0,C3592,C3592*(1-ABS(D3592)/(ABS(D3592)+ABS(D3591)))+C3591*(1-ABS(D3591)/(ABS(D3592)+ABS(D3591)))),"")))</f>
        <v>#NAME?</v>
      </c>
    </row>
    <row r="3593" spans="2:5" x14ac:dyDescent="0.25">
      <c r="B3593" t="e">
        <f t="shared" ca="1" si="113"/>
        <v>#NAME?</v>
      </c>
      <c r="C3593">
        <v>3550</v>
      </c>
      <c r="D3593" t="e">
        <f t="shared" ca="1" si="112"/>
        <v>#NAME?</v>
      </c>
      <c r="E3593" s="115" t="e">
        <f t="array" aca="1" ref="E3593" ca="1">IF(OR(C3592=0,AND(B3594=0,C3594=0)),"",IFERROR(INDEX($F$27:$F$36,MATCH(C3593,($F$27:$F$36)*($D$27:$D$36&lt;&gt;0),0)),IF(OR(AND(D3593=0,B3593=0,B3594&lt;&gt;0),AND(D3593*D3592&lt;0,B3593&lt;&gt;0)),IF(D3593=0,C3593,C3593*(1-ABS(D3593)/(ABS(D3593)+ABS(D3592)))+C3592*(1-ABS(D3592)/(ABS(D3593)+ABS(D3592)))),"")))</f>
        <v>#NAME?</v>
      </c>
    </row>
    <row r="3594" spans="2:5" x14ac:dyDescent="0.25">
      <c r="B3594" t="e">
        <f t="shared" ca="1" si="113"/>
        <v>#NAME?</v>
      </c>
      <c r="C3594">
        <v>3551</v>
      </c>
      <c r="D3594" t="e">
        <f t="shared" ca="1" si="112"/>
        <v>#NAME?</v>
      </c>
      <c r="E3594" s="115" t="e">
        <f t="array" aca="1" ref="E3594" ca="1">IF(OR(C3593=0,AND(B3595=0,C3595=0)),"",IFERROR(INDEX($F$27:$F$36,MATCH(C3594,($F$27:$F$36)*($D$27:$D$36&lt;&gt;0),0)),IF(OR(AND(D3594=0,B3594=0,B3595&lt;&gt;0),AND(D3594*D3593&lt;0,B3594&lt;&gt;0)),IF(D3594=0,C3594,C3594*(1-ABS(D3594)/(ABS(D3594)+ABS(D3593)))+C3593*(1-ABS(D3593)/(ABS(D3594)+ABS(D3593)))),"")))</f>
        <v>#NAME?</v>
      </c>
    </row>
    <row r="3595" spans="2:5" x14ac:dyDescent="0.25">
      <c r="B3595" t="e">
        <f t="shared" ca="1" si="113"/>
        <v>#NAME?</v>
      </c>
      <c r="C3595">
        <v>3552</v>
      </c>
      <c r="D3595" t="e">
        <f t="shared" ca="1" si="112"/>
        <v>#NAME?</v>
      </c>
      <c r="E3595" s="115" t="e">
        <f t="array" aca="1" ref="E3595" ca="1">IF(OR(C3594=0,AND(B3596=0,C3596=0)),"",IFERROR(INDEX($F$27:$F$36,MATCH(C3595,($F$27:$F$36)*($D$27:$D$36&lt;&gt;0),0)),IF(OR(AND(D3595=0,B3595=0,B3596&lt;&gt;0),AND(D3595*D3594&lt;0,B3595&lt;&gt;0)),IF(D3595=0,C3595,C3595*(1-ABS(D3595)/(ABS(D3595)+ABS(D3594)))+C3594*(1-ABS(D3594)/(ABS(D3595)+ABS(D3594)))),"")))</f>
        <v>#NAME?</v>
      </c>
    </row>
    <row r="3596" spans="2:5" x14ac:dyDescent="0.25">
      <c r="B3596" t="e">
        <f t="shared" ca="1" si="113"/>
        <v>#NAME?</v>
      </c>
      <c r="C3596">
        <v>3553</v>
      </c>
      <c r="D3596" t="e">
        <f t="shared" ca="1" si="112"/>
        <v>#NAME?</v>
      </c>
      <c r="E3596" s="115" t="e">
        <f t="array" aca="1" ref="E3596" ca="1">IF(OR(C3595=0,AND(B3597=0,C3597=0)),"",IFERROR(INDEX($F$27:$F$36,MATCH(C3596,($F$27:$F$36)*($D$27:$D$36&lt;&gt;0),0)),IF(OR(AND(D3596=0,B3596=0,B3597&lt;&gt;0),AND(D3596*D3595&lt;0,B3596&lt;&gt;0)),IF(D3596=0,C3596,C3596*(1-ABS(D3596)/(ABS(D3596)+ABS(D3595)))+C3595*(1-ABS(D3595)/(ABS(D3596)+ABS(D3595)))),"")))</f>
        <v>#NAME?</v>
      </c>
    </row>
    <row r="3597" spans="2:5" x14ac:dyDescent="0.25">
      <c r="B3597" t="e">
        <f t="shared" ca="1" si="113"/>
        <v>#NAME?</v>
      </c>
      <c r="C3597">
        <v>3554</v>
      </c>
      <c r="D3597" t="e">
        <f t="shared" ca="1" si="112"/>
        <v>#NAME?</v>
      </c>
      <c r="E3597" s="115" t="e">
        <f t="array" aca="1" ref="E3597" ca="1">IF(OR(C3596=0,AND(B3598=0,C3598=0)),"",IFERROR(INDEX($F$27:$F$36,MATCH(C3597,($F$27:$F$36)*($D$27:$D$36&lt;&gt;0),0)),IF(OR(AND(D3597=0,B3597=0,B3598&lt;&gt;0),AND(D3597*D3596&lt;0,B3597&lt;&gt;0)),IF(D3597=0,C3597,C3597*(1-ABS(D3597)/(ABS(D3597)+ABS(D3596)))+C3596*(1-ABS(D3596)/(ABS(D3597)+ABS(D3596)))),"")))</f>
        <v>#NAME?</v>
      </c>
    </row>
    <row r="3598" spans="2:5" x14ac:dyDescent="0.25">
      <c r="B3598" t="e">
        <f t="shared" ca="1" si="113"/>
        <v>#NAME?</v>
      </c>
      <c r="C3598">
        <v>3555</v>
      </c>
      <c r="D3598" t="e">
        <f t="shared" ca="1" si="112"/>
        <v>#NAME?</v>
      </c>
      <c r="E3598" s="115" t="e">
        <f t="array" aca="1" ref="E3598" ca="1">IF(OR(C3597=0,AND(B3599=0,C3599=0)),"",IFERROR(INDEX($F$27:$F$36,MATCH(C3598,($F$27:$F$36)*($D$27:$D$36&lt;&gt;0),0)),IF(OR(AND(D3598=0,B3598=0,B3599&lt;&gt;0),AND(D3598*D3597&lt;0,B3598&lt;&gt;0)),IF(D3598=0,C3598,C3598*(1-ABS(D3598)/(ABS(D3598)+ABS(D3597)))+C3597*(1-ABS(D3597)/(ABS(D3598)+ABS(D3597)))),"")))</f>
        <v>#NAME?</v>
      </c>
    </row>
    <row r="3599" spans="2:5" x14ac:dyDescent="0.25">
      <c r="B3599" t="e">
        <f t="shared" ca="1" si="113"/>
        <v>#NAME?</v>
      </c>
      <c r="C3599">
        <v>3556</v>
      </c>
      <c r="D3599" t="e">
        <f t="shared" ca="1" si="112"/>
        <v>#NAME?</v>
      </c>
      <c r="E3599" s="115" t="e">
        <f t="array" aca="1" ref="E3599" ca="1">IF(OR(C3598=0,AND(B3600=0,C3600=0)),"",IFERROR(INDEX($F$27:$F$36,MATCH(C3599,($F$27:$F$36)*($D$27:$D$36&lt;&gt;0),0)),IF(OR(AND(D3599=0,B3599=0,B3600&lt;&gt;0),AND(D3599*D3598&lt;0,B3599&lt;&gt;0)),IF(D3599=0,C3599,C3599*(1-ABS(D3599)/(ABS(D3599)+ABS(D3598)))+C3598*(1-ABS(D3598)/(ABS(D3599)+ABS(D3598)))),"")))</f>
        <v>#NAME?</v>
      </c>
    </row>
    <row r="3600" spans="2:5" x14ac:dyDescent="0.25">
      <c r="B3600" t="e">
        <f t="shared" ca="1" si="113"/>
        <v>#NAME?</v>
      </c>
      <c r="C3600">
        <v>3557</v>
      </c>
      <c r="D3600" t="e">
        <f t="shared" ca="1" si="112"/>
        <v>#NAME?</v>
      </c>
      <c r="E3600" s="115" t="e">
        <f t="array" aca="1" ref="E3600" ca="1">IF(OR(C3599=0,AND(B3601=0,C3601=0)),"",IFERROR(INDEX($F$27:$F$36,MATCH(C3600,($F$27:$F$36)*($D$27:$D$36&lt;&gt;0),0)),IF(OR(AND(D3600=0,B3600=0,B3601&lt;&gt;0),AND(D3600*D3599&lt;0,B3600&lt;&gt;0)),IF(D3600=0,C3600,C3600*(1-ABS(D3600)/(ABS(D3600)+ABS(D3599)))+C3599*(1-ABS(D3599)/(ABS(D3600)+ABS(D3599)))),"")))</f>
        <v>#NAME?</v>
      </c>
    </row>
    <row r="3601" spans="2:5" x14ac:dyDescent="0.25">
      <c r="B3601" t="e">
        <f t="shared" ca="1" si="113"/>
        <v>#NAME?</v>
      </c>
      <c r="C3601">
        <v>3558</v>
      </c>
      <c r="D3601" t="e">
        <f t="shared" ca="1" si="112"/>
        <v>#NAME?</v>
      </c>
      <c r="E3601" s="115" t="e">
        <f t="array" aca="1" ref="E3601" ca="1">IF(OR(C3600=0,AND(B3602=0,C3602=0)),"",IFERROR(INDEX($F$27:$F$36,MATCH(C3601,($F$27:$F$36)*($D$27:$D$36&lt;&gt;0),0)),IF(OR(AND(D3601=0,B3601=0,B3602&lt;&gt;0),AND(D3601*D3600&lt;0,B3601&lt;&gt;0)),IF(D3601=0,C3601,C3601*(1-ABS(D3601)/(ABS(D3601)+ABS(D3600)))+C3600*(1-ABS(D3600)/(ABS(D3601)+ABS(D3600)))),"")))</f>
        <v>#NAME?</v>
      </c>
    </row>
    <row r="3602" spans="2:5" x14ac:dyDescent="0.25">
      <c r="B3602" t="e">
        <f t="shared" ca="1" si="113"/>
        <v>#NAME?</v>
      </c>
      <c r="C3602">
        <v>3559</v>
      </c>
      <c r="D3602" t="e">
        <f t="shared" ca="1" si="112"/>
        <v>#NAME?</v>
      </c>
      <c r="E3602" s="115" t="e">
        <f t="array" aca="1" ref="E3602" ca="1">IF(OR(C3601=0,AND(B3603=0,C3603=0)),"",IFERROR(INDEX($F$27:$F$36,MATCH(C3602,($F$27:$F$36)*($D$27:$D$36&lt;&gt;0),0)),IF(OR(AND(D3602=0,B3602=0,B3603&lt;&gt;0),AND(D3602*D3601&lt;0,B3602&lt;&gt;0)),IF(D3602=0,C3602,C3602*(1-ABS(D3602)/(ABS(D3602)+ABS(D3601)))+C3601*(1-ABS(D3601)/(ABS(D3602)+ABS(D3601)))),"")))</f>
        <v>#NAME?</v>
      </c>
    </row>
    <row r="3603" spans="2:5" x14ac:dyDescent="0.25">
      <c r="B3603" t="e">
        <f t="shared" ca="1" si="113"/>
        <v>#NAME?</v>
      </c>
      <c r="C3603">
        <v>3560</v>
      </c>
      <c r="D3603" t="e">
        <f t="shared" ca="1" si="112"/>
        <v>#NAME?</v>
      </c>
      <c r="E3603" s="115" t="e">
        <f t="array" aca="1" ref="E3603" ca="1">IF(OR(C3602=0,AND(B3604=0,C3604=0)),"",IFERROR(INDEX($F$27:$F$36,MATCH(C3603,($F$27:$F$36)*($D$27:$D$36&lt;&gt;0),0)),IF(OR(AND(D3603=0,B3603=0,B3604&lt;&gt;0),AND(D3603*D3602&lt;0,B3603&lt;&gt;0)),IF(D3603=0,C3603,C3603*(1-ABS(D3603)/(ABS(D3603)+ABS(D3602)))+C3602*(1-ABS(D3602)/(ABS(D3603)+ABS(D3602)))),"")))</f>
        <v>#NAME?</v>
      </c>
    </row>
    <row r="3604" spans="2:5" x14ac:dyDescent="0.25">
      <c r="B3604" t="e">
        <f t="shared" ca="1" si="113"/>
        <v>#NAME?</v>
      </c>
      <c r="C3604">
        <v>3561</v>
      </c>
      <c r="D3604" t="e">
        <f t="shared" ca="1" si="112"/>
        <v>#NAME?</v>
      </c>
      <c r="E3604" s="115" t="e">
        <f t="array" aca="1" ref="E3604" ca="1">IF(OR(C3603=0,AND(B3605=0,C3605=0)),"",IFERROR(INDEX($F$27:$F$36,MATCH(C3604,($F$27:$F$36)*($D$27:$D$36&lt;&gt;0),0)),IF(OR(AND(D3604=0,B3604=0,B3605&lt;&gt;0),AND(D3604*D3603&lt;0,B3604&lt;&gt;0)),IF(D3604=0,C3604,C3604*(1-ABS(D3604)/(ABS(D3604)+ABS(D3603)))+C3603*(1-ABS(D3603)/(ABS(D3604)+ABS(D3603)))),"")))</f>
        <v>#NAME?</v>
      </c>
    </row>
    <row r="3605" spans="2:5" x14ac:dyDescent="0.25">
      <c r="B3605" t="e">
        <f t="shared" ca="1" si="113"/>
        <v>#NAME?</v>
      </c>
      <c r="C3605">
        <v>3562</v>
      </c>
      <c r="D3605" t="e">
        <f t="shared" ca="1" si="112"/>
        <v>#NAME?</v>
      </c>
      <c r="E3605" s="115" t="e">
        <f t="array" aca="1" ref="E3605" ca="1">IF(OR(C3604=0,AND(B3606=0,C3606=0)),"",IFERROR(INDEX($F$27:$F$36,MATCH(C3605,($F$27:$F$36)*($D$27:$D$36&lt;&gt;0),0)),IF(OR(AND(D3605=0,B3605=0,B3606&lt;&gt;0),AND(D3605*D3604&lt;0,B3605&lt;&gt;0)),IF(D3605=0,C3605,C3605*(1-ABS(D3605)/(ABS(D3605)+ABS(D3604)))+C3604*(1-ABS(D3604)/(ABS(D3605)+ABS(D3604)))),"")))</f>
        <v>#NAME?</v>
      </c>
    </row>
    <row r="3606" spans="2:5" x14ac:dyDescent="0.25">
      <c r="B3606" t="e">
        <f t="shared" ca="1" si="113"/>
        <v>#NAME?</v>
      </c>
      <c r="C3606">
        <v>3563</v>
      </c>
      <c r="D3606" t="e">
        <f t="shared" ca="1" si="112"/>
        <v>#NAME?</v>
      </c>
      <c r="E3606" s="115" t="e">
        <f t="array" aca="1" ref="E3606" ca="1">IF(OR(C3605=0,AND(B3607=0,C3607=0)),"",IFERROR(INDEX($F$27:$F$36,MATCH(C3606,($F$27:$F$36)*($D$27:$D$36&lt;&gt;0),0)),IF(OR(AND(D3606=0,B3606=0,B3607&lt;&gt;0),AND(D3606*D3605&lt;0,B3606&lt;&gt;0)),IF(D3606=0,C3606,C3606*(1-ABS(D3606)/(ABS(D3606)+ABS(D3605)))+C3605*(1-ABS(D3605)/(ABS(D3606)+ABS(D3605)))),"")))</f>
        <v>#NAME?</v>
      </c>
    </row>
    <row r="3607" spans="2:5" x14ac:dyDescent="0.25">
      <c r="B3607" t="e">
        <f t="shared" ca="1" si="113"/>
        <v>#NAME?</v>
      </c>
      <c r="C3607">
        <v>3564</v>
      </c>
      <c r="D3607" t="e">
        <f t="shared" ca="1" si="112"/>
        <v>#NAME?</v>
      </c>
      <c r="E3607" s="115" t="e">
        <f t="array" aca="1" ref="E3607" ca="1">IF(OR(C3606=0,AND(B3608=0,C3608=0)),"",IFERROR(INDEX($F$27:$F$36,MATCH(C3607,($F$27:$F$36)*($D$27:$D$36&lt;&gt;0),0)),IF(OR(AND(D3607=0,B3607=0,B3608&lt;&gt;0),AND(D3607*D3606&lt;0,B3607&lt;&gt;0)),IF(D3607=0,C3607,C3607*(1-ABS(D3607)/(ABS(D3607)+ABS(D3606)))+C3606*(1-ABS(D3606)/(ABS(D3607)+ABS(D3606)))),"")))</f>
        <v>#NAME?</v>
      </c>
    </row>
    <row r="3608" spans="2:5" x14ac:dyDescent="0.25">
      <c r="B3608" t="e">
        <f t="shared" ca="1" si="113"/>
        <v>#NAME?</v>
      </c>
      <c r="C3608">
        <v>3565</v>
      </c>
      <c r="D3608" t="e">
        <f t="shared" ca="1" si="112"/>
        <v>#NAME?</v>
      </c>
      <c r="E3608" s="115" t="e">
        <f t="array" aca="1" ref="E3608" ca="1">IF(OR(C3607=0,AND(B3609=0,C3609=0)),"",IFERROR(INDEX($F$27:$F$36,MATCH(C3608,($F$27:$F$36)*($D$27:$D$36&lt;&gt;0),0)),IF(OR(AND(D3608=0,B3608=0,B3609&lt;&gt;0),AND(D3608*D3607&lt;0,B3608&lt;&gt;0)),IF(D3608=0,C3608,C3608*(1-ABS(D3608)/(ABS(D3608)+ABS(D3607)))+C3607*(1-ABS(D3607)/(ABS(D3608)+ABS(D3607)))),"")))</f>
        <v>#NAME?</v>
      </c>
    </row>
    <row r="3609" spans="2:5" x14ac:dyDescent="0.25">
      <c r="B3609" t="e">
        <f t="shared" ca="1" si="113"/>
        <v>#NAME?</v>
      </c>
      <c r="C3609">
        <v>3566</v>
      </c>
      <c r="D3609" t="e">
        <f t="shared" ca="1" si="112"/>
        <v>#NAME?</v>
      </c>
      <c r="E3609" s="115" t="e">
        <f t="array" aca="1" ref="E3609" ca="1">IF(OR(C3608=0,AND(B3610=0,C3610=0)),"",IFERROR(INDEX($F$27:$F$36,MATCH(C3609,($F$27:$F$36)*($D$27:$D$36&lt;&gt;0),0)),IF(OR(AND(D3609=0,B3609=0,B3610&lt;&gt;0),AND(D3609*D3608&lt;0,B3609&lt;&gt;0)),IF(D3609=0,C3609,C3609*(1-ABS(D3609)/(ABS(D3609)+ABS(D3608)))+C3608*(1-ABS(D3608)/(ABS(D3609)+ABS(D3608)))),"")))</f>
        <v>#NAME?</v>
      </c>
    </row>
    <row r="3610" spans="2:5" x14ac:dyDescent="0.25">
      <c r="B3610" t="e">
        <f t="shared" ca="1" si="113"/>
        <v>#NAME?</v>
      </c>
      <c r="C3610">
        <v>3567</v>
      </c>
      <c r="D3610" t="e">
        <f t="shared" ca="1" si="112"/>
        <v>#NAME?</v>
      </c>
      <c r="E3610" s="115" t="e">
        <f t="array" aca="1" ref="E3610" ca="1">IF(OR(C3609=0,AND(B3611=0,C3611=0)),"",IFERROR(INDEX($F$27:$F$36,MATCH(C3610,($F$27:$F$36)*($D$27:$D$36&lt;&gt;0),0)),IF(OR(AND(D3610=0,B3610=0,B3611&lt;&gt;0),AND(D3610*D3609&lt;0,B3610&lt;&gt;0)),IF(D3610=0,C3610,C3610*(1-ABS(D3610)/(ABS(D3610)+ABS(D3609)))+C3609*(1-ABS(D3609)/(ABS(D3610)+ABS(D3609)))),"")))</f>
        <v>#NAME?</v>
      </c>
    </row>
    <row r="3611" spans="2:5" x14ac:dyDescent="0.25">
      <c r="B3611" t="e">
        <f t="shared" ca="1" si="113"/>
        <v>#NAME?</v>
      </c>
      <c r="C3611">
        <v>3568</v>
      </c>
      <c r="D3611" t="e">
        <f t="shared" ca="1" si="112"/>
        <v>#NAME?</v>
      </c>
      <c r="E3611" s="115" t="e">
        <f t="array" aca="1" ref="E3611" ca="1">IF(OR(C3610=0,AND(B3612=0,C3612=0)),"",IFERROR(INDEX($F$27:$F$36,MATCH(C3611,($F$27:$F$36)*($D$27:$D$36&lt;&gt;0),0)),IF(OR(AND(D3611=0,B3611=0,B3612&lt;&gt;0),AND(D3611*D3610&lt;0,B3611&lt;&gt;0)),IF(D3611=0,C3611,C3611*(1-ABS(D3611)/(ABS(D3611)+ABS(D3610)))+C3610*(1-ABS(D3610)/(ABS(D3611)+ABS(D3610)))),"")))</f>
        <v>#NAME?</v>
      </c>
    </row>
    <row r="3612" spans="2:5" x14ac:dyDescent="0.25">
      <c r="B3612" t="e">
        <f t="shared" ca="1" si="113"/>
        <v>#NAME?</v>
      </c>
      <c r="C3612">
        <v>3569</v>
      </c>
      <c r="D3612" t="e">
        <f t="shared" ca="1" si="112"/>
        <v>#NAME?</v>
      </c>
      <c r="E3612" s="115" t="e">
        <f t="array" aca="1" ref="E3612" ca="1">IF(OR(C3611=0,AND(B3613=0,C3613=0)),"",IFERROR(INDEX($F$27:$F$36,MATCH(C3612,($F$27:$F$36)*($D$27:$D$36&lt;&gt;0),0)),IF(OR(AND(D3612=0,B3612=0,B3613&lt;&gt;0),AND(D3612*D3611&lt;0,B3612&lt;&gt;0)),IF(D3612=0,C3612,C3612*(1-ABS(D3612)/(ABS(D3612)+ABS(D3611)))+C3611*(1-ABS(D3611)/(ABS(D3612)+ABS(D3611)))),"")))</f>
        <v>#NAME?</v>
      </c>
    </row>
    <row r="3613" spans="2:5" x14ac:dyDescent="0.25">
      <c r="B3613" t="e">
        <f t="shared" ca="1" si="113"/>
        <v>#NAME?</v>
      </c>
      <c r="C3613">
        <v>3570</v>
      </c>
      <c r="D3613" t="e">
        <f t="shared" ca="1" si="112"/>
        <v>#NAME?</v>
      </c>
      <c r="E3613" s="115" t="e">
        <f t="array" aca="1" ref="E3613" ca="1">IF(OR(C3612=0,AND(B3614=0,C3614=0)),"",IFERROR(INDEX($F$27:$F$36,MATCH(C3613,($F$27:$F$36)*($D$27:$D$36&lt;&gt;0),0)),IF(OR(AND(D3613=0,B3613=0,B3614&lt;&gt;0),AND(D3613*D3612&lt;0,B3613&lt;&gt;0)),IF(D3613=0,C3613,C3613*(1-ABS(D3613)/(ABS(D3613)+ABS(D3612)))+C3612*(1-ABS(D3612)/(ABS(D3613)+ABS(D3612)))),"")))</f>
        <v>#NAME?</v>
      </c>
    </row>
    <row r="3614" spans="2:5" x14ac:dyDescent="0.25">
      <c r="B3614" t="e">
        <f t="shared" ca="1" si="113"/>
        <v>#NAME?</v>
      </c>
      <c r="C3614">
        <v>3571</v>
      </c>
      <c r="D3614" t="e">
        <f t="shared" ca="1" si="112"/>
        <v>#NAME?</v>
      </c>
      <c r="E3614" s="115" t="e">
        <f t="array" aca="1" ref="E3614" ca="1">IF(OR(C3613=0,AND(B3615=0,C3615=0)),"",IFERROR(INDEX($F$27:$F$36,MATCH(C3614,($F$27:$F$36)*($D$27:$D$36&lt;&gt;0),0)),IF(OR(AND(D3614=0,B3614=0,B3615&lt;&gt;0),AND(D3614*D3613&lt;0,B3614&lt;&gt;0)),IF(D3614=0,C3614,C3614*(1-ABS(D3614)/(ABS(D3614)+ABS(D3613)))+C3613*(1-ABS(D3613)/(ABS(D3614)+ABS(D3613)))),"")))</f>
        <v>#NAME?</v>
      </c>
    </row>
    <row r="3615" spans="2:5" x14ac:dyDescent="0.25">
      <c r="B3615" t="e">
        <f t="shared" ca="1" si="113"/>
        <v>#NAME?</v>
      </c>
      <c r="C3615">
        <v>3572</v>
      </c>
      <c r="D3615" t="e">
        <f t="shared" ca="1" si="112"/>
        <v>#NAME?</v>
      </c>
      <c r="E3615" s="115" t="e">
        <f t="array" aca="1" ref="E3615" ca="1">IF(OR(C3614=0,AND(B3616=0,C3616=0)),"",IFERROR(INDEX($F$27:$F$36,MATCH(C3615,($F$27:$F$36)*($D$27:$D$36&lt;&gt;0),0)),IF(OR(AND(D3615=0,B3615=0,B3616&lt;&gt;0),AND(D3615*D3614&lt;0,B3615&lt;&gt;0)),IF(D3615=0,C3615,C3615*(1-ABS(D3615)/(ABS(D3615)+ABS(D3614)))+C3614*(1-ABS(D3614)/(ABS(D3615)+ABS(D3614)))),"")))</f>
        <v>#NAME?</v>
      </c>
    </row>
    <row r="3616" spans="2:5" x14ac:dyDescent="0.25">
      <c r="B3616" t="e">
        <f t="shared" ca="1" si="113"/>
        <v>#NAME?</v>
      </c>
      <c r="C3616">
        <v>3573</v>
      </c>
      <c r="D3616" t="e">
        <f t="shared" ca="1" si="112"/>
        <v>#NAME?</v>
      </c>
      <c r="E3616" s="115" t="e">
        <f t="array" aca="1" ref="E3616" ca="1">IF(OR(C3615=0,AND(B3617=0,C3617=0)),"",IFERROR(INDEX($F$27:$F$36,MATCH(C3616,($F$27:$F$36)*($D$27:$D$36&lt;&gt;0),0)),IF(OR(AND(D3616=0,B3616=0,B3617&lt;&gt;0),AND(D3616*D3615&lt;0,B3616&lt;&gt;0)),IF(D3616=0,C3616,C3616*(1-ABS(D3616)/(ABS(D3616)+ABS(D3615)))+C3615*(1-ABS(D3615)/(ABS(D3616)+ABS(D3615)))),"")))</f>
        <v>#NAME?</v>
      </c>
    </row>
    <row r="3617" spans="2:5" x14ac:dyDescent="0.25">
      <c r="B3617" t="e">
        <f t="shared" ca="1" si="113"/>
        <v>#NAME?</v>
      </c>
      <c r="C3617">
        <v>3574</v>
      </c>
      <c r="D3617" t="e">
        <f t="shared" ca="1" si="112"/>
        <v>#NAME?</v>
      </c>
      <c r="E3617" s="115" t="e">
        <f t="array" aca="1" ref="E3617" ca="1">IF(OR(C3616=0,AND(B3618=0,C3618=0)),"",IFERROR(INDEX($F$27:$F$36,MATCH(C3617,($F$27:$F$36)*($D$27:$D$36&lt;&gt;0),0)),IF(OR(AND(D3617=0,B3617=0,B3618&lt;&gt;0),AND(D3617*D3616&lt;0,B3617&lt;&gt;0)),IF(D3617=0,C3617,C3617*(1-ABS(D3617)/(ABS(D3617)+ABS(D3616)))+C3616*(1-ABS(D3616)/(ABS(D3617)+ABS(D3616)))),"")))</f>
        <v>#NAME?</v>
      </c>
    </row>
    <row r="3618" spans="2:5" x14ac:dyDescent="0.25">
      <c r="B3618" t="e">
        <f t="shared" ca="1" si="113"/>
        <v>#NAME?</v>
      </c>
      <c r="C3618">
        <v>3575</v>
      </c>
      <c r="D3618" t="e">
        <f t="shared" ca="1" si="112"/>
        <v>#NAME?</v>
      </c>
      <c r="E3618" s="115" t="e">
        <f t="array" aca="1" ref="E3618" ca="1">IF(OR(C3617=0,AND(B3619=0,C3619=0)),"",IFERROR(INDEX($F$27:$F$36,MATCH(C3618,($F$27:$F$36)*($D$27:$D$36&lt;&gt;0),0)),IF(OR(AND(D3618=0,B3618=0,B3619&lt;&gt;0),AND(D3618*D3617&lt;0,B3618&lt;&gt;0)),IF(D3618=0,C3618,C3618*(1-ABS(D3618)/(ABS(D3618)+ABS(D3617)))+C3617*(1-ABS(D3617)/(ABS(D3618)+ABS(D3617)))),"")))</f>
        <v>#NAME?</v>
      </c>
    </row>
    <row r="3619" spans="2:5" x14ac:dyDescent="0.25">
      <c r="B3619" t="e">
        <f t="shared" ca="1" si="113"/>
        <v>#NAME?</v>
      </c>
      <c r="C3619">
        <v>3576</v>
      </c>
      <c r="D3619" t="e">
        <f t="shared" ca="1" si="112"/>
        <v>#NAME?</v>
      </c>
      <c r="E3619" s="115" t="e">
        <f t="array" aca="1" ref="E3619" ca="1">IF(OR(C3618=0,AND(B3620=0,C3620=0)),"",IFERROR(INDEX($F$27:$F$36,MATCH(C3619,($F$27:$F$36)*($D$27:$D$36&lt;&gt;0),0)),IF(OR(AND(D3619=0,B3619=0,B3620&lt;&gt;0),AND(D3619*D3618&lt;0,B3619&lt;&gt;0)),IF(D3619=0,C3619,C3619*(1-ABS(D3619)/(ABS(D3619)+ABS(D3618)))+C3618*(1-ABS(D3618)/(ABS(D3619)+ABS(D3618)))),"")))</f>
        <v>#NAME?</v>
      </c>
    </row>
    <row r="3620" spans="2:5" x14ac:dyDescent="0.25">
      <c r="B3620" t="e">
        <f t="shared" ca="1" si="113"/>
        <v>#NAME?</v>
      </c>
      <c r="C3620">
        <v>3577</v>
      </c>
      <c r="D3620" t="e">
        <f t="shared" ca="1" si="112"/>
        <v>#NAME?</v>
      </c>
      <c r="E3620" s="115" t="e">
        <f t="array" aca="1" ref="E3620" ca="1">IF(OR(C3619=0,AND(B3621=0,C3621=0)),"",IFERROR(INDEX($F$27:$F$36,MATCH(C3620,($F$27:$F$36)*($D$27:$D$36&lt;&gt;0),0)),IF(OR(AND(D3620=0,B3620=0,B3621&lt;&gt;0),AND(D3620*D3619&lt;0,B3620&lt;&gt;0)),IF(D3620=0,C3620,C3620*(1-ABS(D3620)/(ABS(D3620)+ABS(D3619)))+C3619*(1-ABS(D3619)/(ABS(D3620)+ABS(D3619)))),"")))</f>
        <v>#NAME?</v>
      </c>
    </row>
    <row r="3621" spans="2:5" x14ac:dyDescent="0.25">
      <c r="B3621" t="e">
        <f t="shared" ca="1" si="113"/>
        <v>#NAME?</v>
      </c>
      <c r="C3621">
        <v>3578</v>
      </c>
      <c r="D3621" t="e">
        <f t="shared" ca="1" si="112"/>
        <v>#NAME?</v>
      </c>
      <c r="E3621" s="115" t="e">
        <f t="array" aca="1" ref="E3621" ca="1">IF(OR(C3620=0,AND(B3622=0,C3622=0)),"",IFERROR(INDEX($F$27:$F$36,MATCH(C3621,($F$27:$F$36)*($D$27:$D$36&lt;&gt;0),0)),IF(OR(AND(D3621=0,B3621=0,B3622&lt;&gt;0),AND(D3621*D3620&lt;0,B3621&lt;&gt;0)),IF(D3621=0,C3621,C3621*(1-ABS(D3621)/(ABS(D3621)+ABS(D3620)))+C3620*(1-ABS(D3620)/(ABS(D3621)+ABS(D3620)))),"")))</f>
        <v>#NAME?</v>
      </c>
    </row>
    <row r="3622" spans="2:5" x14ac:dyDescent="0.25">
      <c r="B3622" t="e">
        <f t="shared" ca="1" si="113"/>
        <v>#NAME?</v>
      </c>
      <c r="C3622">
        <v>3579</v>
      </c>
      <c r="D3622" t="e">
        <f t="shared" ca="1" si="112"/>
        <v>#NAME?</v>
      </c>
      <c r="E3622" s="115" t="e">
        <f t="array" aca="1" ref="E3622" ca="1">IF(OR(C3621=0,AND(B3623=0,C3623=0)),"",IFERROR(INDEX($F$27:$F$36,MATCH(C3622,($F$27:$F$36)*($D$27:$D$36&lt;&gt;0),0)),IF(OR(AND(D3622=0,B3622=0,B3623&lt;&gt;0),AND(D3622*D3621&lt;0,B3622&lt;&gt;0)),IF(D3622=0,C3622,C3622*(1-ABS(D3622)/(ABS(D3622)+ABS(D3621)))+C3621*(1-ABS(D3621)/(ABS(D3622)+ABS(D3621)))),"")))</f>
        <v>#NAME?</v>
      </c>
    </row>
    <row r="3623" spans="2:5" x14ac:dyDescent="0.25">
      <c r="B3623" t="e">
        <f t="shared" ca="1" si="113"/>
        <v>#NAME?</v>
      </c>
      <c r="C3623">
        <v>3580</v>
      </c>
      <c r="D3623" t="e">
        <f t="shared" ca="1" si="112"/>
        <v>#NAME?</v>
      </c>
      <c r="E3623" s="115" t="e">
        <f t="array" aca="1" ref="E3623" ca="1">IF(OR(C3622=0,AND(B3624=0,C3624=0)),"",IFERROR(INDEX($F$27:$F$36,MATCH(C3623,($F$27:$F$36)*($D$27:$D$36&lt;&gt;0),0)),IF(OR(AND(D3623=0,B3623=0,B3624&lt;&gt;0),AND(D3623*D3622&lt;0,B3623&lt;&gt;0)),IF(D3623=0,C3623,C3623*(1-ABS(D3623)/(ABS(D3623)+ABS(D3622)))+C3622*(1-ABS(D3622)/(ABS(D3623)+ABS(D3622)))),"")))</f>
        <v>#NAME?</v>
      </c>
    </row>
    <row r="3624" spans="2:5" x14ac:dyDescent="0.25">
      <c r="B3624" t="e">
        <f t="shared" ca="1" si="113"/>
        <v>#NAME?</v>
      </c>
      <c r="C3624">
        <v>3581</v>
      </c>
      <c r="D3624" t="e">
        <f t="shared" ca="1" si="112"/>
        <v>#NAME?</v>
      </c>
      <c r="E3624" s="115" t="e">
        <f t="array" aca="1" ref="E3624" ca="1">IF(OR(C3623=0,AND(B3625=0,C3625=0)),"",IFERROR(INDEX($F$27:$F$36,MATCH(C3624,($F$27:$F$36)*($D$27:$D$36&lt;&gt;0),0)),IF(OR(AND(D3624=0,B3624=0,B3625&lt;&gt;0),AND(D3624*D3623&lt;0,B3624&lt;&gt;0)),IF(D3624=0,C3624,C3624*(1-ABS(D3624)/(ABS(D3624)+ABS(D3623)))+C3623*(1-ABS(D3623)/(ABS(D3624)+ABS(D3623)))),"")))</f>
        <v>#NAME?</v>
      </c>
    </row>
    <row r="3625" spans="2:5" x14ac:dyDescent="0.25">
      <c r="B3625" t="e">
        <f t="shared" ca="1" si="113"/>
        <v>#NAME?</v>
      </c>
      <c r="C3625">
        <v>3582</v>
      </c>
      <c r="D3625" t="e">
        <f t="shared" ca="1" si="112"/>
        <v>#NAME?</v>
      </c>
      <c r="E3625" s="115" t="e">
        <f t="array" aca="1" ref="E3625" ca="1">IF(OR(C3624=0,AND(B3626=0,C3626=0)),"",IFERROR(INDEX($F$27:$F$36,MATCH(C3625,($F$27:$F$36)*($D$27:$D$36&lt;&gt;0),0)),IF(OR(AND(D3625=0,B3625=0,B3626&lt;&gt;0),AND(D3625*D3624&lt;0,B3625&lt;&gt;0)),IF(D3625=0,C3625,C3625*(1-ABS(D3625)/(ABS(D3625)+ABS(D3624)))+C3624*(1-ABS(D3624)/(ABS(D3625)+ABS(D3624)))),"")))</f>
        <v>#NAME?</v>
      </c>
    </row>
    <row r="3626" spans="2:5" x14ac:dyDescent="0.25">
      <c r="B3626" t="e">
        <f t="shared" ca="1" si="113"/>
        <v>#NAME?</v>
      </c>
      <c r="C3626">
        <v>3583</v>
      </c>
      <c r="D3626" t="e">
        <f t="shared" ca="1" si="112"/>
        <v>#NAME?</v>
      </c>
      <c r="E3626" s="115" t="e">
        <f t="array" aca="1" ref="E3626" ca="1">IF(OR(C3625=0,AND(B3627=0,C3627=0)),"",IFERROR(INDEX($F$27:$F$36,MATCH(C3626,($F$27:$F$36)*($D$27:$D$36&lt;&gt;0),0)),IF(OR(AND(D3626=0,B3626=0,B3627&lt;&gt;0),AND(D3626*D3625&lt;0,B3626&lt;&gt;0)),IF(D3626=0,C3626,C3626*(1-ABS(D3626)/(ABS(D3626)+ABS(D3625)))+C3625*(1-ABS(D3625)/(ABS(D3626)+ABS(D3625)))),"")))</f>
        <v>#NAME?</v>
      </c>
    </row>
    <row r="3627" spans="2:5" x14ac:dyDescent="0.25">
      <c r="B3627" t="e">
        <f t="shared" ca="1" si="113"/>
        <v>#NAME?</v>
      </c>
      <c r="C3627">
        <v>3584</v>
      </c>
      <c r="D3627" t="e">
        <f t="shared" ref="D3627:D3690" ca="1" si="114">SUMPRODUCT(--($J$27:$J$37&gt;0),--($C3627-$F$27:$F$37&gt;0),($D$27:$D$37),($C3627-$F$27:$F$37))+SUMPRODUCT(--($J$27:$J$37&lt;0),--($F$27:$F$37-$C3627&gt;0),($D$27:$D$37),($F$27:$F$37-$C3627))-SUMPRODUCT($D$27:$D$37,$E$27:$E$37)</f>
        <v>#NAME?</v>
      </c>
      <c r="E3627" s="115" t="e">
        <f t="array" aca="1" ref="E3627" ca="1">IF(OR(C3626=0,AND(B3628=0,C3628=0)),"",IFERROR(INDEX($F$27:$F$36,MATCH(C3627,($F$27:$F$36)*($D$27:$D$36&lt;&gt;0),0)),IF(OR(AND(D3627=0,B3627=0,B3628&lt;&gt;0),AND(D3627*D3626&lt;0,B3627&lt;&gt;0)),IF(D3627=0,C3627,C3627*(1-ABS(D3627)/(ABS(D3627)+ABS(D3626)))+C3626*(1-ABS(D3626)/(ABS(D3627)+ABS(D3626)))),"")))</f>
        <v>#NAME?</v>
      </c>
    </row>
    <row r="3628" spans="2:5" x14ac:dyDescent="0.25">
      <c r="B3628" t="e">
        <f t="shared" ref="B3628:B3691" ca="1" si="115">ROUND((D3628-D3627)/(C3628-C3627),12)</f>
        <v>#NAME?</v>
      </c>
      <c r="C3628">
        <v>3585</v>
      </c>
      <c r="D3628" t="e">
        <f t="shared" ca="1" si="114"/>
        <v>#NAME?</v>
      </c>
      <c r="E3628" s="115" t="e">
        <f t="array" aca="1" ref="E3628" ca="1">IF(OR(C3627=0,AND(B3629=0,C3629=0)),"",IFERROR(INDEX($F$27:$F$36,MATCH(C3628,($F$27:$F$36)*($D$27:$D$36&lt;&gt;0),0)),IF(OR(AND(D3628=0,B3628=0,B3629&lt;&gt;0),AND(D3628*D3627&lt;0,B3628&lt;&gt;0)),IF(D3628=0,C3628,C3628*(1-ABS(D3628)/(ABS(D3628)+ABS(D3627)))+C3627*(1-ABS(D3627)/(ABS(D3628)+ABS(D3627)))),"")))</f>
        <v>#NAME?</v>
      </c>
    </row>
    <row r="3629" spans="2:5" x14ac:dyDescent="0.25">
      <c r="B3629" t="e">
        <f t="shared" ca="1" si="115"/>
        <v>#NAME?</v>
      </c>
      <c r="C3629">
        <v>3586</v>
      </c>
      <c r="D3629" t="e">
        <f t="shared" ca="1" si="114"/>
        <v>#NAME?</v>
      </c>
      <c r="E3629" s="115" t="e">
        <f t="array" aca="1" ref="E3629" ca="1">IF(OR(C3628=0,AND(B3630=0,C3630=0)),"",IFERROR(INDEX($F$27:$F$36,MATCH(C3629,($F$27:$F$36)*($D$27:$D$36&lt;&gt;0),0)),IF(OR(AND(D3629=0,B3629=0,B3630&lt;&gt;0),AND(D3629*D3628&lt;0,B3629&lt;&gt;0)),IF(D3629=0,C3629,C3629*(1-ABS(D3629)/(ABS(D3629)+ABS(D3628)))+C3628*(1-ABS(D3628)/(ABS(D3629)+ABS(D3628)))),"")))</f>
        <v>#NAME?</v>
      </c>
    </row>
    <row r="3630" spans="2:5" x14ac:dyDescent="0.25">
      <c r="B3630" t="e">
        <f t="shared" ca="1" si="115"/>
        <v>#NAME?</v>
      </c>
      <c r="C3630">
        <v>3587</v>
      </c>
      <c r="D3630" t="e">
        <f t="shared" ca="1" si="114"/>
        <v>#NAME?</v>
      </c>
      <c r="E3630" s="115" t="e">
        <f t="array" aca="1" ref="E3630" ca="1">IF(OR(C3629=0,AND(B3631=0,C3631=0)),"",IFERROR(INDEX($F$27:$F$36,MATCH(C3630,($F$27:$F$36)*($D$27:$D$36&lt;&gt;0),0)),IF(OR(AND(D3630=0,B3630=0,B3631&lt;&gt;0),AND(D3630*D3629&lt;0,B3630&lt;&gt;0)),IF(D3630=0,C3630,C3630*(1-ABS(D3630)/(ABS(D3630)+ABS(D3629)))+C3629*(1-ABS(D3629)/(ABS(D3630)+ABS(D3629)))),"")))</f>
        <v>#NAME?</v>
      </c>
    </row>
    <row r="3631" spans="2:5" x14ac:dyDescent="0.25">
      <c r="B3631" t="e">
        <f t="shared" ca="1" si="115"/>
        <v>#NAME?</v>
      </c>
      <c r="C3631">
        <v>3588</v>
      </c>
      <c r="D3631" t="e">
        <f t="shared" ca="1" si="114"/>
        <v>#NAME?</v>
      </c>
      <c r="E3631" s="115" t="e">
        <f t="array" aca="1" ref="E3631" ca="1">IF(OR(C3630=0,AND(B3632=0,C3632=0)),"",IFERROR(INDEX($F$27:$F$36,MATCH(C3631,($F$27:$F$36)*($D$27:$D$36&lt;&gt;0),0)),IF(OR(AND(D3631=0,B3631=0,B3632&lt;&gt;0),AND(D3631*D3630&lt;0,B3631&lt;&gt;0)),IF(D3631=0,C3631,C3631*(1-ABS(D3631)/(ABS(D3631)+ABS(D3630)))+C3630*(1-ABS(D3630)/(ABS(D3631)+ABS(D3630)))),"")))</f>
        <v>#NAME?</v>
      </c>
    </row>
    <row r="3632" spans="2:5" x14ac:dyDescent="0.25">
      <c r="B3632" t="e">
        <f t="shared" ca="1" si="115"/>
        <v>#NAME?</v>
      </c>
      <c r="C3632">
        <v>3589</v>
      </c>
      <c r="D3632" t="e">
        <f t="shared" ca="1" si="114"/>
        <v>#NAME?</v>
      </c>
      <c r="E3632" s="115" t="e">
        <f t="array" aca="1" ref="E3632" ca="1">IF(OR(C3631=0,AND(B3633=0,C3633=0)),"",IFERROR(INDEX($F$27:$F$36,MATCH(C3632,($F$27:$F$36)*($D$27:$D$36&lt;&gt;0),0)),IF(OR(AND(D3632=0,B3632=0,B3633&lt;&gt;0),AND(D3632*D3631&lt;0,B3632&lt;&gt;0)),IF(D3632=0,C3632,C3632*(1-ABS(D3632)/(ABS(D3632)+ABS(D3631)))+C3631*(1-ABS(D3631)/(ABS(D3632)+ABS(D3631)))),"")))</f>
        <v>#NAME?</v>
      </c>
    </row>
    <row r="3633" spans="2:5" x14ac:dyDescent="0.25">
      <c r="B3633" t="e">
        <f t="shared" ca="1" si="115"/>
        <v>#NAME?</v>
      </c>
      <c r="C3633">
        <v>3590</v>
      </c>
      <c r="D3633" t="e">
        <f t="shared" ca="1" si="114"/>
        <v>#NAME?</v>
      </c>
      <c r="E3633" s="115" t="e">
        <f t="array" aca="1" ref="E3633" ca="1">IF(OR(C3632=0,AND(B3634=0,C3634=0)),"",IFERROR(INDEX($F$27:$F$36,MATCH(C3633,($F$27:$F$36)*($D$27:$D$36&lt;&gt;0),0)),IF(OR(AND(D3633=0,B3633=0,B3634&lt;&gt;0),AND(D3633*D3632&lt;0,B3633&lt;&gt;0)),IF(D3633=0,C3633,C3633*(1-ABS(D3633)/(ABS(D3633)+ABS(D3632)))+C3632*(1-ABS(D3632)/(ABS(D3633)+ABS(D3632)))),"")))</f>
        <v>#NAME?</v>
      </c>
    </row>
    <row r="3634" spans="2:5" x14ac:dyDescent="0.25">
      <c r="B3634" t="e">
        <f t="shared" ca="1" si="115"/>
        <v>#NAME?</v>
      </c>
      <c r="C3634">
        <v>3591</v>
      </c>
      <c r="D3634" t="e">
        <f t="shared" ca="1" si="114"/>
        <v>#NAME?</v>
      </c>
      <c r="E3634" s="115" t="e">
        <f t="array" aca="1" ref="E3634" ca="1">IF(OR(C3633=0,AND(B3635=0,C3635=0)),"",IFERROR(INDEX($F$27:$F$36,MATCH(C3634,($F$27:$F$36)*($D$27:$D$36&lt;&gt;0),0)),IF(OR(AND(D3634=0,B3634=0,B3635&lt;&gt;0),AND(D3634*D3633&lt;0,B3634&lt;&gt;0)),IF(D3634=0,C3634,C3634*(1-ABS(D3634)/(ABS(D3634)+ABS(D3633)))+C3633*(1-ABS(D3633)/(ABS(D3634)+ABS(D3633)))),"")))</f>
        <v>#NAME?</v>
      </c>
    </row>
    <row r="3635" spans="2:5" x14ac:dyDescent="0.25">
      <c r="B3635" t="e">
        <f t="shared" ca="1" si="115"/>
        <v>#NAME?</v>
      </c>
      <c r="C3635">
        <v>3592</v>
      </c>
      <c r="D3635" t="e">
        <f t="shared" ca="1" si="114"/>
        <v>#NAME?</v>
      </c>
      <c r="E3635" s="115" t="e">
        <f t="array" aca="1" ref="E3635" ca="1">IF(OR(C3634=0,AND(B3636=0,C3636=0)),"",IFERROR(INDEX($F$27:$F$36,MATCH(C3635,($F$27:$F$36)*($D$27:$D$36&lt;&gt;0),0)),IF(OR(AND(D3635=0,B3635=0,B3636&lt;&gt;0),AND(D3635*D3634&lt;0,B3635&lt;&gt;0)),IF(D3635=0,C3635,C3635*(1-ABS(D3635)/(ABS(D3635)+ABS(D3634)))+C3634*(1-ABS(D3634)/(ABS(D3635)+ABS(D3634)))),"")))</f>
        <v>#NAME?</v>
      </c>
    </row>
    <row r="3636" spans="2:5" x14ac:dyDescent="0.25">
      <c r="B3636" t="e">
        <f t="shared" ca="1" si="115"/>
        <v>#NAME?</v>
      </c>
      <c r="C3636">
        <v>3593</v>
      </c>
      <c r="D3636" t="e">
        <f t="shared" ca="1" si="114"/>
        <v>#NAME?</v>
      </c>
      <c r="E3636" s="115" t="e">
        <f t="array" aca="1" ref="E3636" ca="1">IF(OR(C3635=0,AND(B3637=0,C3637=0)),"",IFERROR(INDEX($F$27:$F$36,MATCH(C3636,($F$27:$F$36)*($D$27:$D$36&lt;&gt;0),0)),IF(OR(AND(D3636=0,B3636=0,B3637&lt;&gt;0),AND(D3636*D3635&lt;0,B3636&lt;&gt;0)),IF(D3636=0,C3636,C3636*(1-ABS(D3636)/(ABS(D3636)+ABS(D3635)))+C3635*(1-ABS(D3635)/(ABS(D3636)+ABS(D3635)))),"")))</f>
        <v>#NAME?</v>
      </c>
    </row>
    <row r="3637" spans="2:5" x14ac:dyDescent="0.25">
      <c r="B3637" t="e">
        <f t="shared" ca="1" si="115"/>
        <v>#NAME?</v>
      </c>
      <c r="C3637">
        <v>3594</v>
      </c>
      <c r="D3637" t="e">
        <f t="shared" ca="1" si="114"/>
        <v>#NAME?</v>
      </c>
      <c r="E3637" s="115" t="e">
        <f t="array" aca="1" ref="E3637" ca="1">IF(OR(C3636=0,AND(B3638=0,C3638=0)),"",IFERROR(INDEX($F$27:$F$36,MATCH(C3637,($F$27:$F$36)*($D$27:$D$36&lt;&gt;0),0)),IF(OR(AND(D3637=0,B3637=0,B3638&lt;&gt;0),AND(D3637*D3636&lt;0,B3637&lt;&gt;0)),IF(D3637=0,C3637,C3637*(1-ABS(D3637)/(ABS(D3637)+ABS(D3636)))+C3636*(1-ABS(D3636)/(ABS(D3637)+ABS(D3636)))),"")))</f>
        <v>#NAME?</v>
      </c>
    </row>
    <row r="3638" spans="2:5" x14ac:dyDescent="0.25">
      <c r="B3638" t="e">
        <f t="shared" ca="1" si="115"/>
        <v>#NAME?</v>
      </c>
      <c r="C3638">
        <v>3595</v>
      </c>
      <c r="D3638" t="e">
        <f t="shared" ca="1" si="114"/>
        <v>#NAME?</v>
      </c>
      <c r="E3638" s="115" t="e">
        <f t="array" aca="1" ref="E3638" ca="1">IF(OR(C3637=0,AND(B3639=0,C3639=0)),"",IFERROR(INDEX($F$27:$F$36,MATCH(C3638,($F$27:$F$36)*($D$27:$D$36&lt;&gt;0),0)),IF(OR(AND(D3638=0,B3638=0,B3639&lt;&gt;0),AND(D3638*D3637&lt;0,B3638&lt;&gt;0)),IF(D3638=0,C3638,C3638*(1-ABS(D3638)/(ABS(D3638)+ABS(D3637)))+C3637*(1-ABS(D3637)/(ABS(D3638)+ABS(D3637)))),"")))</f>
        <v>#NAME?</v>
      </c>
    </row>
    <row r="3639" spans="2:5" x14ac:dyDescent="0.25">
      <c r="B3639" t="e">
        <f t="shared" ca="1" si="115"/>
        <v>#NAME?</v>
      </c>
      <c r="C3639">
        <v>3596</v>
      </c>
      <c r="D3639" t="e">
        <f t="shared" ca="1" si="114"/>
        <v>#NAME?</v>
      </c>
      <c r="E3639" s="115" t="e">
        <f t="array" aca="1" ref="E3639" ca="1">IF(OR(C3638=0,AND(B3640=0,C3640=0)),"",IFERROR(INDEX($F$27:$F$36,MATCH(C3639,($F$27:$F$36)*($D$27:$D$36&lt;&gt;0),0)),IF(OR(AND(D3639=0,B3639=0,B3640&lt;&gt;0),AND(D3639*D3638&lt;0,B3639&lt;&gt;0)),IF(D3639=0,C3639,C3639*(1-ABS(D3639)/(ABS(D3639)+ABS(D3638)))+C3638*(1-ABS(D3638)/(ABS(D3639)+ABS(D3638)))),"")))</f>
        <v>#NAME?</v>
      </c>
    </row>
    <row r="3640" spans="2:5" x14ac:dyDescent="0.25">
      <c r="B3640" t="e">
        <f t="shared" ca="1" si="115"/>
        <v>#NAME?</v>
      </c>
      <c r="C3640">
        <v>3597</v>
      </c>
      <c r="D3640" t="e">
        <f t="shared" ca="1" si="114"/>
        <v>#NAME?</v>
      </c>
      <c r="E3640" s="115" t="e">
        <f t="array" aca="1" ref="E3640" ca="1">IF(OR(C3639=0,AND(B3641=0,C3641=0)),"",IFERROR(INDEX($F$27:$F$36,MATCH(C3640,($F$27:$F$36)*($D$27:$D$36&lt;&gt;0),0)),IF(OR(AND(D3640=0,B3640=0,B3641&lt;&gt;0),AND(D3640*D3639&lt;0,B3640&lt;&gt;0)),IF(D3640=0,C3640,C3640*(1-ABS(D3640)/(ABS(D3640)+ABS(D3639)))+C3639*(1-ABS(D3639)/(ABS(D3640)+ABS(D3639)))),"")))</f>
        <v>#NAME?</v>
      </c>
    </row>
    <row r="3641" spans="2:5" x14ac:dyDescent="0.25">
      <c r="B3641" t="e">
        <f t="shared" ca="1" si="115"/>
        <v>#NAME?</v>
      </c>
      <c r="C3641">
        <v>3598</v>
      </c>
      <c r="D3641" t="e">
        <f t="shared" ca="1" si="114"/>
        <v>#NAME?</v>
      </c>
      <c r="E3641" s="115" t="e">
        <f t="array" aca="1" ref="E3641" ca="1">IF(OR(C3640=0,AND(B3642=0,C3642=0)),"",IFERROR(INDEX($F$27:$F$36,MATCH(C3641,($F$27:$F$36)*($D$27:$D$36&lt;&gt;0),0)),IF(OR(AND(D3641=0,B3641=0,B3642&lt;&gt;0),AND(D3641*D3640&lt;0,B3641&lt;&gt;0)),IF(D3641=0,C3641,C3641*(1-ABS(D3641)/(ABS(D3641)+ABS(D3640)))+C3640*(1-ABS(D3640)/(ABS(D3641)+ABS(D3640)))),"")))</f>
        <v>#NAME?</v>
      </c>
    </row>
    <row r="3642" spans="2:5" x14ac:dyDescent="0.25">
      <c r="B3642" t="e">
        <f t="shared" ca="1" si="115"/>
        <v>#NAME?</v>
      </c>
      <c r="C3642">
        <v>3599</v>
      </c>
      <c r="D3642" t="e">
        <f t="shared" ca="1" si="114"/>
        <v>#NAME?</v>
      </c>
      <c r="E3642" s="115" t="e">
        <f t="array" aca="1" ref="E3642" ca="1">IF(OR(C3641=0,AND(B3643=0,C3643=0)),"",IFERROR(INDEX($F$27:$F$36,MATCH(C3642,($F$27:$F$36)*($D$27:$D$36&lt;&gt;0),0)),IF(OR(AND(D3642=0,B3642=0,B3643&lt;&gt;0),AND(D3642*D3641&lt;0,B3642&lt;&gt;0)),IF(D3642=0,C3642,C3642*(1-ABS(D3642)/(ABS(D3642)+ABS(D3641)))+C3641*(1-ABS(D3641)/(ABS(D3642)+ABS(D3641)))),"")))</f>
        <v>#NAME?</v>
      </c>
    </row>
    <row r="3643" spans="2:5" x14ac:dyDescent="0.25">
      <c r="B3643" t="e">
        <f t="shared" ca="1" si="115"/>
        <v>#NAME?</v>
      </c>
      <c r="C3643">
        <v>3600</v>
      </c>
      <c r="D3643" t="e">
        <f t="shared" ca="1" si="114"/>
        <v>#NAME?</v>
      </c>
      <c r="E3643" s="115" t="e">
        <f t="array" aca="1" ref="E3643" ca="1">IF(OR(C3642=0,AND(B3644=0,C3644=0)),"",IFERROR(INDEX($F$27:$F$36,MATCH(C3643,($F$27:$F$36)*($D$27:$D$36&lt;&gt;0),0)),IF(OR(AND(D3643=0,B3643=0,B3644&lt;&gt;0),AND(D3643*D3642&lt;0,B3643&lt;&gt;0)),IF(D3643=0,C3643,C3643*(1-ABS(D3643)/(ABS(D3643)+ABS(D3642)))+C3642*(1-ABS(D3642)/(ABS(D3643)+ABS(D3642)))),"")))</f>
        <v>#NAME?</v>
      </c>
    </row>
    <row r="3644" spans="2:5" x14ac:dyDescent="0.25">
      <c r="B3644" t="e">
        <f t="shared" ca="1" si="115"/>
        <v>#NAME?</v>
      </c>
      <c r="C3644">
        <v>3601</v>
      </c>
      <c r="D3644" t="e">
        <f t="shared" ca="1" si="114"/>
        <v>#NAME?</v>
      </c>
      <c r="E3644" s="115" t="e">
        <f t="array" aca="1" ref="E3644" ca="1">IF(OR(C3643=0,AND(B3645=0,C3645=0)),"",IFERROR(INDEX($F$27:$F$36,MATCH(C3644,($F$27:$F$36)*($D$27:$D$36&lt;&gt;0),0)),IF(OR(AND(D3644=0,B3644=0,B3645&lt;&gt;0),AND(D3644*D3643&lt;0,B3644&lt;&gt;0)),IF(D3644=0,C3644,C3644*(1-ABS(D3644)/(ABS(D3644)+ABS(D3643)))+C3643*(1-ABS(D3643)/(ABS(D3644)+ABS(D3643)))),"")))</f>
        <v>#NAME?</v>
      </c>
    </row>
    <row r="3645" spans="2:5" x14ac:dyDescent="0.25">
      <c r="B3645" t="e">
        <f t="shared" ca="1" si="115"/>
        <v>#NAME?</v>
      </c>
      <c r="C3645">
        <v>3602</v>
      </c>
      <c r="D3645" t="e">
        <f t="shared" ca="1" si="114"/>
        <v>#NAME?</v>
      </c>
      <c r="E3645" s="115" t="e">
        <f t="array" aca="1" ref="E3645" ca="1">IF(OR(C3644=0,AND(B3646=0,C3646=0)),"",IFERROR(INDEX($F$27:$F$36,MATCH(C3645,($F$27:$F$36)*($D$27:$D$36&lt;&gt;0),0)),IF(OR(AND(D3645=0,B3645=0,B3646&lt;&gt;0),AND(D3645*D3644&lt;0,B3645&lt;&gt;0)),IF(D3645=0,C3645,C3645*(1-ABS(D3645)/(ABS(D3645)+ABS(D3644)))+C3644*(1-ABS(D3644)/(ABS(D3645)+ABS(D3644)))),"")))</f>
        <v>#NAME?</v>
      </c>
    </row>
    <row r="3646" spans="2:5" x14ac:dyDescent="0.25">
      <c r="B3646" t="e">
        <f t="shared" ca="1" si="115"/>
        <v>#NAME?</v>
      </c>
      <c r="C3646">
        <v>3603</v>
      </c>
      <c r="D3646" t="e">
        <f t="shared" ca="1" si="114"/>
        <v>#NAME?</v>
      </c>
      <c r="E3646" s="115" t="e">
        <f t="array" aca="1" ref="E3646" ca="1">IF(OR(C3645=0,AND(B3647=0,C3647=0)),"",IFERROR(INDEX($F$27:$F$36,MATCH(C3646,($F$27:$F$36)*($D$27:$D$36&lt;&gt;0),0)),IF(OR(AND(D3646=0,B3646=0,B3647&lt;&gt;0),AND(D3646*D3645&lt;0,B3646&lt;&gt;0)),IF(D3646=0,C3646,C3646*(1-ABS(D3646)/(ABS(D3646)+ABS(D3645)))+C3645*(1-ABS(D3645)/(ABS(D3646)+ABS(D3645)))),"")))</f>
        <v>#NAME?</v>
      </c>
    </row>
    <row r="3647" spans="2:5" x14ac:dyDescent="0.25">
      <c r="B3647" t="e">
        <f t="shared" ca="1" si="115"/>
        <v>#NAME?</v>
      </c>
      <c r="C3647">
        <v>3604</v>
      </c>
      <c r="D3647" t="e">
        <f t="shared" ca="1" si="114"/>
        <v>#NAME?</v>
      </c>
      <c r="E3647" s="115" t="e">
        <f t="array" aca="1" ref="E3647" ca="1">IF(OR(C3646=0,AND(B3648=0,C3648=0)),"",IFERROR(INDEX($F$27:$F$36,MATCH(C3647,($F$27:$F$36)*($D$27:$D$36&lt;&gt;0),0)),IF(OR(AND(D3647=0,B3647=0,B3648&lt;&gt;0),AND(D3647*D3646&lt;0,B3647&lt;&gt;0)),IF(D3647=0,C3647,C3647*(1-ABS(D3647)/(ABS(D3647)+ABS(D3646)))+C3646*(1-ABS(D3646)/(ABS(D3647)+ABS(D3646)))),"")))</f>
        <v>#NAME?</v>
      </c>
    </row>
    <row r="3648" spans="2:5" x14ac:dyDescent="0.25">
      <c r="B3648" t="e">
        <f t="shared" ca="1" si="115"/>
        <v>#NAME?</v>
      </c>
      <c r="C3648">
        <v>3605</v>
      </c>
      <c r="D3648" t="e">
        <f t="shared" ca="1" si="114"/>
        <v>#NAME?</v>
      </c>
      <c r="E3648" s="115" t="e">
        <f t="array" aca="1" ref="E3648" ca="1">IF(OR(C3647=0,AND(B3649=0,C3649=0)),"",IFERROR(INDEX($F$27:$F$36,MATCH(C3648,($F$27:$F$36)*($D$27:$D$36&lt;&gt;0),0)),IF(OR(AND(D3648=0,B3648=0,B3649&lt;&gt;0),AND(D3648*D3647&lt;0,B3648&lt;&gt;0)),IF(D3648=0,C3648,C3648*(1-ABS(D3648)/(ABS(D3648)+ABS(D3647)))+C3647*(1-ABS(D3647)/(ABS(D3648)+ABS(D3647)))),"")))</f>
        <v>#NAME?</v>
      </c>
    </row>
    <row r="3649" spans="2:5" x14ac:dyDescent="0.25">
      <c r="B3649" t="e">
        <f t="shared" ca="1" si="115"/>
        <v>#NAME?</v>
      </c>
      <c r="C3649">
        <v>3606</v>
      </c>
      <c r="D3649" t="e">
        <f t="shared" ca="1" si="114"/>
        <v>#NAME?</v>
      </c>
      <c r="E3649" s="115" t="e">
        <f t="array" aca="1" ref="E3649" ca="1">IF(OR(C3648=0,AND(B3650=0,C3650=0)),"",IFERROR(INDEX($F$27:$F$36,MATCH(C3649,($F$27:$F$36)*($D$27:$D$36&lt;&gt;0),0)),IF(OR(AND(D3649=0,B3649=0,B3650&lt;&gt;0),AND(D3649*D3648&lt;0,B3649&lt;&gt;0)),IF(D3649=0,C3649,C3649*(1-ABS(D3649)/(ABS(D3649)+ABS(D3648)))+C3648*(1-ABS(D3648)/(ABS(D3649)+ABS(D3648)))),"")))</f>
        <v>#NAME?</v>
      </c>
    </row>
    <row r="3650" spans="2:5" x14ac:dyDescent="0.25">
      <c r="B3650" t="e">
        <f t="shared" ca="1" si="115"/>
        <v>#NAME?</v>
      </c>
      <c r="C3650">
        <v>3607</v>
      </c>
      <c r="D3650" t="e">
        <f t="shared" ca="1" si="114"/>
        <v>#NAME?</v>
      </c>
      <c r="E3650" s="115" t="e">
        <f t="array" aca="1" ref="E3650" ca="1">IF(OR(C3649=0,AND(B3651=0,C3651=0)),"",IFERROR(INDEX($F$27:$F$36,MATCH(C3650,($F$27:$F$36)*($D$27:$D$36&lt;&gt;0),0)),IF(OR(AND(D3650=0,B3650=0,B3651&lt;&gt;0),AND(D3650*D3649&lt;0,B3650&lt;&gt;0)),IF(D3650=0,C3650,C3650*(1-ABS(D3650)/(ABS(D3650)+ABS(D3649)))+C3649*(1-ABS(D3649)/(ABS(D3650)+ABS(D3649)))),"")))</f>
        <v>#NAME?</v>
      </c>
    </row>
    <row r="3651" spans="2:5" x14ac:dyDescent="0.25">
      <c r="B3651" t="e">
        <f t="shared" ca="1" si="115"/>
        <v>#NAME?</v>
      </c>
      <c r="C3651">
        <v>3608</v>
      </c>
      <c r="D3651" t="e">
        <f t="shared" ca="1" si="114"/>
        <v>#NAME?</v>
      </c>
      <c r="E3651" s="115" t="e">
        <f t="array" aca="1" ref="E3651" ca="1">IF(OR(C3650=0,AND(B3652=0,C3652=0)),"",IFERROR(INDEX($F$27:$F$36,MATCH(C3651,($F$27:$F$36)*($D$27:$D$36&lt;&gt;0),0)),IF(OR(AND(D3651=0,B3651=0,B3652&lt;&gt;0),AND(D3651*D3650&lt;0,B3651&lt;&gt;0)),IF(D3651=0,C3651,C3651*(1-ABS(D3651)/(ABS(D3651)+ABS(D3650)))+C3650*(1-ABS(D3650)/(ABS(D3651)+ABS(D3650)))),"")))</f>
        <v>#NAME?</v>
      </c>
    </row>
    <row r="3652" spans="2:5" x14ac:dyDescent="0.25">
      <c r="B3652" t="e">
        <f t="shared" ca="1" si="115"/>
        <v>#NAME?</v>
      </c>
      <c r="C3652">
        <v>3609</v>
      </c>
      <c r="D3652" t="e">
        <f t="shared" ca="1" si="114"/>
        <v>#NAME?</v>
      </c>
      <c r="E3652" s="115" t="e">
        <f t="array" aca="1" ref="E3652" ca="1">IF(OR(C3651=0,AND(B3653=0,C3653=0)),"",IFERROR(INDEX($F$27:$F$36,MATCH(C3652,($F$27:$F$36)*($D$27:$D$36&lt;&gt;0),0)),IF(OR(AND(D3652=0,B3652=0,B3653&lt;&gt;0),AND(D3652*D3651&lt;0,B3652&lt;&gt;0)),IF(D3652=0,C3652,C3652*(1-ABS(D3652)/(ABS(D3652)+ABS(D3651)))+C3651*(1-ABS(D3651)/(ABS(D3652)+ABS(D3651)))),"")))</f>
        <v>#NAME?</v>
      </c>
    </row>
    <row r="3653" spans="2:5" x14ac:dyDescent="0.25">
      <c r="B3653" t="e">
        <f t="shared" ca="1" si="115"/>
        <v>#NAME?</v>
      </c>
      <c r="C3653">
        <v>3610</v>
      </c>
      <c r="D3653" t="e">
        <f t="shared" ca="1" si="114"/>
        <v>#NAME?</v>
      </c>
      <c r="E3653" s="115" t="e">
        <f t="array" aca="1" ref="E3653" ca="1">IF(OR(C3652=0,AND(B3654=0,C3654=0)),"",IFERROR(INDEX($F$27:$F$36,MATCH(C3653,($F$27:$F$36)*($D$27:$D$36&lt;&gt;0),0)),IF(OR(AND(D3653=0,B3653=0,B3654&lt;&gt;0),AND(D3653*D3652&lt;0,B3653&lt;&gt;0)),IF(D3653=0,C3653,C3653*(1-ABS(D3653)/(ABS(D3653)+ABS(D3652)))+C3652*(1-ABS(D3652)/(ABS(D3653)+ABS(D3652)))),"")))</f>
        <v>#NAME?</v>
      </c>
    </row>
    <row r="3654" spans="2:5" x14ac:dyDescent="0.25">
      <c r="B3654" t="e">
        <f t="shared" ca="1" si="115"/>
        <v>#NAME?</v>
      </c>
      <c r="C3654">
        <v>3611</v>
      </c>
      <c r="D3654" t="e">
        <f t="shared" ca="1" si="114"/>
        <v>#NAME?</v>
      </c>
      <c r="E3654" s="115" t="e">
        <f t="array" aca="1" ref="E3654" ca="1">IF(OR(C3653=0,AND(B3655=0,C3655=0)),"",IFERROR(INDEX($F$27:$F$36,MATCH(C3654,($F$27:$F$36)*($D$27:$D$36&lt;&gt;0),0)),IF(OR(AND(D3654=0,B3654=0,B3655&lt;&gt;0),AND(D3654*D3653&lt;0,B3654&lt;&gt;0)),IF(D3654=0,C3654,C3654*(1-ABS(D3654)/(ABS(D3654)+ABS(D3653)))+C3653*(1-ABS(D3653)/(ABS(D3654)+ABS(D3653)))),"")))</f>
        <v>#NAME?</v>
      </c>
    </row>
    <row r="3655" spans="2:5" x14ac:dyDescent="0.25">
      <c r="B3655" t="e">
        <f t="shared" ca="1" si="115"/>
        <v>#NAME?</v>
      </c>
      <c r="C3655">
        <v>3612</v>
      </c>
      <c r="D3655" t="e">
        <f t="shared" ca="1" si="114"/>
        <v>#NAME?</v>
      </c>
      <c r="E3655" s="115" t="e">
        <f t="array" aca="1" ref="E3655" ca="1">IF(OR(C3654=0,AND(B3656=0,C3656=0)),"",IFERROR(INDEX($F$27:$F$36,MATCH(C3655,($F$27:$F$36)*($D$27:$D$36&lt;&gt;0),0)),IF(OR(AND(D3655=0,B3655=0,B3656&lt;&gt;0),AND(D3655*D3654&lt;0,B3655&lt;&gt;0)),IF(D3655=0,C3655,C3655*(1-ABS(D3655)/(ABS(D3655)+ABS(D3654)))+C3654*(1-ABS(D3654)/(ABS(D3655)+ABS(D3654)))),"")))</f>
        <v>#NAME?</v>
      </c>
    </row>
    <row r="3656" spans="2:5" x14ac:dyDescent="0.25">
      <c r="B3656" t="e">
        <f t="shared" ca="1" si="115"/>
        <v>#NAME?</v>
      </c>
      <c r="C3656">
        <v>3613</v>
      </c>
      <c r="D3656" t="e">
        <f t="shared" ca="1" si="114"/>
        <v>#NAME?</v>
      </c>
      <c r="E3656" s="115" t="e">
        <f t="array" aca="1" ref="E3656" ca="1">IF(OR(C3655=0,AND(B3657=0,C3657=0)),"",IFERROR(INDEX($F$27:$F$36,MATCH(C3656,($F$27:$F$36)*($D$27:$D$36&lt;&gt;0),0)),IF(OR(AND(D3656=0,B3656=0,B3657&lt;&gt;0),AND(D3656*D3655&lt;0,B3656&lt;&gt;0)),IF(D3656=0,C3656,C3656*(1-ABS(D3656)/(ABS(D3656)+ABS(D3655)))+C3655*(1-ABS(D3655)/(ABS(D3656)+ABS(D3655)))),"")))</f>
        <v>#NAME?</v>
      </c>
    </row>
    <row r="3657" spans="2:5" x14ac:dyDescent="0.25">
      <c r="B3657" t="e">
        <f t="shared" ca="1" si="115"/>
        <v>#NAME?</v>
      </c>
      <c r="C3657">
        <v>3614</v>
      </c>
      <c r="D3657" t="e">
        <f t="shared" ca="1" si="114"/>
        <v>#NAME?</v>
      </c>
      <c r="E3657" s="115" t="e">
        <f t="array" aca="1" ref="E3657" ca="1">IF(OR(C3656=0,AND(B3658=0,C3658=0)),"",IFERROR(INDEX($F$27:$F$36,MATCH(C3657,($F$27:$F$36)*($D$27:$D$36&lt;&gt;0),0)),IF(OR(AND(D3657=0,B3657=0,B3658&lt;&gt;0),AND(D3657*D3656&lt;0,B3657&lt;&gt;0)),IF(D3657=0,C3657,C3657*(1-ABS(D3657)/(ABS(D3657)+ABS(D3656)))+C3656*(1-ABS(D3656)/(ABS(D3657)+ABS(D3656)))),"")))</f>
        <v>#NAME?</v>
      </c>
    </row>
    <row r="3658" spans="2:5" x14ac:dyDescent="0.25">
      <c r="B3658" t="e">
        <f t="shared" ca="1" si="115"/>
        <v>#NAME?</v>
      </c>
      <c r="C3658">
        <v>3615</v>
      </c>
      <c r="D3658" t="e">
        <f t="shared" ca="1" si="114"/>
        <v>#NAME?</v>
      </c>
      <c r="E3658" s="115" t="e">
        <f t="array" aca="1" ref="E3658" ca="1">IF(OR(C3657=0,AND(B3659=0,C3659=0)),"",IFERROR(INDEX($F$27:$F$36,MATCH(C3658,($F$27:$F$36)*($D$27:$D$36&lt;&gt;0),0)),IF(OR(AND(D3658=0,B3658=0,B3659&lt;&gt;0),AND(D3658*D3657&lt;0,B3658&lt;&gt;0)),IF(D3658=0,C3658,C3658*(1-ABS(D3658)/(ABS(D3658)+ABS(D3657)))+C3657*(1-ABS(D3657)/(ABS(D3658)+ABS(D3657)))),"")))</f>
        <v>#NAME?</v>
      </c>
    </row>
    <row r="3659" spans="2:5" x14ac:dyDescent="0.25">
      <c r="B3659" t="e">
        <f t="shared" ca="1" si="115"/>
        <v>#NAME?</v>
      </c>
      <c r="C3659">
        <v>3616</v>
      </c>
      <c r="D3659" t="e">
        <f t="shared" ca="1" si="114"/>
        <v>#NAME?</v>
      </c>
      <c r="E3659" s="115" t="e">
        <f t="array" aca="1" ref="E3659" ca="1">IF(OR(C3658=0,AND(B3660=0,C3660=0)),"",IFERROR(INDEX($F$27:$F$36,MATCH(C3659,($F$27:$F$36)*($D$27:$D$36&lt;&gt;0),0)),IF(OR(AND(D3659=0,B3659=0,B3660&lt;&gt;0),AND(D3659*D3658&lt;0,B3659&lt;&gt;0)),IF(D3659=0,C3659,C3659*(1-ABS(D3659)/(ABS(D3659)+ABS(D3658)))+C3658*(1-ABS(D3658)/(ABS(D3659)+ABS(D3658)))),"")))</f>
        <v>#NAME?</v>
      </c>
    </row>
    <row r="3660" spans="2:5" x14ac:dyDescent="0.25">
      <c r="B3660" t="e">
        <f t="shared" ca="1" si="115"/>
        <v>#NAME?</v>
      </c>
      <c r="C3660">
        <v>3617</v>
      </c>
      <c r="D3660" t="e">
        <f t="shared" ca="1" si="114"/>
        <v>#NAME?</v>
      </c>
      <c r="E3660" s="115" t="e">
        <f t="array" aca="1" ref="E3660" ca="1">IF(OR(C3659=0,AND(B3661=0,C3661=0)),"",IFERROR(INDEX($F$27:$F$36,MATCH(C3660,($F$27:$F$36)*($D$27:$D$36&lt;&gt;0),0)),IF(OR(AND(D3660=0,B3660=0,B3661&lt;&gt;0),AND(D3660*D3659&lt;0,B3660&lt;&gt;0)),IF(D3660=0,C3660,C3660*(1-ABS(D3660)/(ABS(D3660)+ABS(D3659)))+C3659*(1-ABS(D3659)/(ABS(D3660)+ABS(D3659)))),"")))</f>
        <v>#NAME?</v>
      </c>
    </row>
    <row r="3661" spans="2:5" x14ac:dyDescent="0.25">
      <c r="B3661" t="e">
        <f t="shared" ca="1" si="115"/>
        <v>#NAME?</v>
      </c>
      <c r="C3661">
        <v>3618</v>
      </c>
      <c r="D3661" t="e">
        <f t="shared" ca="1" si="114"/>
        <v>#NAME?</v>
      </c>
      <c r="E3661" s="115" t="e">
        <f t="array" aca="1" ref="E3661" ca="1">IF(OR(C3660=0,AND(B3662=0,C3662=0)),"",IFERROR(INDEX($F$27:$F$36,MATCH(C3661,($F$27:$F$36)*($D$27:$D$36&lt;&gt;0),0)),IF(OR(AND(D3661=0,B3661=0,B3662&lt;&gt;0),AND(D3661*D3660&lt;0,B3661&lt;&gt;0)),IF(D3661=0,C3661,C3661*(1-ABS(D3661)/(ABS(D3661)+ABS(D3660)))+C3660*(1-ABS(D3660)/(ABS(D3661)+ABS(D3660)))),"")))</f>
        <v>#NAME?</v>
      </c>
    </row>
    <row r="3662" spans="2:5" x14ac:dyDescent="0.25">
      <c r="B3662" t="e">
        <f t="shared" ca="1" si="115"/>
        <v>#NAME?</v>
      </c>
      <c r="C3662">
        <v>3619</v>
      </c>
      <c r="D3662" t="e">
        <f t="shared" ca="1" si="114"/>
        <v>#NAME?</v>
      </c>
      <c r="E3662" s="115" t="e">
        <f t="array" aca="1" ref="E3662" ca="1">IF(OR(C3661=0,AND(B3663=0,C3663=0)),"",IFERROR(INDEX($F$27:$F$36,MATCH(C3662,($F$27:$F$36)*($D$27:$D$36&lt;&gt;0),0)),IF(OR(AND(D3662=0,B3662=0,B3663&lt;&gt;0),AND(D3662*D3661&lt;0,B3662&lt;&gt;0)),IF(D3662=0,C3662,C3662*(1-ABS(D3662)/(ABS(D3662)+ABS(D3661)))+C3661*(1-ABS(D3661)/(ABS(D3662)+ABS(D3661)))),"")))</f>
        <v>#NAME?</v>
      </c>
    </row>
    <row r="3663" spans="2:5" x14ac:dyDescent="0.25">
      <c r="B3663" t="e">
        <f t="shared" ca="1" si="115"/>
        <v>#NAME?</v>
      </c>
      <c r="C3663">
        <v>3620</v>
      </c>
      <c r="D3663" t="e">
        <f t="shared" ca="1" si="114"/>
        <v>#NAME?</v>
      </c>
      <c r="E3663" s="115" t="e">
        <f t="array" aca="1" ref="E3663" ca="1">IF(OR(C3662=0,AND(B3664=0,C3664=0)),"",IFERROR(INDEX($F$27:$F$36,MATCH(C3663,($F$27:$F$36)*($D$27:$D$36&lt;&gt;0),0)),IF(OR(AND(D3663=0,B3663=0,B3664&lt;&gt;0),AND(D3663*D3662&lt;0,B3663&lt;&gt;0)),IF(D3663=0,C3663,C3663*(1-ABS(D3663)/(ABS(D3663)+ABS(D3662)))+C3662*(1-ABS(D3662)/(ABS(D3663)+ABS(D3662)))),"")))</f>
        <v>#NAME?</v>
      </c>
    </row>
    <row r="3664" spans="2:5" x14ac:dyDescent="0.25">
      <c r="B3664" t="e">
        <f t="shared" ca="1" si="115"/>
        <v>#NAME?</v>
      </c>
      <c r="C3664">
        <v>3621</v>
      </c>
      <c r="D3664" t="e">
        <f t="shared" ca="1" si="114"/>
        <v>#NAME?</v>
      </c>
      <c r="E3664" s="115" t="e">
        <f t="array" aca="1" ref="E3664" ca="1">IF(OR(C3663=0,AND(B3665=0,C3665=0)),"",IFERROR(INDEX($F$27:$F$36,MATCH(C3664,($F$27:$F$36)*($D$27:$D$36&lt;&gt;0),0)),IF(OR(AND(D3664=0,B3664=0,B3665&lt;&gt;0),AND(D3664*D3663&lt;0,B3664&lt;&gt;0)),IF(D3664=0,C3664,C3664*(1-ABS(D3664)/(ABS(D3664)+ABS(D3663)))+C3663*(1-ABS(D3663)/(ABS(D3664)+ABS(D3663)))),"")))</f>
        <v>#NAME?</v>
      </c>
    </row>
    <row r="3665" spans="2:5" x14ac:dyDescent="0.25">
      <c r="B3665" t="e">
        <f t="shared" ca="1" si="115"/>
        <v>#NAME?</v>
      </c>
      <c r="C3665">
        <v>3622</v>
      </c>
      <c r="D3665" t="e">
        <f t="shared" ca="1" si="114"/>
        <v>#NAME?</v>
      </c>
      <c r="E3665" s="115" t="e">
        <f t="array" aca="1" ref="E3665" ca="1">IF(OR(C3664=0,AND(B3666=0,C3666=0)),"",IFERROR(INDEX($F$27:$F$36,MATCH(C3665,($F$27:$F$36)*($D$27:$D$36&lt;&gt;0),0)),IF(OR(AND(D3665=0,B3665=0,B3666&lt;&gt;0),AND(D3665*D3664&lt;0,B3665&lt;&gt;0)),IF(D3665=0,C3665,C3665*(1-ABS(D3665)/(ABS(D3665)+ABS(D3664)))+C3664*(1-ABS(D3664)/(ABS(D3665)+ABS(D3664)))),"")))</f>
        <v>#NAME?</v>
      </c>
    </row>
    <row r="3666" spans="2:5" x14ac:dyDescent="0.25">
      <c r="B3666" t="e">
        <f t="shared" ca="1" si="115"/>
        <v>#NAME?</v>
      </c>
      <c r="C3666">
        <v>3623</v>
      </c>
      <c r="D3666" t="e">
        <f t="shared" ca="1" si="114"/>
        <v>#NAME?</v>
      </c>
      <c r="E3666" s="115" t="e">
        <f t="array" aca="1" ref="E3666" ca="1">IF(OR(C3665=0,AND(B3667=0,C3667=0)),"",IFERROR(INDEX($F$27:$F$36,MATCH(C3666,($F$27:$F$36)*($D$27:$D$36&lt;&gt;0),0)),IF(OR(AND(D3666=0,B3666=0,B3667&lt;&gt;0),AND(D3666*D3665&lt;0,B3666&lt;&gt;0)),IF(D3666=0,C3666,C3666*(1-ABS(D3666)/(ABS(D3666)+ABS(D3665)))+C3665*(1-ABS(D3665)/(ABS(D3666)+ABS(D3665)))),"")))</f>
        <v>#NAME?</v>
      </c>
    </row>
    <row r="3667" spans="2:5" x14ac:dyDescent="0.25">
      <c r="B3667" t="e">
        <f t="shared" ca="1" si="115"/>
        <v>#NAME?</v>
      </c>
      <c r="C3667">
        <v>3624</v>
      </c>
      <c r="D3667" t="e">
        <f t="shared" ca="1" si="114"/>
        <v>#NAME?</v>
      </c>
      <c r="E3667" s="115" t="e">
        <f t="array" aca="1" ref="E3667" ca="1">IF(OR(C3666=0,AND(B3668=0,C3668=0)),"",IFERROR(INDEX($F$27:$F$36,MATCH(C3667,($F$27:$F$36)*($D$27:$D$36&lt;&gt;0),0)),IF(OR(AND(D3667=0,B3667=0,B3668&lt;&gt;0),AND(D3667*D3666&lt;0,B3667&lt;&gt;0)),IF(D3667=0,C3667,C3667*(1-ABS(D3667)/(ABS(D3667)+ABS(D3666)))+C3666*(1-ABS(D3666)/(ABS(D3667)+ABS(D3666)))),"")))</f>
        <v>#NAME?</v>
      </c>
    </row>
    <row r="3668" spans="2:5" x14ac:dyDescent="0.25">
      <c r="B3668" t="e">
        <f t="shared" ca="1" si="115"/>
        <v>#NAME?</v>
      </c>
      <c r="C3668">
        <v>3625</v>
      </c>
      <c r="D3668" t="e">
        <f t="shared" ca="1" si="114"/>
        <v>#NAME?</v>
      </c>
      <c r="E3668" s="115" t="e">
        <f t="array" aca="1" ref="E3668" ca="1">IF(OR(C3667=0,AND(B3669=0,C3669=0)),"",IFERROR(INDEX($F$27:$F$36,MATCH(C3668,($F$27:$F$36)*($D$27:$D$36&lt;&gt;0),0)),IF(OR(AND(D3668=0,B3668=0,B3669&lt;&gt;0),AND(D3668*D3667&lt;0,B3668&lt;&gt;0)),IF(D3668=0,C3668,C3668*(1-ABS(D3668)/(ABS(D3668)+ABS(D3667)))+C3667*(1-ABS(D3667)/(ABS(D3668)+ABS(D3667)))),"")))</f>
        <v>#NAME?</v>
      </c>
    </row>
    <row r="3669" spans="2:5" x14ac:dyDescent="0.25">
      <c r="B3669" t="e">
        <f t="shared" ca="1" si="115"/>
        <v>#NAME?</v>
      </c>
      <c r="C3669">
        <v>3626</v>
      </c>
      <c r="D3669" t="e">
        <f t="shared" ca="1" si="114"/>
        <v>#NAME?</v>
      </c>
      <c r="E3669" s="115" t="e">
        <f t="array" aca="1" ref="E3669" ca="1">IF(OR(C3668=0,AND(B3670=0,C3670=0)),"",IFERROR(INDEX($F$27:$F$36,MATCH(C3669,($F$27:$F$36)*($D$27:$D$36&lt;&gt;0),0)),IF(OR(AND(D3669=0,B3669=0,B3670&lt;&gt;0),AND(D3669*D3668&lt;0,B3669&lt;&gt;0)),IF(D3669=0,C3669,C3669*(1-ABS(D3669)/(ABS(D3669)+ABS(D3668)))+C3668*(1-ABS(D3668)/(ABS(D3669)+ABS(D3668)))),"")))</f>
        <v>#NAME?</v>
      </c>
    </row>
    <row r="3670" spans="2:5" x14ac:dyDescent="0.25">
      <c r="B3670" t="e">
        <f t="shared" ca="1" si="115"/>
        <v>#NAME?</v>
      </c>
      <c r="C3670">
        <v>3627</v>
      </c>
      <c r="D3670" t="e">
        <f t="shared" ca="1" si="114"/>
        <v>#NAME?</v>
      </c>
      <c r="E3670" s="115" t="e">
        <f t="array" aca="1" ref="E3670" ca="1">IF(OR(C3669=0,AND(B3671=0,C3671=0)),"",IFERROR(INDEX($F$27:$F$36,MATCH(C3670,($F$27:$F$36)*($D$27:$D$36&lt;&gt;0),0)),IF(OR(AND(D3670=0,B3670=0,B3671&lt;&gt;0),AND(D3670*D3669&lt;0,B3670&lt;&gt;0)),IF(D3670=0,C3670,C3670*(1-ABS(D3670)/(ABS(D3670)+ABS(D3669)))+C3669*(1-ABS(D3669)/(ABS(D3670)+ABS(D3669)))),"")))</f>
        <v>#NAME?</v>
      </c>
    </row>
    <row r="3671" spans="2:5" x14ac:dyDescent="0.25">
      <c r="B3671" t="e">
        <f t="shared" ca="1" si="115"/>
        <v>#NAME?</v>
      </c>
      <c r="C3671">
        <v>3628</v>
      </c>
      <c r="D3671" t="e">
        <f t="shared" ca="1" si="114"/>
        <v>#NAME?</v>
      </c>
      <c r="E3671" s="115" t="e">
        <f t="array" aca="1" ref="E3671" ca="1">IF(OR(C3670=0,AND(B3672=0,C3672=0)),"",IFERROR(INDEX($F$27:$F$36,MATCH(C3671,($F$27:$F$36)*($D$27:$D$36&lt;&gt;0),0)),IF(OR(AND(D3671=0,B3671=0,B3672&lt;&gt;0),AND(D3671*D3670&lt;0,B3671&lt;&gt;0)),IF(D3671=0,C3671,C3671*(1-ABS(D3671)/(ABS(D3671)+ABS(D3670)))+C3670*(1-ABS(D3670)/(ABS(D3671)+ABS(D3670)))),"")))</f>
        <v>#NAME?</v>
      </c>
    </row>
    <row r="3672" spans="2:5" x14ac:dyDescent="0.25">
      <c r="B3672" t="e">
        <f t="shared" ca="1" si="115"/>
        <v>#NAME?</v>
      </c>
      <c r="C3672">
        <v>3629</v>
      </c>
      <c r="D3672" t="e">
        <f t="shared" ca="1" si="114"/>
        <v>#NAME?</v>
      </c>
      <c r="E3672" s="115" t="e">
        <f t="array" aca="1" ref="E3672" ca="1">IF(OR(C3671=0,AND(B3673=0,C3673=0)),"",IFERROR(INDEX($F$27:$F$36,MATCH(C3672,($F$27:$F$36)*($D$27:$D$36&lt;&gt;0),0)),IF(OR(AND(D3672=0,B3672=0,B3673&lt;&gt;0),AND(D3672*D3671&lt;0,B3672&lt;&gt;0)),IF(D3672=0,C3672,C3672*(1-ABS(D3672)/(ABS(D3672)+ABS(D3671)))+C3671*(1-ABS(D3671)/(ABS(D3672)+ABS(D3671)))),"")))</f>
        <v>#NAME?</v>
      </c>
    </row>
    <row r="3673" spans="2:5" x14ac:dyDescent="0.25">
      <c r="B3673" t="e">
        <f t="shared" ca="1" si="115"/>
        <v>#NAME?</v>
      </c>
      <c r="C3673">
        <v>3630</v>
      </c>
      <c r="D3673" t="e">
        <f t="shared" ca="1" si="114"/>
        <v>#NAME?</v>
      </c>
      <c r="E3673" s="115" t="e">
        <f t="array" aca="1" ref="E3673" ca="1">IF(OR(C3672=0,AND(B3674=0,C3674=0)),"",IFERROR(INDEX($F$27:$F$36,MATCH(C3673,($F$27:$F$36)*($D$27:$D$36&lt;&gt;0),0)),IF(OR(AND(D3673=0,B3673=0,B3674&lt;&gt;0),AND(D3673*D3672&lt;0,B3673&lt;&gt;0)),IF(D3673=0,C3673,C3673*(1-ABS(D3673)/(ABS(D3673)+ABS(D3672)))+C3672*(1-ABS(D3672)/(ABS(D3673)+ABS(D3672)))),"")))</f>
        <v>#NAME?</v>
      </c>
    </row>
    <row r="3674" spans="2:5" x14ac:dyDescent="0.25">
      <c r="B3674" t="e">
        <f t="shared" ca="1" si="115"/>
        <v>#NAME?</v>
      </c>
      <c r="C3674">
        <v>3631</v>
      </c>
      <c r="D3674" t="e">
        <f t="shared" ca="1" si="114"/>
        <v>#NAME?</v>
      </c>
      <c r="E3674" s="115" t="e">
        <f t="array" aca="1" ref="E3674" ca="1">IF(OR(C3673=0,AND(B3675=0,C3675=0)),"",IFERROR(INDEX($F$27:$F$36,MATCH(C3674,($F$27:$F$36)*($D$27:$D$36&lt;&gt;0),0)),IF(OR(AND(D3674=0,B3674=0,B3675&lt;&gt;0),AND(D3674*D3673&lt;0,B3674&lt;&gt;0)),IF(D3674=0,C3674,C3674*(1-ABS(D3674)/(ABS(D3674)+ABS(D3673)))+C3673*(1-ABS(D3673)/(ABS(D3674)+ABS(D3673)))),"")))</f>
        <v>#NAME?</v>
      </c>
    </row>
    <row r="3675" spans="2:5" x14ac:dyDescent="0.25">
      <c r="B3675" t="e">
        <f t="shared" ca="1" si="115"/>
        <v>#NAME?</v>
      </c>
      <c r="C3675">
        <v>3632</v>
      </c>
      <c r="D3675" t="e">
        <f t="shared" ca="1" si="114"/>
        <v>#NAME?</v>
      </c>
      <c r="E3675" s="115" t="e">
        <f t="array" aca="1" ref="E3675" ca="1">IF(OR(C3674=0,AND(B3676=0,C3676=0)),"",IFERROR(INDEX($F$27:$F$36,MATCH(C3675,($F$27:$F$36)*($D$27:$D$36&lt;&gt;0),0)),IF(OR(AND(D3675=0,B3675=0,B3676&lt;&gt;0),AND(D3675*D3674&lt;0,B3675&lt;&gt;0)),IF(D3675=0,C3675,C3675*(1-ABS(D3675)/(ABS(D3675)+ABS(D3674)))+C3674*(1-ABS(D3674)/(ABS(D3675)+ABS(D3674)))),"")))</f>
        <v>#NAME?</v>
      </c>
    </row>
    <row r="3676" spans="2:5" x14ac:dyDescent="0.25">
      <c r="B3676" t="e">
        <f t="shared" ca="1" si="115"/>
        <v>#NAME?</v>
      </c>
      <c r="C3676">
        <v>3633</v>
      </c>
      <c r="D3676" t="e">
        <f t="shared" ca="1" si="114"/>
        <v>#NAME?</v>
      </c>
      <c r="E3676" s="115" t="e">
        <f t="array" aca="1" ref="E3676" ca="1">IF(OR(C3675=0,AND(B3677=0,C3677=0)),"",IFERROR(INDEX($F$27:$F$36,MATCH(C3676,($F$27:$F$36)*($D$27:$D$36&lt;&gt;0),0)),IF(OR(AND(D3676=0,B3676=0,B3677&lt;&gt;0),AND(D3676*D3675&lt;0,B3676&lt;&gt;0)),IF(D3676=0,C3676,C3676*(1-ABS(D3676)/(ABS(D3676)+ABS(D3675)))+C3675*(1-ABS(D3675)/(ABS(D3676)+ABS(D3675)))),"")))</f>
        <v>#NAME?</v>
      </c>
    </row>
    <row r="3677" spans="2:5" x14ac:dyDescent="0.25">
      <c r="B3677" t="e">
        <f t="shared" ca="1" si="115"/>
        <v>#NAME?</v>
      </c>
      <c r="C3677">
        <v>3634</v>
      </c>
      <c r="D3677" t="e">
        <f t="shared" ca="1" si="114"/>
        <v>#NAME?</v>
      </c>
      <c r="E3677" s="115" t="e">
        <f t="array" aca="1" ref="E3677" ca="1">IF(OR(C3676=0,AND(B3678=0,C3678=0)),"",IFERROR(INDEX($F$27:$F$36,MATCH(C3677,($F$27:$F$36)*($D$27:$D$36&lt;&gt;0),0)),IF(OR(AND(D3677=0,B3677=0,B3678&lt;&gt;0),AND(D3677*D3676&lt;0,B3677&lt;&gt;0)),IF(D3677=0,C3677,C3677*(1-ABS(D3677)/(ABS(D3677)+ABS(D3676)))+C3676*(1-ABS(D3676)/(ABS(D3677)+ABS(D3676)))),"")))</f>
        <v>#NAME?</v>
      </c>
    </row>
    <row r="3678" spans="2:5" x14ac:dyDescent="0.25">
      <c r="B3678" t="e">
        <f t="shared" ca="1" si="115"/>
        <v>#NAME?</v>
      </c>
      <c r="C3678">
        <v>3635</v>
      </c>
      <c r="D3678" t="e">
        <f t="shared" ca="1" si="114"/>
        <v>#NAME?</v>
      </c>
      <c r="E3678" s="115" t="e">
        <f t="array" aca="1" ref="E3678" ca="1">IF(OR(C3677=0,AND(B3679=0,C3679=0)),"",IFERROR(INDEX($F$27:$F$36,MATCH(C3678,($F$27:$F$36)*($D$27:$D$36&lt;&gt;0),0)),IF(OR(AND(D3678=0,B3678=0,B3679&lt;&gt;0),AND(D3678*D3677&lt;0,B3678&lt;&gt;0)),IF(D3678=0,C3678,C3678*(1-ABS(D3678)/(ABS(D3678)+ABS(D3677)))+C3677*(1-ABS(D3677)/(ABS(D3678)+ABS(D3677)))),"")))</f>
        <v>#NAME?</v>
      </c>
    </row>
    <row r="3679" spans="2:5" x14ac:dyDescent="0.25">
      <c r="B3679" t="e">
        <f t="shared" ca="1" si="115"/>
        <v>#NAME?</v>
      </c>
      <c r="C3679">
        <v>3636</v>
      </c>
      <c r="D3679" t="e">
        <f t="shared" ca="1" si="114"/>
        <v>#NAME?</v>
      </c>
      <c r="E3679" s="115" t="e">
        <f t="array" aca="1" ref="E3679" ca="1">IF(OR(C3678=0,AND(B3680=0,C3680=0)),"",IFERROR(INDEX($F$27:$F$36,MATCH(C3679,($F$27:$F$36)*($D$27:$D$36&lt;&gt;0),0)),IF(OR(AND(D3679=0,B3679=0,B3680&lt;&gt;0),AND(D3679*D3678&lt;0,B3679&lt;&gt;0)),IF(D3679=0,C3679,C3679*(1-ABS(D3679)/(ABS(D3679)+ABS(D3678)))+C3678*(1-ABS(D3678)/(ABS(D3679)+ABS(D3678)))),"")))</f>
        <v>#NAME?</v>
      </c>
    </row>
    <row r="3680" spans="2:5" x14ac:dyDescent="0.25">
      <c r="B3680" t="e">
        <f t="shared" ca="1" si="115"/>
        <v>#NAME?</v>
      </c>
      <c r="C3680">
        <v>3637</v>
      </c>
      <c r="D3680" t="e">
        <f t="shared" ca="1" si="114"/>
        <v>#NAME?</v>
      </c>
      <c r="E3680" s="115" t="e">
        <f t="array" aca="1" ref="E3680" ca="1">IF(OR(C3679=0,AND(B3681=0,C3681=0)),"",IFERROR(INDEX($F$27:$F$36,MATCH(C3680,($F$27:$F$36)*($D$27:$D$36&lt;&gt;0),0)),IF(OR(AND(D3680=0,B3680=0,B3681&lt;&gt;0),AND(D3680*D3679&lt;0,B3680&lt;&gt;0)),IF(D3680=0,C3680,C3680*(1-ABS(D3680)/(ABS(D3680)+ABS(D3679)))+C3679*(1-ABS(D3679)/(ABS(D3680)+ABS(D3679)))),"")))</f>
        <v>#NAME?</v>
      </c>
    </row>
    <row r="3681" spans="2:5" x14ac:dyDescent="0.25">
      <c r="B3681" t="e">
        <f t="shared" ca="1" si="115"/>
        <v>#NAME?</v>
      </c>
      <c r="C3681">
        <v>3638</v>
      </c>
      <c r="D3681" t="e">
        <f t="shared" ca="1" si="114"/>
        <v>#NAME?</v>
      </c>
      <c r="E3681" s="115" t="e">
        <f t="array" aca="1" ref="E3681" ca="1">IF(OR(C3680=0,AND(B3682=0,C3682=0)),"",IFERROR(INDEX($F$27:$F$36,MATCH(C3681,($F$27:$F$36)*($D$27:$D$36&lt;&gt;0),0)),IF(OR(AND(D3681=0,B3681=0,B3682&lt;&gt;0),AND(D3681*D3680&lt;0,B3681&lt;&gt;0)),IF(D3681=0,C3681,C3681*(1-ABS(D3681)/(ABS(D3681)+ABS(D3680)))+C3680*(1-ABS(D3680)/(ABS(D3681)+ABS(D3680)))),"")))</f>
        <v>#NAME?</v>
      </c>
    </row>
    <row r="3682" spans="2:5" x14ac:dyDescent="0.25">
      <c r="B3682" t="e">
        <f t="shared" ca="1" si="115"/>
        <v>#NAME?</v>
      </c>
      <c r="C3682">
        <v>3639</v>
      </c>
      <c r="D3682" t="e">
        <f t="shared" ca="1" si="114"/>
        <v>#NAME?</v>
      </c>
      <c r="E3682" s="115" t="e">
        <f t="array" aca="1" ref="E3682" ca="1">IF(OR(C3681=0,AND(B3683=0,C3683=0)),"",IFERROR(INDEX($F$27:$F$36,MATCH(C3682,($F$27:$F$36)*($D$27:$D$36&lt;&gt;0),0)),IF(OR(AND(D3682=0,B3682=0,B3683&lt;&gt;0),AND(D3682*D3681&lt;0,B3682&lt;&gt;0)),IF(D3682=0,C3682,C3682*(1-ABS(D3682)/(ABS(D3682)+ABS(D3681)))+C3681*(1-ABS(D3681)/(ABS(D3682)+ABS(D3681)))),"")))</f>
        <v>#NAME?</v>
      </c>
    </row>
    <row r="3683" spans="2:5" x14ac:dyDescent="0.25">
      <c r="B3683" t="e">
        <f t="shared" ca="1" si="115"/>
        <v>#NAME?</v>
      </c>
      <c r="C3683">
        <v>3640</v>
      </c>
      <c r="D3683" t="e">
        <f t="shared" ca="1" si="114"/>
        <v>#NAME?</v>
      </c>
      <c r="E3683" s="115" t="e">
        <f t="array" aca="1" ref="E3683" ca="1">IF(OR(C3682=0,AND(B3684=0,C3684=0)),"",IFERROR(INDEX($F$27:$F$36,MATCH(C3683,($F$27:$F$36)*($D$27:$D$36&lt;&gt;0),0)),IF(OR(AND(D3683=0,B3683=0,B3684&lt;&gt;0),AND(D3683*D3682&lt;0,B3683&lt;&gt;0)),IF(D3683=0,C3683,C3683*(1-ABS(D3683)/(ABS(D3683)+ABS(D3682)))+C3682*(1-ABS(D3682)/(ABS(D3683)+ABS(D3682)))),"")))</f>
        <v>#NAME?</v>
      </c>
    </row>
    <row r="3684" spans="2:5" x14ac:dyDescent="0.25">
      <c r="B3684" t="e">
        <f t="shared" ca="1" si="115"/>
        <v>#NAME?</v>
      </c>
      <c r="C3684">
        <v>3641</v>
      </c>
      <c r="D3684" t="e">
        <f t="shared" ca="1" si="114"/>
        <v>#NAME?</v>
      </c>
      <c r="E3684" s="115" t="e">
        <f t="array" aca="1" ref="E3684" ca="1">IF(OR(C3683=0,AND(B3685=0,C3685=0)),"",IFERROR(INDEX($F$27:$F$36,MATCH(C3684,($F$27:$F$36)*($D$27:$D$36&lt;&gt;0),0)),IF(OR(AND(D3684=0,B3684=0,B3685&lt;&gt;0),AND(D3684*D3683&lt;0,B3684&lt;&gt;0)),IF(D3684=0,C3684,C3684*(1-ABS(D3684)/(ABS(D3684)+ABS(D3683)))+C3683*(1-ABS(D3683)/(ABS(D3684)+ABS(D3683)))),"")))</f>
        <v>#NAME?</v>
      </c>
    </row>
    <row r="3685" spans="2:5" x14ac:dyDescent="0.25">
      <c r="B3685" t="e">
        <f t="shared" ca="1" si="115"/>
        <v>#NAME?</v>
      </c>
      <c r="C3685">
        <v>3642</v>
      </c>
      <c r="D3685" t="e">
        <f t="shared" ca="1" si="114"/>
        <v>#NAME?</v>
      </c>
      <c r="E3685" s="115" t="e">
        <f t="array" aca="1" ref="E3685" ca="1">IF(OR(C3684=0,AND(B3686=0,C3686=0)),"",IFERROR(INDEX($F$27:$F$36,MATCH(C3685,($F$27:$F$36)*($D$27:$D$36&lt;&gt;0),0)),IF(OR(AND(D3685=0,B3685=0,B3686&lt;&gt;0),AND(D3685*D3684&lt;0,B3685&lt;&gt;0)),IF(D3685=0,C3685,C3685*(1-ABS(D3685)/(ABS(D3685)+ABS(D3684)))+C3684*(1-ABS(D3684)/(ABS(D3685)+ABS(D3684)))),"")))</f>
        <v>#NAME?</v>
      </c>
    </row>
    <row r="3686" spans="2:5" x14ac:dyDescent="0.25">
      <c r="B3686" t="e">
        <f t="shared" ca="1" si="115"/>
        <v>#NAME?</v>
      </c>
      <c r="C3686">
        <v>3643</v>
      </c>
      <c r="D3686" t="e">
        <f t="shared" ca="1" si="114"/>
        <v>#NAME?</v>
      </c>
      <c r="E3686" s="115" t="e">
        <f t="array" aca="1" ref="E3686" ca="1">IF(OR(C3685=0,AND(B3687=0,C3687=0)),"",IFERROR(INDEX($F$27:$F$36,MATCH(C3686,($F$27:$F$36)*($D$27:$D$36&lt;&gt;0),0)),IF(OR(AND(D3686=0,B3686=0,B3687&lt;&gt;0),AND(D3686*D3685&lt;0,B3686&lt;&gt;0)),IF(D3686=0,C3686,C3686*(1-ABS(D3686)/(ABS(D3686)+ABS(D3685)))+C3685*(1-ABS(D3685)/(ABS(D3686)+ABS(D3685)))),"")))</f>
        <v>#NAME?</v>
      </c>
    </row>
    <row r="3687" spans="2:5" x14ac:dyDescent="0.25">
      <c r="B3687" t="e">
        <f t="shared" ca="1" si="115"/>
        <v>#NAME?</v>
      </c>
      <c r="C3687">
        <v>3644</v>
      </c>
      <c r="D3687" t="e">
        <f t="shared" ca="1" si="114"/>
        <v>#NAME?</v>
      </c>
      <c r="E3687" s="115" t="e">
        <f t="array" aca="1" ref="E3687" ca="1">IF(OR(C3686=0,AND(B3688=0,C3688=0)),"",IFERROR(INDEX($F$27:$F$36,MATCH(C3687,($F$27:$F$36)*($D$27:$D$36&lt;&gt;0),0)),IF(OR(AND(D3687=0,B3687=0,B3688&lt;&gt;0),AND(D3687*D3686&lt;0,B3687&lt;&gt;0)),IF(D3687=0,C3687,C3687*(1-ABS(D3687)/(ABS(D3687)+ABS(D3686)))+C3686*(1-ABS(D3686)/(ABS(D3687)+ABS(D3686)))),"")))</f>
        <v>#NAME?</v>
      </c>
    </row>
    <row r="3688" spans="2:5" x14ac:dyDescent="0.25">
      <c r="B3688" t="e">
        <f t="shared" ca="1" si="115"/>
        <v>#NAME?</v>
      </c>
      <c r="C3688">
        <v>3645</v>
      </c>
      <c r="D3688" t="e">
        <f t="shared" ca="1" si="114"/>
        <v>#NAME?</v>
      </c>
      <c r="E3688" s="115" t="e">
        <f t="array" aca="1" ref="E3688" ca="1">IF(OR(C3687=0,AND(B3689=0,C3689=0)),"",IFERROR(INDEX($F$27:$F$36,MATCH(C3688,($F$27:$F$36)*($D$27:$D$36&lt;&gt;0),0)),IF(OR(AND(D3688=0,B3688=0,B3689&lt;&gt;0),AND(D3688*D3687&lt;0,B3688&lt;&gt;0)),IF(D3688=0,C3688,C3688*(1-ABS(D3688)/(ABS(D3688)+ABS(D3687)))+C3687*(1-ABS(D3687)/(ABS(D3688)+ABS(D3687)))),"")))</f>
        <v>#NAME?</v>
      </c>
    </row>
    <row r="3689" spans="2:5" x14ac:dyDescent="0.25">
      <c r="B3689" t="e">
        <f t="shared" ca="1" si="115"/>
        <v>#NAME?</v>
      </c>
      <c r="C3689">
        <v>3646</v>
      </c>
      <c r="D3689" t="e">
        <f t="shared" ca="1" si="114"/>
        <v>#NAME?</v>
      </c>
      <c r="E3689" s="115" t="e">
        <f t="array" aca="1" ref="E3689" ca="1">IF(OR(C3688=0,AND(B3690=0,C3690=0)),"",IFERROR(INDEX($F$27:$F$36,MATCH(C3689,($F$27:$F$36)*($D$27:$D$36&lt;&gt;0),0)),IF(OR(AND(D3689=0,B3689=0,B3690&lt;&gt;0),AND(D3689*D3688&lt;0,B3689&lt;&gt;0)),IF(D3689=0,C3689,C3689*(1-ABS(D3689)/(ABS(D3689)+ABS(D3688)))+C3688*(1-ABS(D3688)/(ABS(D3689)+ABS(D3688)))),"")))</f>
        <v>#NAME?</v>
      </c>
    </row>
    <row r="3690" spans="2:5" x14ac:dyDescent="0.25">
      <c r="B3690" t="e">
        <f t="shared" ca="1" si="115"/>
        <v>#NAME?</v>
      </c>
      <c r="C3690">
        <v>3647</v>
      </c>
      <c r="D3690" t="e">
        <f t="shared" ca="1" si="114"/>
        <v>#NAME?</v>
      </c>
      <c r="E3690" s="115" t="e">
        <f t="array" aca="1" ref="E3690" ca="1">IF(OR(C3689=0,AND(B3691=0,C3691=0)),"",IFERROR(INDEX($F$27:$F$36,MATCH(C3690,($F$27:$F$36)*($D$27:$D$36&lt;&gt;0),0)),IF(OR(AND(D3690=0,B3690=0,B3691&lt;&gt;0),AND(D3690*D3689&lt;0,B3690&lt;&gt;0)),IF(D3690=0,C3690,C3690*(1-ABS(D3690)/(ABS(D3690)+ABS(D3689)))+C3689*(1-ABS(D3689)/(ABS(D3690)+ABS(D3689)))),"")))</f>
        <v>#NAME?</v>
      </c>
    </row>
    <row r="3691" spans="2:5" x14ac:dyDescent="0.25">
      <c r="B3691" t="e">
        <f t="shared" ca="1" si="115"/>
        <v>#NAME?</v>
      </c>
      <c r="C3691">
        <v>3648</v>
      </c>
      <c r="D3691" t="e">
        <f t="shared" ref="D3691:D3754" ca="1" si="116">SUMPRODUCT(--($J$27:$J$37&gt;0),--($C3691-$F$27:$F$37&gt;0),($D$27:$D$37),($C3691-$F$27:$F$37))+SUMPRODUCT(--($J$27:$J$37&lt;0),--($F$27:$F$37-$C3691&gt;0),($D$27:$D$37),($F$27:$F$37-$C3691))-SUMPRODUCT($D$27:$D$37,$E$27:$E$37)</f>
        <v>#NAME?</v>
      </c>
      <c r="E3691" s="115" t="e">
        <f t="array" aca="1" ref="E3691" ca="1">IF(OR(C3690=0,AND(B3692=0,C3692=0)),"",IFERROR(INDEX($F$27:$F$36,MATCH(C3691,($F$27:$F$36)*($D$27:$D$36&lt;&gt;0),0)),IF(OR(AND(D3691=0,B3691=0,B3692&lt;&gt;0),AND(D3691*D3690&lt;0,B3691&lt;&gt;0)),IF(D3691=0,C3691,C3691*(1-ABS(D3691)/(ABS(D3691)+ABS(D3690)))+C3690*(1-ABS(D3690)/(ABS(D3691)+ABS(D3690)))),"")))</f>
        <v>#NAME?</v>
      </c>
    </row>
    <row r="3692" spans="2:5" x14ac:dyDescent="0.25">
      <c r="B3692" t="e">
        <f t="shared" ref="B3692:B3755" ca="1" si="117">ROUND((D3692-D3691)/(C3692-C3691),12)</f>
        <v>#NAME?</v>
      </c>
      <c r="C3692">
        <v>3649</v>
      </c>
      <c r="D3692" t="e">
        <f t="shared" ca="1" si="116"/>
        <v>#NAME?</v>
      </c>
      <c r="E3692" s="115" t="e">
        <f t="array" aca="1" ref="E3692" ca="1">IF(OR(C3691=0,AND(B3693=0,C3693=0)),"",IFERROR(INDEX($F$27:$F$36,MATCH(C3692,($F$27:$F$36)*($D$27:$D$36&lt;&gt;0),0)),IF(OR(AND(D3692=0,B3692=0,B3693&lt;&gt;0),AND(D3692*D3691&lt;0,B3692&lt;&gt;0)),IF(D3692=0,C3692,C3692*(1-ABS(D3692)/(ABS(D3692)+ABS(D3691)))+C3691*(1-ABS(D3691)/(ABS(D3692)+ABS(D3691)))),"")))</f>
        <v>#NAME?</v>
      </c>
    </row>
    <row r="3693" spans="2:5" x14ac:dyDescent="0.25">
      <c r="B3693" t="e">
        <f t="shared" ca="1" si="117"/>
        <v>#NAME?</v>
      </c>
      <c r="C3693">
        <v>3650</v>
      </c>
      <c r="D3693" t="e">
        <f t="shared" ca="1" si="116"/>
        <v>#NAME?</v>
      </c>
      <c r="E3693" s="115" t="e">
        <f t="array" aca="1" ref="E3693" ca="1">IF(OR(C3692=0,AND(B3694=0,C3694=0)),"",IFERROR(INDEX($F$27:$F$36,MATCH(C3693,($F$27:$F$36)*($D$27:$D$36&lt;&gt;0),0)),IF(OR(AND(D3693=0,B3693=0,B3694&lt;&gt;0),AND(D3693*D3692&lt;0,B3693&lt;&gt;0)),IF(D3693=0,C3693,C3693*(1-ABS(D3693)/(ABS(D3693)+ABS(D3692)))+C3692*(1-ABS(D3692)/(ABS(D3693)+ABS(D3692)))),"")))</f>
        <v>#NAME?</v>
      </c>
    </row>
    <row r="3694" spans="2:5" x14ac:dyDescent="0.25">
      <c r="B3694" t="e">
        <f t="shared" ca="1" si="117"/>
        <v>#NAME?</v>
      </c>
      <c r="C3694">
        <v>3651</v>
      </c>
      <c r="D3694" t="e">
        <f t="shared" ca="1" si="116"/>
        <v>#NAME?</v>
      </c>
      <c r="E3694" s="115" t="e">
        <f t="array" aca="1" ref="E3694" ca="1">IF(OR(C3693=0,AND(B3695=0,C3695=0)),"",IFERROR(INDEX($F$27:$F$36,MATCH(C3694,($F$27:$F$36)*($D$27:$D$36&lt;&gt;0),0)),IF(OR(AND(D3694=0,B3694=0,B3695&lt;&gt;0),AND(D3694*D3693&lt;0,B3694&lt;&gt;0)),IF(D3694=0,C3694,C3694*(1-ABS(D3694)/(ABS(D3694)+ABS(D3693)))+C3693*(1-ABS(D3693)/(ABS(D3694)+ABS(D3693)))),"")))</f>
        <v>#NAME?</v>
      </c>
    </row>
    <row r="3695" spans="2:5" x14ac:dyDescent="0.25">
      <c r="B3695" t="e">
        <f t="shared" ca="1" si="117"/>
        <v>#NAME?</v>
      </c>
      <c r="C3695">
        <v>3652</v>
      </c>
      <c r="D3695" t="e">
        <f t="shared" ca="1" si="116"/>
        <v>#NAME?</v>
      </c>
      <c r="E3695" s="115" t="e">
        <f t="array" aca="1" ref="E3695" ca="1">IF(OR(C3694=0,AND(B3696=0,C3696=0)),"",IFERROR(INDEX($F$27:$F$36,MATCH(C3695,($F$27:$F$36)*($D$27:$D$36&lt;&gt;0),0)),IF(OR(AND(D3695=0,B3695=0,B3696&lt;&gt;0),AND(D3695*D3694&lt;0,B3695&lt;&gt;0)),IF(D3695=0,C3695,C3695*(1-ABS(D3695)/(ABS(D3695)+ABS(D3694)))+C3694*(1-ABS(D3694)/(ABS(D3695)+ABS(D3694)))),"")))</f>
        <v>#NAME?</v>
      </c>
    </row>
    <row r="3696" spans="2:5" x14ac:dyDescent="0.25">
      <c r="B3696" t="e">
        <f t="shared" ca="1" si="117"/>
        <v>#NAME?</v>
      </c>
      <c r="C3696">
        <v>3653</v>
      </c>
      <c r="D3696" t="e">
        <f t="shared" ca="1" si="116"/>
        <v>#NAME?</v>
      </c>
      <c r="E3696" s="115" t="e">
        <f t="array" aca="1" ref="E3696" ca="1">IF(OR(C3695=0,AND(B3697=0,C3697=0)),"",IFERROR(INDEX($F$27:$F$36,MATCH(C3696,($F$27:$F$36)*($D$27:$D$36&lt;&gt;0),0)),IF(OR(AND(D3696=0,B3696=0,B3697&lt;&gt;0),AND(D3696*D3695&lt;0,B3696&lt;&gt;0)),IF(D3696=0,C3696,C3696*(1-ABS(D3696)/(ABS(D3696)+ABS(D3695)))+C3695*(1-ABS(D3695)/(ABS(D3696)+ABS(D3695)))),"")))</f>
        <v>#NAME?</v>
      </c>
    </row>
    <row r="3697" spans="2:5" x14ac:dyDescent="0.25">
      <c r="B3697" t="e">
        <f t="shared" ca="1" si="117"/>
        <v>#NAME?</v>
      </c>
      <c r="C3697">
        <v>3654</v>
      </c>
      <c r="D3697" t="e">
        <f t="shared" ca="1" si="116"/>
        <v>#NAME?</v>
      </c>
      <c r="E3697" s="115" t="e">
        <f t="array" aca="1" ref="E3697" ca="1">IF(OR(C3696=0,AND(B3698=0,C3698=0)),"",IFERROR(INDEX($F$27:$F$36,MATCH(C3697,($F$27:$F$36)*($D$27:$D$36&lt;&gt;0),0)),IF(OR(AND(D3697=0,B3697=0,B3698&lt;&gt;0),AND(D3697*D3696&lt;0,B3697&lt;&gt;0)),IF(D3697=0,C3697,C3697*(1-ABS(D3697)/(ABS(D3697)+ABS(D3696)))+C3696*(1-ABS(D3696)/(ABS(D3697)+ABS(D3696)))),"")))</f>
        <v>#NAME?</v>
      </c>
    </row>
    <row r="3698" spans="2:5" x14ac:dyDescent="0.25">
      <c r="B3698" t="e">
        <f t="shared" ca="1" si="117"/>
        <v>#NAME?</v>
      </c>
      <c r="C3698">
        <v>3655</v>
      </c>
      <c r="D3698" t="e">
        <f t="shared" ca="1" si="116"/>
        <v>#NAME?</v>
      </c>
      <c r="E3698" s="115" t="e">
        <f t="array" aca="1" ref="E3698" ca="1">IF(OR(C3697=0,AND(B3699=0,C3699=0)),"",IFERROR(INDEX($F$27:$F$36,MATCH(C3698,($F$27:$F$36)*($D$27:$D$36&lt;&gt;0),0)),IF(OR(AND(D3698=0,B3698=0,B3699&lt;&gt;0),AND(D3698*D3697&lt;0,B3698&lt;&gt;0)),IF(D3698=0,C3698,C3698*(1-ABS(D3698)/(ABS(D3698)+ABS(D3697)))+C3697*(1-ABS(D3697)/(ABS(D3698)+ABS(D3697)))),"")))</f>
        <v>#NAME?</v>
      </c>
    </row>
    <row r="3699" spans="2:5" x14ac:dyDescent="0.25">
      <c r="B3699" t="e">
        <f t="shared" ca="1" si="117"/>
        <v>#NAME?</v>
      </c>
      <c r="C3699">
        <v>3656</v>
      </c>
      <c r="D3699" t="e">
        <f t="shared" ca="1" si="116"/>
        <v>#NAME?</v>
      </c>
      <c r="E3699" s="115" t="e">
        <f t="array" aca="1" ref="E3699" ca="1">IF(OR(C3698=0,AND(B3700=0,C3700=0)),"",IFERROR(INDEX($F$27:$F$36,MATCH(C3699,($F$27:$F$36)*($D$27:$D$36&lt;&gt;0),0)),IF(OR(AND(D3699=0,B3699=0,B3700&lt;&gt;0),AND(D3699*D3698&lt;0,B3699&lt;&gt;0)),IF(D3699=0,C3699,C3699*(1-ABS(D3699)/(ABS(D3699)+ABS(D3698)))+C3698*(1-ABS(D3698)/(ABS(D3699)+ABS(D3698)))),"")))</f>
        <v>#NAME?</v>
      </c>
    </row>
    <row r="3700" spans="2:5" x14ac:dyDescent="0.25">
      <c r="B3700" t="e">
        <f t="shared" ca="1" si="117"/>
        <v>#NAME?</v>
      </c>
      <c r="C3700">
        <v>3657</v>
      </c>
      <c r="D3700" t="e">
        <f t="shared" ca="1" si="116"/>
        <v>#NAME?</v>
      </c>
      <c r="E3700" s="115" t="e">
        <f t="array" aca="1" ref="E3700" ca="1">IF(OR(C3699=0,AND(B3701=0,C3701=0)),"",IFERROR(INDEX($F$27:$F$36,MATCH(C3700,($F$27:$F$36)*($D$27:$D$36&lt;&gt;0),0)),IF(OR(AND(D3700=0,B3700=0,B3701&lt;&gt;0),AND(D3700*D3699&lt;0,B3700&lt;&gt;0)),IF(D3700=0,C3700,C3700*(1-ABS(D3700)/(ABS(D3700)+ABS(D3699)))+C3699*(1-ABS(D3699)/(ABS(D3700)+ABS(D3699)))),"")))</f>
        <v>#NAME?</v>
      </c>
    </row>
    <row r="3701" spans="2:5" x14ac:dyDescent="0.25">
      <c r="B3701" t="e">
        <f t="shared" ca="1" si="117"/>
        <v>#NAME?</v>
      </c>
      <c r="C3701">
        <v>3658</v>
      </c>
      <c r="D3701" t="e">
        <f t="shared" ca="1" si="116"/>
        <v>#NAME?</v>
      </c>
      <c r="E3701" s="115" t="e">
        <f t="array" aca="1" ref="E3701" ca="1">IF(OR(C3700=0,AND(B3702=0,C3702=0)),"",IFERROR(INDEX($F$27:$F$36,MATCH(C3701,($F$27:$F$36)*($D$27:$D$36&lt;&gt;0),0)),IF(OR(AND(D3701=0,B3701=0,B3702&lt;&gt;0),AND(D3701*D3700&lt;0,B3701&lt;&gt;0)),IF(D3701=0,C3701,C3701*(1-ABS(D3701)/(ABS(D3701)+ABS(D3700)))+C3700*(1-ABS(D3700)/(ABS(D3701)+ABS(D3700)))),"")))</f>
        <v>#NAME?</v>
      </c>
    </row>
    <row r="3702" spans="2:5" x14ac:dyDescent="0.25">
      <c r="B3702" t="e">
        <f t="shared" ca="1" si="117"/>
        <v>#NAME?</v>
      </c>
      <c r="C3702">
        <v>3659</v>
      </c>
      <c r="D3702" t="e">
        <f t="shared" ca="1" si="116"/>
        <v>#NAME?</v>
      </c>
      <c r="E3702" s="115" t="e">
        <f t="array" aca="1" ref="E3702" ca="1">IF(OR(C3701=0,AND(B3703=0,C3703=0)),"",IFERROR(INDEX($F$27:$F$36,MATCH(C3702,($F$27:$F$36)*($D$27:$D$36&lt;&gt;0),0)),IF(OR(AND(D3702=0,B3702=0,B3703&lt;&gt;0),AND(D3702*D3701&lt;0,B3702&lt;&gt;0)),IF(D3702=0,C3702,C3702*(1-ABS(D3702)/(ABS(D3702)+ABS(D3701)))+C3701*(1-ABS(D3701)/(ABS(D3702)+ABS(D3701)))),"")))</f>
        <v>#NAME?</v>
      </c>
    </row>
    <row r="3703" spans="2:5" x14ac:dyDescent="0.25">
      <c r="B3703" t="e">
        <f t="shared" ca="1" si="117"/>
        <v>#NAME?</v>
      </c>
      <c r="C3703">
        <v>3660</v>
      </c>
      <c r="D3703" t="e">
        <f t="shared" ca="1" si="116"/>
        <v>#NAME?</v>
      </c>
      <c r="E3703" s="115" t="e">
        <f t="array" aca="1" ref="E3703" ca="1">IF(OR(C3702=0,AND(B3704=0,C3704=0)),"",IFERROR(INDEX($F$27:$F$36,MATCH(C3703,($F$27:$F$36)*($D$27:$D$36&lt;&gt;0),0)),IF(OR(AND(D3703=0,B3703=0,B3704&lt;&gt;0),AND(D3703*D3702&lt;0,B3703&lt;&gt;0)),IF(D3703=0,C3703,C3703*(1-ABS(D3703)/(ABS(D3703)+ABS(D3702)))+C3702*(1-ABS(D3702)/(ABS(D3703)+ABS(D3702)))),"")))</f>
        <v>#NAME?</v>
      </c>
    </row>
    <row r="3704" spans="2:5" x14ac:dyDescent="0.25">
      <c r="B3704" t="e">
        <f t="shared" ca="1" si="117"/>
        <v>#NAME?</v>
      </c>
      <c r="C3704">
        <v>3661</v>
      </c>
      <c r="D3704" t="e">
        <f t="shared" ca="1" si="116"/>
        <v>#NAME?</v>
      </c>
      <c r="E3704" s="115" t="e">
        <f t="array" aca="1" ref="E3704" ca="1">IF(OR(C3703=0,AND(B3705=0,C3705=0)),"",IFERROR(INDEX($F$27:$F$36,MATCH(C3704,($F$27:$F$36)*($D$27:$D$36&lt;&gt;0),0)),IF(OR(AND(D3704=0,B3704=0,B3705&lt;&gt;0),AND(D3704*D3703&lt;0,B3704&lt;&gt;0)),IF(D3704=0,C3704,C3704*(1-ABS(D3704)/(ABS(D3704)+ABS(D3703)))+C3703*(1-ABS(D3703)/(ABS(D3704)+ABS(D3703)))),"")))</f>
        <v>#NAME?</v>
      </c>
    </row>
    <row r="3705" spans="2:5" x14ac:dyDescent="0.25">
      <c r="B3705" t="e">
        <f t="shared" ca="1" si="117"/>
        <v>#NAME?</v>
      </c>
      <c r="C3705">
        <v>3662</v>
      </c>
      <c r="D3705" t="e">
        <f t="shared" ca="1" si="116"/>
        <v>#NAME?</v>
      </c>
      <c r="E3705" s="115" t="e">
        <f t="array" aca="1" ref="E3705" ca="1">IF(OR(C3704=0,AND(B3706=0,C3706=0)),"",IFERROR(INDEX($F$27:$F$36,MATCH(C3705,($F$27:$F$36)*($D$27:$D$36&lt;&gt;0),0)),IF(OR(AND(D3705=0,B3705=0,B3706&lt;&gt;0),AND(D3705*D3704&lt;0,B3705&lt;&gt;0)),IF(D3705=0,C3705,C3705*(1-ABS(D3705)/(ABS(D3705)+ABS(D3704)))+C3704*(1-ABS(D3704)/(ABS(D3705)+ABS(D3704)))),"")))</f>
        <v>#NAME?</v>
      </c>
    </row>
    <row r="3706" spans="2:5" x14ac:dyDescent="0.25">
      <c r="B3706" t="e">
        <f t="shared" ca="1" si="117"/>
        <v>#NAME?</v>
      </c>
      <c r="C3706">
        <v>3663</v>
      </c>
      <c r="D3706" t="e">
        <f t="shared" ca="1" si="116"/>
        <v>#NAME?</v>
      </c>
      <c r="E3706" s="115" t="e">
        <f t="array" aca="1" ref="E3706" ca="1">IF(OR(C3705=0,AND(B3707=0,C3707=0)),"",IFERROR(INDEX($F$27:$F$36,MATCH(C3706,($F$27:$F$36)*($D$27:$D$36&lt;&gt;0),0)),IF(OR(AND(D3706=0,B3706=0,B3707&lt;&gt;0),AND(D3706*D3705&lt;0,B3706&lt;&gt;0)),IF(D3706=0,C3706,C3706*(1-ABS(D3706)/(ABS(D3706)+ABS(D3705)))+C3705*(1-ABS(D3705)/(ABS(D3706)+ABS(D3705)))),"")))</f>
        <v>#NAME?</v>
      </c>
    </row>
    <row r="3707" spans="2:5" x14ac:dyDescent="0.25">
      <c r="B3707" t="e">
        <f t="shared" ca="1" si="117"/>
        <v>#NAME?</v>
      </c>
      <c r="C3707">
        <v>3664</v>
      </c>
      <c r="D3707" t="e">
        <f t="shared" ca="1" si="116"/>
        <v>#NAME?</v>
      </c>
      <c r="E3707" s="115" t="e">
        <f t="array" aca="1" ref="E3707" ca="1">IF(OR(C3706=0,AND(B3708=0,C3708=0)),"",IFERROR(INDEX($F$27:$F$36,MATCH(C3707,($F$27:$F$36)*($D$27:$D$36&lt;&gt;0),0)),IF(OR(AND(D3707=0,B3707=0,B3708&lt;&gt;0),AND(D3707*D3706&lt;0,B3707&lt;&gt;0)),IF(D3707=0,C3707,C3707*(1-ABS(D3707)/(ABS(D3707)+ABS(D3706)))+C3706*(1-ABS(D3706)/(ABS(D3707)+ABS(D3706)))),"")))</f>
        <v>#NAME?</v>
      </c>
    </row>
    <row r="3708" spans="2:5" x14ac:dyDescent="0.25">
      <c r="B3708" t="e">
        <f t="shared" ca="1" si="117"/>
        <v>#NAME?</v>
      </c>
      <c r="C3708">
        <v>3665</v>
      </c>
      <c r="D3708" t="e">
        <f t="shared" ca="1" si="116"/>
        <v>#NAME?</v>
      </c>
      <c r="E3708" s="115" t="e">
        <f t="array" aca="1" ref="E3708" ca="1">IF(OR(C3707=0,AND(B3709=0,C3709=0)),"",IFERROR(INDEX($F$27:$F$36,MATCH(C3708,($F$27:$F$36)*($D$27:$D$36&lt;&gt;0),0)),IF(OR(AND(D3708=0,B3708=0,B3709&lt;&gt;0),AND(D3708*D3707&lt;0,B3708&lt;&gt;0)),IF(D3708=0,C3708,C3708*(1-ABS(D3708)/(ABS(D3708)+ABS(D3707)))+C3707*(1-ABS(D3707)/(ABS(D3708)+ABS(D3707)))),"")))</f>
        <v>#NAME?</v>
      </c>
    </row>
    <row r="3709" spans="2:5" x14ac:dyDescent="0.25">
      <c r="B3709" t="e">
        <f t="shared" ca="1" si="117"/>
        <v>#NAME?</v>
      </c>
      <c r="C3709">
        <v>3666</v>
      </c>
      <c r="D3709" t="e">
        <f t="shared" ca="1" si="116"/>
        <v>#NAME?</v>
      </c>
      <c r="E3709" s="115" t="e">
        <f t="array" aca="1" ref="E3709" ca="1">IF(OR(C3708=0,AND(B3710=0,C3710=0)),"",IFERROR(INDEX($F$27:$F$36,MATCH(C3709,($F$27:$F$36)*($D$27:$D$36&lt;&gt;0),0)),IF(OR(AND(D3709=0,B3709=0,B3710&lt;&gt;0),AND(D3709*D3708&lt;0,B3709&lt;&gt;0)),IF(D3709=0,C3709,C3709*(1-ABS(D3709)/(ABS(D3709)+ABS(D3708)))+C3708*(1-ABS(D3708)/(ABS(D3709)+ABS(D3708)))),"")))</f>
        <v>#NAME?</v>
      </c>
    </row>
    <row r="3710" spans="2:5" x14ac:dyDescent="0.25">
      <c r="B3710" t="e">
        <f t="shared" ca="1" si="117"/>
        <v>#NAME?</v>
      </c>
      <c r="C3710">
        <v>3667</v>
      </c>
      <c r="D3710" t="e">
        <f t="shared" ca="1" si="116"/>
        <v>#NAME?</v>
      </c>
      <c r="E3710" s="115" t="e">
        <f t="array" aca="1" ref="E3710" ca="1">IF(OR(C3709=0,AND(B3711=0,C3711=0)),"",IFERROR(INDEX($F$27:$F$36,MATCH(C3710,($F$27:$F$36)*($D$27:$D$36&lt;&gt;0),0)),IF(OR(AND(D3710=0,B3710=0,B3711&lt;&gt;0),AND(D3710*D3709&lt;0,B3710&lt;&gt;0)),IF(D3710=0,C3710,C3710*(1-ABS(D3710)/(ABS(D3710)+ABS(D3709)))+C3709*(1-ABS(D3709)/(ABS(D3710)+ABS(D3709)))),"")))</f>
        <v>#NAME?</v>
      </c>
    </row>
    <row r="3711" spans="2:5" x14ac:dyDescent="0.25">
      <c r="B3711" t="e">
        <f t="shared" ca="1" si="117"/>
        <v>#NAME?</v>
      </c>
      <c r="C3711">
        <v>3668</v>
      </c>
      <c r="D3711" t="e">
        <f t="shared" ca="1" si="116"/>
        <v>#NAME?</v>
      </c>
      <c r="E3711" s="115" t="e">
        <f t="array" aca="1" ref="E3711" ca="1">IF(OR(C3710=0,AND(B3712=0,C3712=0)),"",IFERROR(INDEX($F$27:$F$36,MATCH(C3711,($F$27:$F$36)*($D$27:$D$36&lt;&gt;0),0)),IF(OR(AND(D3711=0,B3711=0,B3712&lt;&gt;0),AND(D3711*D3710&lt;0,B3711&lt;&gt;0)),IF(D3711=0,C3711,C3711*(1-ABS(D3711)/(ABS(D3711)+ABS(D3710)))+C3710*(1-ABS(D3710)/(ABS(D3711)+ABS(D3710)))),"")))</f>
        <v>#NAME?</v>
      </c>
    </row>
    <row r="3712" spans="2:5" x14ac:dyDescent="0.25">
      <c r="B3712" t="e">
        <f t="shared" ca="1" si="117"/>
        <v>#NAME?</v>
      </c>
      <c r="C3712">
        <v>3669</v>
      </c>
      <c r="D3712" t="e">
        <f t="shared" ca="1" si="116"/>
        <v>#NAME?</v>
      </c>
      <c r="E3712" s="115" t="e">
        <f t="array" aca="1" ref="E3712" ca="1">IF(OR(C3711=0,AND(B3713=0,C3713=0)),"",IFERROR(INDEX($F$27:$F$36,MATCH(C3712,($F$27:$F$36)*($D$27:$D$36&lt;&gt;0),0)),IF(OR(AND(D3712=0,B3712=0,B3713&lt;&gt;0),AND(D3712*D3711&lt;0,B3712&lt;&gt;0)),IF(D3712=0,C3712,C3712*(1-ABS(D3712)/(ABS(D3712)+ABS(D3711)))+C3711*(1-ABS(D3711)/(ABS(D3712)+ABS(D3711)))),"")))</f>
        <v>#NAME?</v>
      </c>
    </row>
    <row r="3713" spans="2:5" x14ac:dyDescent="0.25">
      <c r="B3713" t="e">
        <f t="shared" ca="1" si="117"/>
        <v>#NAME?</v>
      </c>
      <c r="C3713">
        <v>3670</v>
      </c>
      <c r="D3713" t="e">
        <f t="shared" ca="1" si="116"/>
        <v>#NAME?</v>
      </c>
      <c r="E3713" s="115" t="e">
        <f t="array" aca="1" ref="E3713" ca="1">IF(OR(C3712=0,AND(B3714=0,C3714=0)),"",IFERROR(INDEX($F$27:$F$36,MATCH(C3713,($F$27:$F$36)*($D$27:$D$36&lt;&gt;0),0)),IF(OR(AND(D3713=0,B3713=0,B3714&lt;&gt;0),AND(D3713*D3712&lt;0,B3713&lt;&gt;0)),IF(D3713=0,C3713,C3713*(1-ABS(D3713)/(ABS(D3713)+ABS(D3712)))+C3712*(1-ABS(D3712)/(ABS(D3713)+ABS(D3712)))),"")))</f>
        <v>#NAME?</v>
      </c>
    </row>
    <row r="3714" spans="2:5" x14ac:dyDescent="0.25">
      <c r="B3714" t="e">
        <f t="shared" ca="1" si="117"/>
        <v>#NAME?</v>
      </c>
      <c r="C3714">
        <v>3671</v>
      </c>
      <c r="D3714" t="e">
        <f t="shared" ca="1" si="116"/>
        <v>#NAME?</v>
      </c>
      <c r="E3714" s="115" t="e">
        <f t="array" aca="1" ref="E3714" ca="1">IF(OR(C3713=0,AND(B3715=0,C3715=0)),"",IFERROR(INDEX($F$27:$F$36,MATCH(C3714,($F$27:$F$36)*($D$27:$D$36&lt;&gt;0),0)),IF(OR(AND(D3714=0,B3714=0,B3715&lt;&gt;0),AND(D3714*D3713&lt;0,B3714&lt;&gt;0)),IF(D3714=0,C3714,C3714*(1-ABS(D3714)/(ABS(D3714)+ABS(D3713)))+C3713*(1-ABS(D3713)/(ABS(D3714)+ABS(D3713)))),"")))</f>
        <v>#NAME?</v>
      </c>
    </row>
    <row r="3715" spans="2:5" x14ac:dyDescent="0.25">
      <c r="B3715" t="e">
        <f t="shared" ca="1" si="117"/>
        <v>#NAME?</v>
      </c>
      <c r="C3715">
        <v>3672</v>
      </c>
      <c r="D3715" t="e">
        <f t="shared" ca="1" si="116"/>
        <v>#NAME?</v>
      </c>
      <c r="E3715" s="115" t="e">
        <f t="array" aca="1" ref="E3715" ca="1">IF(OR(C3714=0,AND(B3716=0,C3716=0)),"",IFERROR(INDEX($F$27:$F$36,MATCH(C3715,($F$27:$F$36)*($D$27:$D$36&lt;&gt;0),0)),IF(OR(AND(D3715=0,B3715=0,B3716&lt;&gt;0),AND(D3715*D3714&lt;0,B3715&lt;&gt;0)),IF(D3715=0,C3715,C3715*(1-ABS(D3715)/(ABS(D3715)+ABS(D3714)))+C3714*(1-ABS(D3714)/(ABS(D3715)+ABS(D3714)))),"")))</f>
        <v>#NAME?</v>
      </c>
    </row>
    <row r="3716" spans="2:5" x14ac:dyDescent="0.25">
      <c r="B3716" t="e">
        <f t="shared" ca="1" si="117"/>
        <v>#NAME?</v>
      </c>
      <c r="C3716">
        <v>3673</v>
      </c>
      <c r="D3716" t="e">
        <f t="shared" ca="1" si="116"/>
        <v>#NAME?</v>
      </c>
      <c r="E3716" s="115" t="e">
        <f t="array" aca="1" ref="E3716" ca="1">IF(OR(C3715=0,AND(B3717=0,C3717=0)),"",IFERROR(INDEX($F$27:$F$36,MATCH(C3716,($F$27:$F$36)*($D$27:$D$36&lt;&gt;0),0)),IF(OR(AND(D3716=0,B3716=0,B3717&lt;&gt;0),AND(D3716*D3715&lt;0,B3716&lt;&gt;0)),IF(D3716=0,C3716,C3716*(1-ABS(D3716)/(ABS(D3716)+ABS(D3715)))+C3715*(1-ABS(D3715)/(ABS(D3716)+ABS(D3715)))),"")))</f>
        <v>#NAME?</v>
      </c>
    </row>
    <row r="3717" spans="2:5" x14ac:dyDescent="0.25">
      <c r="B3717" t="e">
        <f t="shared" ca="1" si="117"/>
        <v>#NAME?</v>
      </c>
      <c r="C3717">
        <v>3674</v>
      </c>
      <c r="D3717" t="e">
        <f t="shared" ca="1" si="116"/>
        <v>#NAME?</v>
      </c>
      <c r="E3717" s="115" t="e">
        <f t="array" aca="1" ref="E3717" ca="1">IF(OR(C3716=0,AND(B3718=0,C3718=0)),"",IFERROR(INDEX($F$27:$F$36,MATCH(C3717,($F$27:$F$36)*($D$27:$D$36&lt;&gt;0),0)),IF(OR(AND(D3717=0,B3717=0,B3718&lt;&gt;0),AND(D3717*D3716&lt;0,B3717&lt;&gt;0)),IF(D3717=0,C3717,C3717*(1-ABS(D3717)/(ABS(D3717)+ABS(D3716)))+C3716*(1-ABS(D3716)/(ABS(D3717)+ABS(D3716)))),"")))</f>
        <v>#NAME?</v>
      </c>
    </row>
    <row r="3718" spans="2:5" x14ac:dyDescent="0.25">
      <c r="B3718" t="e">
        <f t="shared" ca="1" si="117"/>
        <v>#NAME?</v>
      </c>
      <c r="C3718">
        <v>3675</v>
      </c>
      <c r="D3718" t="e">
        <f t="shared" ca="1" si="116"/>
        <v>#NAME?</v>
      </c>
      <c r="E3718" s="115" t="e">
        <f t="array" aca="1" ref="E3718" ca="1">IF(OR(C3717=0,AND(B3719=0,C3719=0)),"",IFERROR(INDEX($F$27:$F$36,MATCH(C3718,($F$27:$F$36)*($D$27:$D$36&lt;&gt;0),0)),IF(OR(AND(D3718=0,B3718=0,B3719&lt;&gt;0),AND(D3718*D3717&lt;0,B3718&lt;&gt;0)),IF(D3718=0,C3718,C3718*(1-ABS(D3718)/(ABS(D3718)+ABS(D3717)))+C3717*(1-ABS(D3717)/(ABS(D3718)+ABS(D3717)))),"")))</f>
        <v>#NAME?</v>
      </c>
    </row>
    <row r="3719" spans="2:5" x14ac:dyDescent="0.25">
      <c r="B3719" t="e">
        <f t="shared" ca="1" si="117"/>
        <v>#NAME?</v>
      </c>
      <c r="C3719">
        <v>3676</v>
      </c>
      <c r="D3719" t="e">
        <f t="shared" ca="1" si="116"/>
        <v>#NAME?</v>
      </c>
      <c r="E3719" s="115" t="e">
        <f t="array" aca="1" ref="E3719" ca="1">IF(OR(C3718=0,AND(B3720=0,C3720=0)),"",IFERROR(INDEX($F$27:$F$36,MATCH(C3719,($F$27:$F$36)*($D$27:$D$36&lt;&gt;0),0)),IF(OR(AND(D3719=0,B3719=0,B3720&lt;&gt;0),AND(D3719*D3718&lt;0,B3719&lt;&gt;0)),IF(D3719=0,C3719,C3719*(1-ABS(D3719)/(ABS(D3719)+ABS(D3718)))+C3718*(1-ABS(D3718)/(ABS(D3719)+ABS(D3718)))),"")))</f>
        <v>#NAME?</v>
      </c>
    </row>
    <row r="3720" spans="2:5" x14ac:dyDescent="0.25">
      <c r="B3720" t="e">
        <f t="shared" ca="1" si="117"/>
        <v>#NAME?</v>
      </c>
      <c r="C3720">
        <v>3677</v>
      </c>
      <c r="D3720" t="e">
        <f t="shared" ca="1" si="116"/>
        <v>#NAME?</v>
      </c>
      <c r="E3720" s="115" t="e">
        <f t="array" aca="1" ref="E3720" ca="1">IF(OR(C3719=0,AND(B3721=0,C3721=0)),"",IFERROR(INDEX($F$27:$F$36,MATCH(C3720,($F$27:$F$36)*($D$27:$D$36&lt;&gt;0),0)),IF(OR(AND(D3720=0,B3720=0,B3721&lt;&gt;0),AND(D3720*D3719&lt;0,B3720&lt;&gt;0)),IF(D3720=0,C3720,C3720*(1-ABS(D3720)/(ABS(D3720)+ABS(D3719)))+C3719*(1-ABS(D3719)/(ABS(D3720)+ABS(D3719)))),"")))</f>
        <v>#NAME?</v>
      </c>
    </row>
    <row r="3721" spans="2:5" x14ac:dyDescent="0.25">
      <c r="B3721" t="e">
        <f t="shared" ca="1" si="117"/>
        <v>#NAME?</v>
      </c>
      <c r="C3721">
        <v>3678</v>
      </c>
      <c r="D3721" t="e">
        <f t="shared" ca="1" si="116"/>
        <v>#NAME?</v>
      </c>
      <c r="E3721" s="115" t="e">
        <f t="array" aca="1" ref="E3721" ca="1">IF(OR(C3720=0,AND(B3722=0,C3722=0)),"",IFERROR(INDEX($F$27:$F$36,MATCH(C3721,($F$27:$F$36)*($D$27:$D$36&lt;&gt;0),0)),IF(OR(AND(D3721=0,B3721=0,B3722&lt;&gt;0),AND(D3721*D3720&lt;0,B3721&lt;&gt;0)),IF(D3721=0,C3721,C3721*(1-ABS(D3721)/(ABS(D3721)+ABS(D3720)))+C3720*(1-ABS(D3720)/(ABS(D3721)+ABS(D3720)))),"")))</f>
        <v>#NAME?</v>
      </c>
    </row>
    <row r="3722" spans="2:5" x14ac:dyDescent="0.25">
      <c r="B3722" t="e">
        <f t="shared" ca="1" si="117"/>
        <v>#NAME?</v>
      </c>
      <c r="C3722">
        <v>3679</v>
      </c>
      <c r="D3722" t="e">
        <f t="shared" ca="1" si="116"/>
        <v>#NAME?</v>
      </c>
      <c r="E3722" s="115" t="e">
        <f t="array" aca="1" ref="E3722" ca="1">IF(OR(C3721=0,AND(B3723=0,C3723=0)),"",IFERROR(INDEX($F$27:$F$36,MATCH(C3722,($F$27:$F$36)*($D$27:$D$36&lt;&gt;0),0)),IF(OR(AND(D3722=0,B3722=0,B3723&lt;&gt;0),AND(D3722*D3721&lt;0,B3722&lt;&gt;0)),IF(D3722=0,C3722,C3722*(1-ABS(D3722)/(ABS(D3722)+ABS(D3721)))+C3721*(1-ABS(D3721)/(ABS(D3722)+ABS(D3721)))),"")))</f>
        <v>#NAME?</v>
      </c>
    </row>
    <row r="3723" spans="2:5" x14ac:dyDescent="0.25">
      <c r="B3723" t="e">
        <f t="shared" ca="1" si="117"/>
        <v>#NAME?</v>
      </c>
      <c r="C3723">
        <v>3680</v>
      </c>
      <c r="D3723" t="e">
        <f t="shared" ca="1" si="116"/>
        <v>#NAME?</v>
      </c>
      <c r="E3723" s="115" t="e">
        <f t="array" aca="1" ref="E3723" ca="1">IF(OR(C3722=0,AND(B3724=0,C3724=0)),"",IFERROR(INDEX($F$27:$F$36,MATCH(C3723,($F$27:$F$36)*($D$27:$D$36&lt;&gt;0),0)),IF(OR(AND(D3723=0,B3723=0,B3724&lt;&gt;0),AND(D3723*D3722&lt;0,B3723&lt;&gt;0)),IF(D3723=0,C3723,C3723*(1-ABS(D3723)/(ABS(D3723)+ABS(D3722)))+C3722*(1-ABS(D3722)/(ABS(D3723)+ABS(D3722)))),"")))</f>
        <v>#NAME?</v>
      </c>
    </row>
    <row r="3724" spans="2:5" x14ac:dyDescent="0.25">
      <c r="B3724" t="e">
        <f t="shared" ca="1" si="117"/>
        <v>#NAME?</v>
      </c>
      <c r="C3724">
        <v>3681</v>
      </c>
      <c r="D3724" t="e">
        <f t="shared" ca="1" si="116"/>
        <v>#NAME?</v>
      </c>
      <c r="E3724" s="115" t="e">
        <f t="array" aca="1" ref="E3724" ca="1">IF(OR(C3723=0,AND(B3725=0,C3725=0)),"",IFERROR(INDEX($F$27:$F$36,MATCH(C3724,($F$27:$F$36)*($D$27:$D$36&lt;&gt;0),0)),IF(OR(AND(D3724=0,B3724=0,B3725&lt;&gt;0),AND(D3724*D3723&lt;0,B3724&lt;&gt;0)),IF(D3724=0,C3724,C3724*(1-ABS(D3724)/(ABS(D3724)+ABS(D3723)))+C3723*(1-ABS(D3723)/(ABS(D3724)+ABS(D3723)))),"")))</f>
        <v>#NAME?</v>
      </c>
    </row>
    <row r="3725" spans="2:5" x14ac:dyDescent="0.25">
      <c r="B3725" t="e">
        <f t="shared" ca="1" si="117"/>
        <v>#NAME?</v>
      </c>
      <c r="C3725">
        <v>3682</v>
      </c>
      <c r="D3725" t="e">
        <f t="shared" ca="1" si="116"/>
        <v>#NAME?</v>
      </c>
      <c r="E3725" s="115" t="e">
        <f t="array" aca="1" ref="E3725" ca="1">IF(OR(C3724=0,AND(B3726=0,C3726=0)),"",IFERROR(INDEX($F$27:$F$36,MATCH(C3725,($F$27:$F$36)*($D$27:$D$36&lt;&gt;0),0)),IF(OR(AND(D3725=0,B3725=0,B3726&lt;&gt;0),AND(D3725*D3724&lt;0,B3725&lt;&gt;0)),IF(D3725=0,C3725,C3725*(1-ABS(D3725)/(ABS(D3725)+ABS(D3724)))+C3724*(1-ABS(D3724)/(ABS(D3725)+ABS(D3724)))),"")))</f>
        <v>#NAME?</v>
      </c>
    </row>
    <row r="3726" spans="2:5" x14ac:dyDescent="0.25">
      <c r="B3726" t="e">
        <f t="shared" ca="1" si="117"/>
        <v>#NAME?</v>
      </c>
      <c r="C3726">
        <v>3683</v>
      </c>
      <c r="D3726" t="e">
        <f t="shared" ca="1" si="116"/>
        <v>#NAME?</v>
      </c>
      <c r="E3726" s="115" t="e">
        <f t="array" aca="1" ref="E3726" ca="1">IF(OR(C3725=0,AND(B3727=0,C3727=0)),"",IFERROR(INDEX($F$27:$F$36,MATCH(C3726,($F$27:$F$36)*($D$27:$D$36&lt;&gt;0),0)),IF(OR(AND(D3726=0,B3726=0,B3727&lt;&gt;0),AND(D3726*D3725&lt;0,B3726&lt;&gt;0)),IF(D3726=0,C3726,C3726*(1-ABS(D3726)/(ABS(D3726)+ABS(D3725)))+C3725*(1-ABS(D3725)/(ABS(D3726)+ABS(D3725)))),"")))</f>
        <v>#NAME?</v>
      </c>
    </row>
    <row r="3727" spans="2:5" x14ac:dyDescent="0.25">
      <c r="B3727" t="e">
        <f t="shared" ca="1" si="117"/>
        <v>#NAME?</v>
      </c>
      <c r="C3727">
        <v>3684</v>
      </c>
      <c r="D3727" t="e">
        <f t="shared" ca="1" si="116"/>
        <v>#NAME?</v>
      </c>
      <c r="E3727" s="115" t="e">
        <f t="array" aca="1" ref="E3727" ca="1">IF(OR(C3726=0,AND(B3728=0,C3728=0)),"",IFERROR(INDEX($F$27:$F$36,MATCH(C3727,($F$27:$F$36)*($D$27:$D$36&lt;&gt;0),0)),IF(OR(AND(D3727=0,B3727=0,B3728&lt;&gt;0),AND(D3727*D3726&lt;0,B3727&lt;&gt;0)),IF(D3727=0,C3727,C3727*(1-ABS(D3727)/(ABS(D3727)+ABS(D3726)))+C3726*(1-ABS(D3726)/(ABS(D3727)+ABS(D3726)))),"")))</f>
        <v>#NAME?</v>
      </c>
    </row>
    <row r="3728" spans="2:5" x14ac:dyDescent="0.25">
      <c r="B3728" t="e">
        <f t="shared" ca="1" si="117"/>
        <v>#NAME?</v>
      </c>
      <c r="C3728">
        <v>3685</v>
      </c>
      <c r="D3728" t="e">
        <f t="shared" ca="1" si="116"/>
        <v>#NAME?</v>
      </c>
      <c r="E3728" s="115" t="e">
        <f t="array" aca="1" ref="E3728" ca="1">IF(OR(C3727=0,AND(B3729=0,C3729=0)),"",IFERROR(INDEX($F$27:$F$36,MATCH(C3728,($F$27:$F$36)*($D$27:$D$36&lt;&gt;0),0)),IF(OR(AND(D3728=0,B3728=0,B3729&lt;&gt;0),AND(D3728*D3727&lt;0,B3728&lt;&gt;0)),IF(D3728=0,C3728,C3728*(1-ABS(D3728)/(ABS(D3728)+ABS(D3727)))+C3727*(1-ABS(D3727)/(ABS(D3728)+ABS(D3727)))),"")))</f>
        <v>#NAME?</v>
      </c>
    </row>
    <row r="3729" spans="2:5" x14ac:dyDescent="0.25">
      <c r="B3729" t="e">
        <f t="shared" ca="1" si="117"/>
        <v>#NAME?</v>
      </c>
      <c r="C3729">
        <v>3686</v>
      </c>
      <c r="D3729" t="e">
        <f t="shared" ca="1" si="116"/>
        <v>#NAME?</v>
      </c>
      <c r="E3729" s="115" t="e">
        <f t="array" aca="1" ref="E3729" ca="1">IF(OR(C3728=0,AND(B3730=0,C3730=0)),"",IFERROR(INDEX($F$27:$F$36,MATCH(C3729,($F$27:$F$36)*($D$27:$D$36&lt;&gt;0),0)),IF(OR(AND(D3729=0,B3729=0,B3730&lt;&gt;0),AND(D3729*D3728&lt;0,B3729&lt;&gt;0)),IF(D3729=0,C3729,C3729*(1-ABS(D3729)/(ABS(D3729)+ABS(D3728)))+C3728*(1-ABS(D3728)/(ABS(D3729)+ABS(D3728)))),"")))</f>
        <v>#NAME?</v>
      </c>
    </row>
    <row r="3730" spans="2:5" x14ac:dyDescent="0.25">
      <c r="B3730" t="e">
        <f t="shared" ca="1" si="117"/>
        <v>#NAME?</v>
      </c>
      <c r="C3730">
        <v>3687</v>
      </c>
      <c r="D3730" t="e">
        <f t="shared" ca="1" si="116"/>
        <v>#NAME?</v>
      </c>
      <c r="E3730" s="115" t="e">
        <f t="array" aca="1" ref="E3730" ca="1">IF(OR(C3729=0,AND(B3731=0,C3731=0)),"",IFERROR(INDEX($F$27:$F$36,MATCH(C3730,($F$27:$F$36)*($D$27:$D$36&lt;&gt;0),0)),IF(OR(AND(D3730=0,B3730=0,B3731&lt;&gt;0),AND(D3730*D3729&lt;0,B3730&lt;&gt;0)),IF(D3730=0,C3730,C3730*(1-ABS(D3730)/(ABS(D3730)+ABS(D3729)))+C3729*(1-ABS(D3729)/(ABS(D3730)+ABS(D3729)))),"")))</f>
        <v>#NAME?</v>
      </c>
    </row>
    <row r="3731" spans="2:5" x14ac:dyDescent="0.25">
      <c r="B3731" t="e">
        <f t="shared" ca="1" si="117"/>
        <v>#NAME?</v>
      </c>
      <c r="C3731">
        <v>3688</v>
      </c>
      <c r="D3731" t="e">
        <f t="shared" ca="1" si="116"/>
        <v>#NAME?</v>
      </c>
      <c r="E3731" s="115" t="e">
        <f t="array" aca="1" ref="E3731" ca="1">IF(OR(C3730=0,AND(B3732=0,C3732=0)),"",IFERROR(INDEX($F$27:$F$36,MATCH(C3731,($F$27:$F$36)*($D$27:$D$36&lt;&gt;0),0)),IF(OR(AND(D3731=0,B3731=0,B3732&lt;&gt;0),AND(D3731*D3730&lt;0,B3731&lt;&gt;0)),IF(D3731=0,C3731,C3731*(1-ABS(D3731)/(ABS(D3731)+ABS(D3730)))+C3730*(1-ABS(D3730)/(ABS(D3731)+ABS(D3730)))),"")))</f>
        <v>#NAME?</v>
      </c>
    </row>
    <row r="3732" spans="2:5" x14ac:dyDescent="0.25">
      <c r="B3732" t="e">
        <f t="shared" ca="1" si="117"/>
        <v>#NAME?</v>
      </c>
      <c r="C3732">
        <v>3689</v>
      </c>
      <c r="D3732" t="e">
        <f t="shared" ca="1" si="116"/>
        <v>#NAME?</v>
      </c>
      <c r="E3732" s="115" t="e">
        <f t="array" aca="1" ref="E3732" ca="1">IF(OR(C3731=0,AND(B3733=0,C3733=0)),"",IFERROR(INDEX($F$27:$F$36,MATCH(C3732,($F$27:$F$36)*($D$27:$D$36&lt;&gt;0),0)),IF(OR(AND(D3732=0,B3732=0,B3733&lt;&gt;0),AND(D3732*D3731&lt;0,B3732&lt;&gt;0)),IF(D3732=0,C3732,C3732*(1-ABS(D3732)/(ABS(D3732)+ABS(D3731)))+C3731*(1-ABS(D3731)/(ABS(D3732)+ABS(D3731)))),"")))</f>
        <v>#NAME?</v>
      </c>
    </row>
    <row r="3733" spans="2:5" x14ac:dyDescent="0.25">
      <c r="B3733" t="e">
        <f t="shared" ca="1" si="117"/>
        <v>#NAME?</v>
      </c>
      <c r="C3733">
        <v>3690</v>
      </c>
      <c r="D3733" t="e">
        <f t="shared" ca="1" si="116"/>
        <v>#NAME?</v>
      </c>
      <c r="E3733" s="115" t="e">
        <f t="array" aca="1" ref="E3733" ca="1">IF(OR(C3732=0,AND(B3734=0,C3734=0)),"",IFERROR(INDEX($F$27:$F$36,MATCH(C3733,($F$27:$F$36)*($D$27:$D$36&lt;&gt;0),0)),IF(OR(AND(D3733=0,B3733=0,B3734&lt;&gt;0),AND(D3733*D3732&lt;0,B3733&lt;&gt;0)),IF(D3733=0,C3733,C3733*(1-ABS(D3733)/(ABS(D3733)+ABS(D3732)))+C3732*(1-ABS(D3732)/(ABS(D3733)+ABS(D3732)))),"")))</f>
        <v>#NAME?</v>
      </c>
    </row>
    <row r="3734" spans="2:5" x14ac:dyDescent="0.25">
      <c r="B3734" t="e">
        <f t="shared" ca="1" si="117"/>
        <v>#NAME?</v>
      </c>
      <c r="C3734">
        <v>3691</v>
      </c>
      <c r="D3734" t="e">
        <f t="shared" ca="1" si="116"/>
        <v>#NAME?</v>
      </c>
      <c r="E3734" s="115" t="e">
        <f t="array" aca="1" ref="E3734" ca="1">IF(OR(C3733=0,AND(B3735=0,C3735=0)),"",IFERROR(INDEX($F$27:$F$36,MATCH(C3734,($F$27:$F$36)*($D$27:$D$36&lt;&gt;0),0)),IF(OR(AND(D3734=0,B3734=0,B3735&lt;&gt;0),AND(D3734*D3733&lt;0,B3734&lt;&gt;0)),IF(D3734=0,C3734,C3734*(1-ABS(D3734)/(ABS(D3734)+ABS(D3733)))+C3733*(1-ABS(D3733)/(ABS(D3734)+ABS(D3733)))),"")))</f>
        <v>#NAME?</v>
      </c>
    </row>
    <row r="3735" spans="2:5" x14ac:dyDescent="0.25">
      <c r="B3735" t="e">
        <f t="shared" ca="1" si="117"/>
        <v>#NAME?</v>
      </c>
      <c r="C3735">
        <v>3692</v>
      </c>
      <c r="D3735" t="e">
        <f t="shared" ca="1" si="116"/>
        <v>#NAME?</v>
      </c>
      <c r="E3735" s="115" t="e">
        <f t="array" aca="1" ref="E3735" ca="1">IF(OR(C3734=0,AND(B3736=0,C3736=0)),"",IFERROR(INDEX($F$27:$F$36,MATCH(C3735,($F$27:$F$36)*($D$27:$D$36&lt;&gt;0),0)),IF(OR(AND(D3735=0,B3735=0,B3736&lt;&gt;0),AND(D3735*D3734&lt;0,B3735&lt;&gt;0)),IF(D3735=0,C3735,C3735*(1-ABS(D3735)/(ABS(D3735)+ABS(D3734)))+C3734*(1-ABS(D3734)/(ABS(D3735)+ABS(D3734)))),"")))</f>
        <v>#NAME?</v>
      </c>
    </row>
    <row r="3736" spans="2:5" x14ac:dyDescent="0.25">
      <c r="B3736" t="e">
        <f t="shared" ca="1" si="117"/>
        <v>#NAME?</v>
      </c>
      <c r="C3736">
        <v>3693</v>
      </c>
      <c r="D3736" t="e">
        <f t="shared" ca="1" si="116"/>
        <v>#NAME?</v>
      </c>
      <c r="E3736" s="115" t="e">
        <f t="array" aca="1" ref="E3736" ca="1">IF(OR(C3735=0,AND(B3737=0,C3737=0)),"",IFERROR(INDEX($F$27:$F$36,MATCH(C3736,($F$27:$F$36)*($D$27:$D$36&lt;&gt;0),0)),IF(OR(AND(D3736=0,B3736=0,B3737&lt;&gt;0),AND(D3736*D3735&lt;0,B3736&lt;&gt;0)),IF(D3736=0,C3736,C3736*(1-ABS(D3736)/(ABS(D3736)+ABS(D3735)))+C3735*(1-ABS(D3735)/(ABS(D3736)+ABS(D3735)))),"")))</f>
        <v>#NAME?</v>
      </c>
    </row>
    <row r="3737" spans="2:5" x14ac:dyDescent="0.25">
      <c r="B3737" t="e">
        <f t="shared" ca="1" si="117"/>
        <v>#NAME?</v>
      </c>
      <c r="C3737">
        <v>3694</v>
      </c>
      <c r="D3737" t="e">
        <f t="shared" ca="1" si="116"/>
        <v>#NAME?</v>
      </c>
      <c r="E3737" s="115" t="e">
        <f t="array" aca="1" ref="E3737" ca="1">IF(OR(C3736=0,AND(B3738=0,C3738=0)),"",IFERROR(INDEX($F$27:$F$36,MATCH(C3737,($F$27:$F$36)*($D$27:$D$36&lt;&gt;0),0)),IF(OR(AND(D3737=0,B3737=0,B3738&lt;&gt;0),AND(D3737*D3736&lt;0,B3737&lt;&gt;0)),IF(D3737=0,C3737,C3737*(1-ABS(D3737)/(ABS(D3737)+ABS(D3736)))+C3736*(1-ABS(D3736)/(ABS(D3737)+ABS(D3736)))),"")))</f>
        <v>#NAME?</v>
      </c>
    </row>
    <row r="3738" spans="2:5" x14ac:dyDescent="0.25">
      <c r="B3738" t="e">
        <f t="shared" ca="1" si="117"/>
        <v>#NAME?</v>
      </c>
      <c r="C3738">
        <v>3695</v>
      </c>
      <c r="D3738" t="e">
        <f t="shared" ca="1" si="116"/>
        <v>#NAME?</v>
      </c>
      <c r="E3738" s="115" t="e">
        <f t="array" aca="1" ref="E3738" ca="1">IF(OR(C3737=0,AND(B3739=0,C3739=0)),"",IFERROR(INDEX($F$27:$F$36,MATCH(C3738,($F$27:$F$36)*($D$27:$D$36&lt;&gt;0),0)),IF(OR(AND(D3738=0,B3738=0,B3739&lt;&gt;0),AND(D3738*D3737&lt;0,B3738&lt;&gt;0)),IF(D3738=0,C3738,C3738*(1-ABS(D3738)/(ABS(D3738)+ABS(D3737)))+C3737*(1-ABS(D3737)/(ABS(D3738)+ABS(D3737)))),"")))</f>
        <v>#NAME?</v>
      </c>
    </row>
    <row r="3739" spans="2:5" x14ac:dyDescent="0.25">
      <c r="B3739" t="e">
        <f t="shared" ca="1" si="117"/>
        <v>#NAME?</v>
      </c>
      <c r="C3739">
        <v>3696</v>
      </c>
      <c r="D3739" t="e">
        <f t="shared" ca="1" si="116"/>
        <v>#NAME?</v>
      </c>
      <c r="E3739" s="115" t="e">
        <f t="array" aca="1" ref="E3739" ca="1">IF(OR(C3738=0,AND(B3740=0,C3740=0)),"",IFERROR(INDEX($F$27:$F$36,MATCH(C3739,($F$27:$F$36)*($D$27:$D$36&lt;&gt;0),0)),IF(OR(AND(D3739=0,B3739=0,B3740&lt;&gt;0),AND(D3739*D3738&lt;0,B3739&lt;&gt;0)),IF(D3739=0,C3739,C3739*(1-ABS(D3739)/(ABS(D3739)+ABS(D3738)))+C3738*(1-ABS(D3738)/(ABS(D3739)+ABS(D3738)))),"")))</f>
        <v>#NAME?</v>
      </c>
    </row>
    <row r="3740" spans="2:5" x14ac:dyDescent="0.25">
      <c r="B3740" t="e">
        <f t="shared" ca="1" si="117"/>
        <v>#NAME?</v>
      </c>
      <c r="C3740">
        <v>3697</v>
      </c>
      <c r="D3740" t="e">
        <f t="shared" ca="1" si="116"/>
        <v>#NAME?</v>
      </c>
      <c r="E3740" s="115" t="e">
        <f t="array" aca="1" ref="E3740" ca="1">IF(OR(C3739=0,AND(B3741=0,C3741=0)),"",IFERROR(INDEX($F$27:$F$36,MATCH(C3740,($F$27:$F$36)*($D$27:$D$36&lt;&gt;0),0)),IF(OR(AND(D3740=0,B3740=0,B3741&lt;&gt;0),AND(D3740*D3739&lt;0,B3740&lt;&gt;0)),IF(D3740=0,C3740,C3740*(1-ABS(D3740)/(ABS(D3740)+ABS(D3739)))+C3739*(1-ABS(D3739)/(ABS(D3740)+ABS(D3739)))),"")))</f>
        <v>#NAME?</v>
      </c>
    </row>
    <row r="3741" spans="2:5" x14ac:dyDescent="0.25">
      <c r="B3741" t="e">
        <f t="shared" ca="1" si="117"/>
        <v>#NAME?</v>
      </c>
      <c r="C3741">
        <v>3698</v>
      </c>
      <c r="D3741" t="e">
        <f t="shared" ca="1" si="116"/>
        <v>#NAME?</v>
      </c>
      <c r="E3741" s="115" t="e">
        <f t="array" aca="1" ref="E3741" ca="1">IF(OR(C3740=0,AND(B3742=0,C3742=0)),"",IFERROR(INDEX($F$27:$F$36,MATCH(C3741,($F$27:$F$36)*($D$27:$D$36&lt;&gt;0),0)),IF(OR(AND(D3741=0,B3741=0,B3742&lt;&gt;0),AND(D3741*D3740&lt;0,B3741&lt;&gt;0)),IF(D3741=0,C3741,C3741*(1-ABS(D3741)/(ABS(D3741)+ABS(D3740)))+C3740*(1-ABS(D3740)/(ABS(D3741)+ABS(D3740)))),"")))</f>
        <v>#NAME?</v>
      </c>
    </row>
    <row r="3742" spans="2:5" x14ac:dyDescent="0.25">
      <c r="B3742" t="e">
        <f t="shared" ca="1" si="117"/>
        <v>#NAME?</v>
      </c>
      <c r="C3742">
        <v>3699</v>
      </c>
      <c r="D3742" t="e">
        <f t="shared" ca="1" si="116"/>
        <v>#NAME?</v>
      </c>
      <c r="E3742" s="115" t="e">
        <f t="array" aca="1" ref="E3742" ca="1">IF(OR(C3741=0,AND(B3743=0,C3743=0)),"",IFERROR(INDEX($F$27:$F$36,MATCH(C3742,($F$27:$F$36)*($D$27:$D$36&lt;&gt;0),0)),IF(OR(AND(D3742=0,B3742=0,B3743&lt;&gt;0),AND(D3742*D3741&lt;0,B3742&lt;&gt;0)),IF(D3742=0,C3742,C3742*(1-ABS(D3742)/(ABS(D3742)+ABS(D3741)))+C3741*(1-ABS(D3741)/(ABS(D3742)+ABS(D3741)))),"")))</f>
        <v>#NAME?</v>
      </c>
    </row>
    <row r="3743" spans="2:5" x14ac:dyDescent="0.25">
      <c r="B3743" t="e">
        <f t="shared" ca="1" si="117"/>
        <v>#NAME?</v>
      </c>
      <c r="C3743">
        <v>3700</v>
      </c>
      <c r="D3743" t="e">
        <f t="shared" ca="1" si="116"/>
        <v>#NAME?</v>
      </c>
      <c r="E3743" s="115" t="e">
        <f t="array" aca="1" ref="E3743" ca="1">IF(OR(C3742=0,AND(B3744=0,C3744=0)),"",IFERROR(INDEX($F$27:$F$36,MATCH(C3743,($F$27:$F$36)*($D$27:$D$36&lt;&gt;0),0)),IF(OR(AND(D3743=0,B3743=0,B3744&lt;&gt;0),AND(D3743*D3742&lt;0,B3743&lt;&gt;0)),IF(D3743=0,C3743,C3743*(1-ABS(D3743)/(ABS(D3743)+ABS(D3742)))+C3742*(1-ABS(D3742)/(ABS(D3743)+ABS(D3742)))),"")))</f>
        <v>#NAME?</v>
      </c>
    </row>
    <row r="3744" spans="2:5" x14ac:dyDescent="0.25">
      <c r="B3744" t="e">
        <f t="shared" ca="1" si="117"/>
        <v>#NAME?</v>
      </c>
      <c r="C3744">
        <v>3701</v>
      </c>
      <c r="D3744" t="e">
        <f t="shared" ca="1" si="116"/>
        <v>#NAME?</v>
      </c>
      <c r="E3744" s="115" t="e">
        <f t="array" aca="1" ref="E3744" ca="1">IF(OR(C3743=0,AND(B3745=0,C3745=0)),"",IFERROR(INDEX($F$27:$F$36,MATCH(C3744,($F$27:$F$36)*($D$27:$D$36&lt;&gt;0),0)),IF(OR(AND(D3744=0,B3744=0,B3745&lt;&gt;0),AND(D3744*D3743&lt;0,B3744&lt;&gt;0)),IF(D3744=0,C3744,C3744*(1-ABS(D3744)/(ABS(D3744)+ABS(D3743)))+C3743*(1-ABS(D3743)/(ABS(D3744)+ABS(D3743)))),"")))</f>
        <v>#NAME?</v>
      </c>
    </row>
    <row r="3745" spans="2:5" x14ac:dyDescent="0.25">
      <c r="B3745" t="e">
        <f t="shared" ca="1" si="117"/>
        <v>#NAME?</v>
      </c>
      <c r="C3745">
        <v>3702</v>
      </c>
      <c r="D3745" t="e">
        <f t="shared" ca="1" si="116"/>
        <v>#NAME?</v>
      </c>
      <c r="E3745" s="115" t="e">
        <f t="array" aca="1" ref="E3745" ca="1">IF(OR(C3744=0,AND(B3746=0,C3746=0)),"",IFERROR(INDEX($F$27:$F$36,MATCH(C3745,($F$27:$F$36)*($D$27:$D$36&lt;&gt;0),0)),IF(OR(AND(D3745=0,B3745=0,B3746&lt;&gt;0),AND(D3745*D3744&lt;0,B3745&lt;&gt;0)),IF(D3745=0,C3745,C3745*(1-ABS(D3745)/(ABS(D3745)+ABS(D3744)))+C3744*(1-ABS(D3744)/(ABS(D3745)+ABS(D3744)))),"")))</f>
        <v>#NAME?</v>
      </c>
    </row>
    <row r="3746" spans="2:5" x14ac:dyDescent="0.25">
      <c r="B3746" t="e">
        <f t="shared" ca="1" si="117"/>
        <v>#NAME?</v>
      </c>
      <c r="C3746">
        <v>3703</v>
      </c>
      <c r="D3746" t="e">
        <f t="shared" ca="1" si="116"/>
        <v>#NAME?</v>
      </c>
      <c r="E3746" s="115" t="e">
        <f t="array" aca="1" ref="E3746" ca="1">IF(OR(C3745=0,AND(B3747=0,C3747=0)),"",IFERROR(INDEX($F$27:$F$36,MATCH(C3746,($F$27:$F$36)*($D$27:$D$36&lt;&gt;0),0)),IF(OR(AND(D3746=0,B3746=0,B3747&lt;&gt;0),AND(D3746*D3745&lt;0,B3746&lt;&gt;0)),IF(D3746=0,C3746,C3746*(1-ABS(D3746)/(ABS(D3746)+ABS(D3745)))+C3745*(1-ABS(D3745)/(ABS(D3746)+ABS(D3745)))),"")))</f>
        <v>#NAME?</v>
      </c>
    </row>
    <row r="3747" spans="2:5" x14ac:dyDescent="0.25">
      <c r="B3747" t="e">
        <f t="shared" ca="1" si="117"/>
        <v>#NAME?</v>
      </c>
      <c r="C3747">
        <v>3704</v>
      </c>
      <c r="D3747" t="e">
        <f t="shared" ca="1" si="116"/>
        <v>#NAME?</v>
      </c>
      <c r="E3747" s="115" t="e">
        <f t="array" aca="1" ref="E3747" ca="1">IF(OR(C3746=0,AND(B3748=0,C3748=0)),"",IFERROR(INDEX($F$27:$F$36,MATCH(C3747,($F$27:$F$36)*($D$27:$D$36&lt;&gt;0),0)),IF(OR(AND(D3747=0,B3747=0,B3748&lt;&gt;0),AND(D3747*D3746&lt;0,B3747&lt;&gt;0)),IF(D3747=0,C3747,C3747*(1-ABS(D3747)/(ABS(D3747)+ABS(D3746)))+C3746*(1-ABS(D3746)/(ABS(D3747)+ABS(D3746)))),"")))</f>
        <v>#NAME?</v>
      </c>
    </row>
    <row r="3748" spans="2:5" x14ac:dyDescent="0.25">
      <c r="B3748" t="e">
        <f t="shared" ca="1" si="117"/>
        <v>#NAME?</v>
      </c>
      <c r="C3748">
        <v>3705</v>
      </c>
      <c r="D3748" t="e">
        <f t="shared" ca="1" si="116"/>
        <v>#NAME?</v>
      </c>
      <c r="E3748" s="115" t="e">
        <f t="array" aca="1" ref="E3748" ca="1">IF(OR(C3747=0,AND(B3749=0,C3749=0)),"",IFERROR(INDEX($F$27:$F$36,MATCH(C3748,($F$27:$F$36)*($D$27:$D$36&lt;&gt;0),0)),IF(OR(AND(D3748=0,B3748=0,B3749&lt;&gt;0),AND(D3748*D3747&lt;0,B3748&lt;&gt;0)),IF(D3748=0,C3748,C3748*(1-ABS(D3748)/(ABS(D3748)+ABS(D3747)))+C3747*(1-ABS(D3747)/(ABS(D3748)+ABS(D3747)))),"")))</f>
        <v>#NAME?</v>
      </c>
    </row>
    <row r="3749" spans="2:5" x14ac:dyDescent="0.25">
      <c r="B3749" t="e">
        <f t="shared" ca="1" si="117"/>
        <v>#NAME?</v>
      </c>
      <c r="C3749">
        <v>3706</v>
      </c>
      <c r="D3749" t="e">
        <f t="shared" ca="1" si="116"/>
        <v>#NAME?</v>
      </c>
      <c r="E3749" s="115" t="e">
        <f t="array" aca="1" ref="E3749" ca="1">IF(OR(C3748=0,AND(B3750=0,C3750=0)),"",IFERROR(INDEX($F$27:$F$36,MATCH(C3749,($F$27:$F$36)*($D$27:$D$36&lt;&gt;0),0)),IF(OR(AND(D3749=0,B3749=0,B3750&lt;&gt;0),AND(D3749*D3748&lt;0,B3749&lt;&gt;0)),IF(D3749=0,C3749,C3749*(1-ABS(D3749)/(ABS(D3749)+ABS(D3748)))+C3748*(1-ABS(D3748)/(ABS(D3749)+ABS(D3748)))),"")))</f>
        <v>#NAME?</v>
      </c>
    </row>
    <row r="3750" spans="2:5" x14ac:dyDescent="0.25">
      <c r="B3750" t="e">
        <f t="shared" ca="1" si="117"/>
        <v>#NAME?</v>
      </c>
      <c r="C3750">
        <v>3707</v>
      </c>
      <c r="D3750" t="e">
        <f t="shared" ca="1" si="116"/>
        <v>#NAME?</v>
      </c>
      <c r="E3750" s="115" t="e">
        <f t="array" aca="1" ref="E3750" ca="1">IF(OR(C3749=0,AND(B3751=0,C3751=0)),"",IFERROR(INDEX($F$27:$F$36,MATCH(C3750,($F$27:$F$36)*($D$27:$D$36&lt;&gt;0),0)),IF(OR(AND(D3750=0,B3750=0,B3751&lt;&gt;0),AND(D3750*D3749&lt;0,B3750&lt;&gt;0)),IF(D3750=0,C3750,C3750*(1-ABS(D3750)/(ABS(D3750)+ABS(D3749)))+C3749*(1-ABS(D3749)/(ABS(D3750)+ABS(D3749)))),"")))</f>
        <v>#NAME?</v>
      </c>
    </row>
    <row r="3751" spans="2:5" x14ac:dyDescent="0.25">
      <c r="B3751" t="e">
        <f t="shared" ca="1" si="117"/>
        <v>#NAME?</v>
      </c>
      <c r="C3751">
        <v>3708</v>
      </c>
      <c r="D3751" t="e">
        <f t="shared" ca="1" si="116"/>
        <v>#NAME?</v>
      </c>
      <c r="E3751" s="115" t="e">
        <f t="array" aca="1" ref="E3751" ca="1">IF(OR(C3750=0,AND(B3752=0,C3752=0)),"",IFERROR(INDEX($F$27:$F$36,MATCH(C3751,($F$27:$F$36)*($D$27:$D$36&lt;&gt;0),0)),IF(OR(AND(D3751=0,B3751=0,B3752&lt;&gt;0),AND(D3751*D3750&lt;0,B3751&lt;&gt;0)),IF(D3751=0,C3751,C3751*(1-ABS(D3751)/(ABS(D3751)+ABS(D3750)))+C3750*(1-ABS(D3750)/(ABS(D3751)+ABS(D3750)))),"")))</f>
        <v>#NAME?</v>
      </c>
    </row>
    <row r="3752" spans="2:5" x14ac:dyDescent="0.25">
      <c r="B3752" t="e">
        <f t="shared" ca="1" si="117"/>
        <v>#NAME?</v>
      </c>
      <c r="C3752">
        <v>3709</v>
      </c>
      <c r="D3752" t="e">
        <f t="shared" ca="1" si="116"/>
        <v>#NAME?</v>
      </c>
      <c r="E3752" s="115" t="e">
        <f t="array" aca="1" ref="E3752" ca="1">IF(OR(C3751=0,AND(B3753=0,C3753=0)),"",IFERROR(INDEX($F$27:$F$36,MATCH(C3752,($F$27:$F$36)*($D$27:$D$36&lt;&gt;0),0)),IF(OR(AND(D3752=0,B3752=0,B3753&lt;&gt;0),AND(D3752*D3751&lt;0,B3752&lt;&gt;0)),IF(D3752=0,C3752,C3752*(1-ABS(D3752)/(ABS(D3752)+ABS(D3751)))+C3751*(1-ABS(D3751)/(ABS(D3752)+ABS(D3751)))),"")))</f>
        <v>#NAME?</v>
      </c>
    </row>
    <row r="3753" spans="2:5" x14ac:dyDescent="0.25">
      <c r="B3753" t="e">
        <f t="shared" ca="1" si="117"/>
        <v>#NAME?</v>
      </c>
      <c r="C3753">
        <v>3710</v>
      </c>
      <c r="D3753" t="e">
        <f t="shared" ca="1" si="116"/>
        <v>#NAME?</v>
      </c>
      <c r="E3753" s="115" t="e">
        <f t="array" aca="1" ref="E3753" ca="1">IF(OR(C3752=0,AND(B3754=0,C3754=0)),"",IFERROR(INDEX($F$27:$F$36,MATCH(C3753,($F$27:$F$36)*($D$27:$D$36&lt;&gt;0),0)),IF(OR(AND(D3753=0,B3753=0,B3754&lt;&gt;0),AND(D3753*D3752&lt;0,B3753&lt;&gt;0)),IF(D3753=0,C3753,C3753*(1-ABS(D3753)/(ABS(D3753)+ABS(D3752)))+C3752*(1-ABS(D3752)/(ABS(D3753)+ABS(D3752)))),"")))</f>
        <v>#NAME?</v>
      </c>
    </row>
    <row r="3754" spans="2:5" x14ac:dyDescent="0.25">
      <c r="B3754" t="e">
        <f t="shared" ca="1" si="117"/>
        <v>#NAME?</v>
      </c>
      <c r="C3754">
        <v>3711</v>
      </c>
      <c r="D3754" t="e">
        <f t="shared" ca="1" si="116"/>
        <v>#NAME?</v>
      </c>
      <c r="E3754" s="115" t="e">
        <f t="array" aca="1" ref="E3754" ca="1">IF(OR(C3753=0,AND(B3755=0,C3755=0)),"",IFERROR(INDEX($F$27:$F$36,MATCH(C3754,($F$27:$F$36)*($D$27:$D$36&lt;&gt;0),0)),IF(OR(AND(D3754=0,B3754=0,B3755&lt;&gt;0),AND(D3754*D3753&lt;0,B3754&lt;&gt;0)),IF(D3754=0,C3754,C3754*(1-ABS(D3754)/(ABS(D3754)+ABS(D3753)))+C3753*(1-ABS(D3753)/(ABS(D3754)+ABS(D3753)))),"")))</f>
        <v>#NAME?</v>
      </c>
    </row>
    <row r="3755" spans="2:5" x14ac:dyDescent="0.25">
      <c r="B3755" t="e">
        <f t="shared" ca="1" si="117"/>
        <v>#NAME?</v>
      </c>
      <c r="C3755">
        <v>3712</v>
      </c>
      <c r="D3755" t="e">
        <f t="shared" ref="D3755:D3818" ca="1" si="118">SUMPRODUCT(--($J$27:$J$37&gt;0),--($C3755-$F$27:$F$37&gt;0),($D$27:$D$37),($C3755-$F$27:$F$37))+SUMPRODUCT(--($J$27:$J$37&lt;0),--($F$27:$F$37-$C3755&gt;0),($D$27:$D$37),($F$27:$F$37-$C3755))-SUMPRODUCT($D$27:$D$37,$E$27:$E$37)</f>
        <v>#NAME?</v>
      </c>
      <c r="E3755" s="115" t="e">
        <f t="array" aca="1" ref="E3755" ca="1">IF(OR(C3754=0,AND(B3756=0,C3756=0)),"",IFERROR(INDEX($F$27:$F$36,MATCH(C3755,($F$27:$F$36)*($D$27:$D$36&lt;&gt;0),0)),IF(OR(AND(D3755=0,B3755=0,B3756&lt;&gt;0),AND(D3755*D3754&lt;0,B3755&lt;&gt;0)),IF(D3755=0,C3755,C3755*(1-ABS(D3755)/(ABS(D3755)+ABS(D3754)))+C3754*(1-ABS(D3754)/(ABS(D3755)+ABS(D3754)))),"")))</f>
        <v>#NAME?</v>
      </c>
    </row>
    <row r="3756" spans="2:5" x14ac:dyDescent="0.25">
      <c r="B3756" t="e">
        <f t="shared" ref="B3756:B3819" ca="1" si="119">ROUND((D3756-D3755)/(C3756-C3755),12)</f>
        <v>#NAME?</v>
      </c>
      <c r="C3756">
        <v>3713</v>
      </c>
      <c r="D3756" t="e">
        <f t="shared" ca="1" si="118"/>
        <v>#NAME?</v>
      </c>
      <c r="E3756" s="115" t="e">
        <f t="array" aca="1" ref="E3756" ca="1">IF(OR(C3755=0,AND(B3757=0,C3757=0)),"",IFERROR(INDEX($F$27:$F$36,MATCH(C3756,($F$27:$F$36)*($D$27:$D$36&lt;&gt;0),0)),IF(OR(AND(D3756=0,B3756=0,B3757&lt;&gt;0),AND(D3756*D3755&lt;0,B3756&lt;&gt;0)),IF(D3756=0,C3756,C3756*(1-ABS(D3756)/(ABS(D3756)+ABS(D3755)))+C3755*(1-ABS(D3755)/(ABS(D3756)+ABS(D3755)))),"")))</f>
        <v>#NAME?</v>
      </c>
    </row>
    <row r="3757" spans="2:5" x14ac:dyDescent="0.25">
      <c r="B3757" t="e">
        <f t="shared" ca="1" si="119"/>
        <v>#NAME?</v>
      </c>
      <c r="C3757">
        <v>3714</v>
      </c>
      <c r="D3757" t="e">
        <f t="shared" ca="1" si="118"/>
        <v>#NAME?</v>
      </c>
      <c r="E3757" s="115" t="e">
        <f t="array" aca="1" ref="E3757" ca="1">IF(OR(C3756=0,AND(B3758=0,C3758=0)),"",IFERROR(INDEX($F$27:$F$36,MATCH(C3757,($F$27:$F$36)*($D$27:$D$36&lt;&gt;0),0)),IF(OR(AND(D3757=0,B3757=0,B3758&lt;&gt;0),AND(D3757*D3756&lt;0,B3757&lt;&gt;0)),IF(D3757=0,C3757,C3757*(1-ABS(D3757)/(ABS(D3757)+ABS(D3756)))+C3756*(1-ABS(D3756)/(ABS(D3757)+ABS(D3756)))),"")))</f>
        <v>#NAME?</v>
      </c>
    </row>
    <row r="3758" spans="2:5" x14ac:dyDescent="0.25">
      <c r="B3758" t="e">
        <f t="shared" ca="1" si="119"/>
        <v>#NAME?</v>
      </c>
      <c r="C3758">
        <v>3715</v>
      </c>
      <c r="D3758" t="e">
        <f t="shared" ca="1" si="118"/>
        <v>#NAME?</v>
      </c>
      <c r="E3758" s="115" t="e">
        <f t="array" aca="1" ref="E3758" ca="1">IF(OR(C3757=0,AND(B3759=0,C3759=0)),"",IFERROR(INDEX($F$27:$F$36,MATCH(C3758,($F$27:$F$36)*($D$27:$D$36&lt;&gt;0),0)),IF(OR(AND(D3758=0,B3758=0,B3759&lt;&gt;0),AND(D3758*D3757&lt;0,B3758&lt;&gt;0)),IF(D3758=0,C3758,C3758*(1-ABS(D3758)/(ABS(D3758)+ABS(D3757)))+C3757*(1-ABS(D3757)/(ABS(D3758)+ABS(D3757)))),"")))</f>
        <v>#NAME?</v>
      </c>
    </row>
    <row r="3759" spans="2:5" x14ac:dyDescent="0.25">
      <c r="B3759" t="e">
        <f t="shared" ca="1" si="119"/>
        <v>#NAME?</v>
      </c>
      <c r="C3759">
        <v>3716</v>
      </c>
      <c r="D3759" t="e">
        <f t="shared" ca="1" si="118"/>
        <v>#NAME?</v>
      </c>
      <c r="E3759" s="115" t="e">
        <f t="array" aca="1" ref="E3759" ca="1">IF(OR(C3758=0,AND(B3760=0,C3760=0)),"",IFERROR(INDEX($F$27:$F$36,MATCH(C3759,($F$27:$F$36)*($D$27:$D$36&lt;&gt;0),0)),IF(OR(AND(D3759=0,B3759=0,B3760&lt;&gt;0),AND(D3759*D3758&lt;0,B3759&lt;&gt;0)),IF(D3759=0,C3759,C3759*(1-ABS(D3759)/(ABS(D3759)+ABS(D3758)))+C3758*(1-ABS(D3758)/(ABS(D3759)+ABS(D3758)))),"")))</f>
        <v>#NAME?</v>
      </c>
    </row>
    <row r="3760" spans="2:5" x14ac:dyDescent="0.25">
      <c r="B3760" t="e">
        <f t="shared" ca="1" si="119"/>
        <v>#NAME?</v>
      </c>
      <c r="C3760">
        <v>3717</v>
      </c>
      <c r="D3760" t="e">
        <f t="shared" ca="1" si="118"/>
        <v>#NAME?</v>
      </c>
      <c r="E3760" s="115" t="e">
        <f t="array" aca="1" ref="E3760" ca="1">IF(OR(C3759=0,AND(B3761=0,C3761=0)),"",IFERROR(INDEX($F$27:$F$36,MATCH(C3760,($F$27:$F$36)*($D$27:$D$36&lt;&gt;0),0)),IF(OR(AND(D3760=0,B3760=0,B3761&lt;&gt;0),AND(D3760*D3759&lt;0,B3760&lt;&gt;0)),IF(D3760=0,C3760,C3760*(1-ABS(D3760)/(ABS(D3760)+ABS(D3759)))+C3759*(1-ABS(D3759)/(ABS(D3760)+ABS(D3759)))),"")))</f>
        <v>#NAME?</v>
      </c>
    </row>
    <row r="3761" spans="2:5" x14ac:dyDescent="0.25">
      <c r="B3761" t="e">
        <f t="shared" ca="1" si="119"/>
        <v>#NAME?</v>
      </c>
      <c r="C3761">
        <v>3718</v>
      </c>
      <c r="D3761" t="e">
        <f t="shared" ca="1" si="118"/>
        <v>#NAME?</v>
      </c>
      <c r="E3761" s="115" t="e">
        <f t="array" aca="1" ref="E3761" ca="1">IF(OR(C3760=0,AND(B3762=0,C3762=0)),"",IFERROR(INDEX($F$27:$F$36,MATCH(C3761,($F$27:$F$36)*($D$27:$D$36&lt;&gt;0),0)),IF(OR(AND(D3761=0,B3761=0,B3762&lt;&gt;0),AND(D3761*D3760&lt;0,B3761&lt;&gt;0)),IF(D3761=0,C3761,C3761*(1-ABS(D3761)/(ABS(D3761)+ABS(D3760)))+C3760*(1-ABS(D3760)/(ABS(D3761)+ABS(D3760)))),"")))</f>
        <v>#NAME?</v>
      </c>
    </row>
    <row r="3762" spans="2:5" x14ac:dyDescent="0.25">
      <c r="B3762" t="e">
        <f t="shared" ca="1" si="119"/>
        <v>#NAME?</v>
      </c>
      <c r="C3762">
        <v>3719</v>
      </c>
      <c r="D3762" t="e">
        <f t="shared" ca="1" si="118"/>
        <v>#NAME?</v>
      </c>
      <c r="E3762" s="115" t="e">
        <f t="array" aca="1" ref="E3762" ca="1">IF(OR(C3761=0,AND(B3763=0,C3763=0)),"",IFERROR(INDEX($F$27:$F$36,MATCH(C3762,($F$27:$F$36)*($D$27:$D$36&lt;&gt;0),0)),IF(OR(AND(D3762=0,B3762=0,B3763&lt;&gt;0),AND(D3762*D3761&lt;0,B3762&lt;&gt;0)),IF(D3762=0,C3762,C3762*(1-ABS(D3762)/(ABS(D3762)+ABS(D3761)))+C3761*(1-ABS(D3761)/(ABS(D3762)+ABS(D3761)))),"")))</f>
        <v>#NAME?</v>
      </c>
    </row>
    <row r="3763" spans="2:5" x14ac:dyDescent="0.25">
      <c r="B3763" t="e">
        <f t="shared" ca="1" si="119"/>
        <v>#NAME?</v>
      </c>
      <c r="C3763">
        <v>3720</v>
      </c>
      <c r="D3763" t="e">
        <f t="shared" ca="1" si="118"/>
        <v>#NAME?</v>
      </c>
      <c r="E3763" s="115" t="e">
        <f t="array" aca="1" ref="E3763" ca="1">IF(OR(C3762=0,AND(B3764=0,C3764=0)),"",IFERROR(INDEX($F$27:$F$36,MATCH(C3763,($F$27:$F$36)*($D$27:$D$36&lt;&gt;0),0)),IF(OR(AND(D3763=0,B3763=0,B3764&lt;&gt;0),AND(D3763*D3762&lt;0,B3763&lt;&gt;0)),IF(D3763=0,C3763,C3763*(1-ABS(D3763)/(ABS(D3763)+ABS(D3762)))+C3762*(1-ABS(D3762)/(ABS(D3763)+ABS(D3762)))),"")))</f>
        <v>#NAME?</v>
      </c>
    </row>
    <row r="3764" spans="2:5" x14ac:dyDescent="0.25">
      <c r="B3764" t="e">
        <f t="shared" ca="1" si="119"/>
        <v>#NAME?</v>
      </c>
      <c r="C3764">
        <v>3721</v>
      </c>
      <c r="D3764" t="e">
        <f t="shared" ca="1" si="118"/>
        <v>#NAME?</v>
      </c>
      <c r="E3764" s="115" t="e">
        <f t="array" aca="1" ref="E3764" ca="1">IF(OR(C3763=0,AND(B3765=0,C3765=0)),"",IFERROR(INDEX($F$27:$F$36,MATCH(C3764,($F$27:$F$36)*($D$27:$D$36&lt;&gt;0),0)),IF(OR(AND(D3764=0,B3764=0,B3765&lt;&gt;0),AND(D3764*D3763&lt;0,B3764&lt;&gt;0)),IF(D3764=0,C3764,C3764*(1-ABS(D3764)/(ABS(D3764)+ABS(D3763)))+C3763*(1-ABS(D3763)/(ABS(D3764)+ABS(D3763)))),"")))</f>
        <v>#NAME?</v>
      </c>
    </row>
    <row r="3765" spans="2:5" x14ac:dyDescent="0.25">
      <c r="B3765" t="e">
        <f t="shared" ca="1" si="119"/>
        <v>#NAME?</v>
      </c>
      <c r="C3765">
        <v>3722</v>
      </c>
      <c r="D3765" t="e">
        <f t="shared" ca="1" si="118"/>
        <v>#NAME?</v>
      </c>
      <c r="E3765" s="115" t="e">
        <f t="array" aca="1" ref="E3765" ca="1">IF(OR(C3764=0,AND(B3766=0,C3766=0)),"",IFERROR(INDEX($F$27:$F$36,MATCH(C3765,($F$27:$F$36)*($D$27:$D$36&lt;&gt;0),0)),IF(OR(AND(D3765=0,B3765=0,B3766&lt;&gt;0),AND(D3765*D3764&lt;0,B3765&lt;&gt;0)),IF(D3765=0,C3765,C3765*(1-ABS(D3765)/(ABS(D3765)+ABS(D3764)))+C3764*(1-ABS(D3764)/(ABS(D3765)+ABS(D3764)))),"")))</f>
        <v>#NAME?</v>
      </c>
    </row>
    <row r="3766" spans="2:5" x14ac:dyDescent="0.25">
      <c r="B3766" t="e">
        <f t="shared" ca="1" si="119"/>
        <v>#NAME?</v>
      </c>
      <c r="C3766">
        <v>3723</v>
      </c>
      <c r="D3766" t="e">
        <f t="shared" ca="1" si="118"/>
        <v>#NAME?</v>
      </c>
      <c r="E3766" s="115" t="e">
        <f t="array" aca="1" ref="E3766" ca="1">IF(OR(C3765=0,AND(B3767=0,C3767=0)),"",IFERROR(INDEX($F$27:$F$36,MATCH(C3766,($F$27:$F$36)*($D$27:$D$36&lt;&gt;0),0)),IF(OR(AND(D3766=0,B3766=0,B3767&lt;&gt;0),AND(D3766*D3765&lt;0,B3766&lt;&gt;0)),IF(D3766=0,C3766,C3766*(1-ABS(D3766)/(ABS(D3766)+ABS(D3765)))+C3765*(1-ABS(D3765)/(ABS(D3766)+ABS(D3765)))),"")))</f>
        <v>#NAME?</v>
      </c>
    </row>
    <row r="3767" spans="2:5" x14ac:dyDescent="0.25">
      <c r="B3767" t="e">
        <f t="shared" ca="1" si="119"/>
        <v>#NAME?</v>
      </c>
      <c r="C3767">
        <v>3724</v>
      </c>
      <c r="D3767" t="e">
        <f t="shared" ca="1" si="118"/>
        <v>#NAME?</v>
      </c>
      <c r="E3767" s="115" t="e">
        <f t="array" aca="1" ref="E3767" ca="1">IF(OR(C3766=0,AND(B3768=0,C3768=0)),"",IFERROR(INDEX($F$27:$F$36,MATCH(C3767,($F$27:$F$36)*($D$27:$D$36&lt;&gt;0),0)),IF(OR(AND(D3767=0,B3767=0,B3768&lt;&gt;0),AND(D3767*D3766&lt;0,B3767&lt;&gt;0)),IF(D3767=0,C3767,C3767*(1-ABS(D3767)/(ABS(D3767)+ABS(D3766)))+C3766*(1-ABS(D3766)/(ABS(D3767)+ABS(D3766)))),"")))</f>
        <v>#NAME?</v>
      </c>
    </row>
    <row r="3768" spans="2:5" x14ac:dyDescent="0.25">
      <c r="B3768" t="e">
        <f t="shared" ca="1" si="119"/>
        <v>#NAME?</v>
      </c>
      <c r="C3768">
        <v>3725</v>
      </c>
      <c r="D3768" t="e">
        <f t="shared" ca="1" si="118"/>
        <v>#NAME?</v>
      </c>
      <c r="E3768" s="115" t="e">
        <f t="array" aca="1" ref="E3768" ca="1">IF(OR(C3767=0,AND(B3769=0,C3769=0)),"",IFERROR(INDEX($F$27:$F$36,MATCH(C3768,($F$27:$F$36)*($D$27:$D$36&lt;&gt;0),0)),IF(OR(AND(D3768=0,B3768=0,B3769&lt;&gt;0),AND(D3768*D3767&lt;0,B3768&lt;&gt;0)),IF(D3768=0,C3768,C3768*(1-ABS(D3768)/(ABS(D3768)+ABS(D3767)))+C3767*(1-ABS(D3767)/(ABS(D3768)+ABS(D3767)))),"")))</f>
        <v>#NAME?</v>
      </c>
    </row>
    <row r="3769" spans="2:5" x14ac:dyDescent="0.25">
      <c r="B3769" t="e">
        <f t="shared" ca="1" si="119"/>
        <v>#NAME?</v>
      </c>
      <c r="C3769">
        <v>3726</v>
      </c>
      <c r="D3769" t="e">
        <f t="shared" ca="1" si="118"/>
        <v>#NAME?</v>
      </c>
      <c r="E3769" s="115" t="e">
        <f t="array" aca="1" ref="E3769" ca="1">IF(OR(C3768=0,AND(B3770=0,C3770=0)),"",IFERROR(INDEX($F$27:$F$36,MATCH(C3769,($F$27:$F$36)*($D$27:$D$36&lt;&gt;0),0)),IF(OR(AND(D3769=0,B3769=0,B3770&lt;&gt;0),AND(D3769*D3768&lt;0,B3769&lt;&gt;0)),IF(D3769=0,C3769,C3769*(1-ABS(D3769)/(ABS(D3769)+ABS(D3768)))+C3768*(1-ABS(D3768)/(ABS(D3769)+ABS(D3768)))),"")))</f>
        <v>#NAME?</v>
      </c>
    </row>
    <row r="3770" spans="2:5" x14ac:dyDescent="0.25">
      <c r="B3770" t="e">
        <f t="shared" ca="1" si="119"/>
        <v>#NAME?</v>
      </c>
      <c r="C3770">
        <v>3727</v>
      </c>
      <c r="D3770" t="e">
        <f t="shared" ca="1" si="118"/>
        <v>#NAME?</v>
      </c>
      <c r="E3770" s="115" t="e">
        <f t="array" aca="1" ref="E3770" ca="1">IF(OR(C3769=0,AND(B3771=0,C3771=0)),"",IFERROR(INDEX($F$27:$F$36,MATCH(C3770,($F$27:$F$36)*($D$27:$D$36&lt;&gt;0),0)),IF(OR(AND(D3770=0,B3770=0,B3771&lt;&gt;0),AND(D3770*D3769&lt;0,B3770&lt;&gt;0)),IF(D3770=0,C3770,C3770*(1-ABS(D3770)/(ABS(D3770)+ABS(D3769)))+C3769*(1-ABS(D3769)/(ABS(D3770)+ABS(D3769)))),"")))</f>
        <v>#NAME?</v>
      </c>
    </row>
    <row r="3771" spans="2:5" x14ac:dyDescent="0.25">
      <c r="B3771" t="e">
        <f t="shared" ca="1" si="119"/>
        <v>#NAME?</v>
      </c>
      <c r="C3771">
        <v>3728</v>
      </c>
      <c r="D3771" t="e">
        <f t="shared" ca="1" si="118"/>
        <v>#NAME?</v>
      </c>
      <c r="E3771" s="115" t="e">
        <f t="array" aca="1" ref="E3771" ca="1">IF(OR(C3770=0,AND(B3772=0,C3772=0)),"",IFERROR(INDEX($F$27:$F$36,MATCH(C3771,($F$27:$F$36)*($D$27:$D$36&lt;&gt;0),0)),IF(OR(AND(D3771=0,B3771=0,B3772&lt;&gt;0),AND(D3771*D3770&lt;0,B3771&lt;&gt;0)),IF(D3771=0,C3771,C3771*(1-ABS(D3771)/(ABS(D3771)+ABS(D3770)))+C3770*(1-ABS(D3770)/(ABS(D3771)+ABS(D3770)))),"")))</f>
        <v>#NAME?</v>
      </c>
    </row>
    <row r="3772" spans="2:5" x14ac:dyDescent="0.25">
      <c r="B3772" t="e">
        <f t="shared" ca="1" si="119"/>
        <v>#NAME?</v>
      </c>
      <c r="C3772">
        <v>3729</v>
      </c>
      <c r="D3772" t="e">
        <f t="shared" ca="1" si="118"/>
        <v>#NAME?</v>
      </c>
      <c r="E3772" s="115" t="e">
        <f t="array" aca="1" ref="E3772" ca="1">IF(OR(C3771=0,AND(B3773=0,C3773=0)),"",IFERROR(INDEX($F$27:$F$36,MATCH(C3772,($F$27:$F$36)*($D$27:$D$36&lt;&gt;0),0)),IF(OR(AND(D3772=0,B3772=0,B3773&lt;&gt;0),AND(D3772*D3771&lt;0,B3772&lt;&gt;0)),IF(D3772=0,C3772,C3772*(1-ABS(D3772)/(ABS(D3772)+ABS(D3771)))+C3771*(1-ABS(D3771)/(ABS(D3772)+ABS(D3771)))),"")))</f>
        <v>#NAME?</v>
      </c>
    </row>
    <row r="3773" spans="2:5" x14ac:dyDescent="0.25">
      <c r="B3773" t="e">
        <f t="shared" ca="1" si="119"/>
        <v>#NAME?</v>
      </c>
      <c r="C3773">
        <v>3730</v>
      </c>
      <c r="D3773" t="e">
        <f t="shared" ca="1" si="118"/>
        <v>#NAME?</v>
      </c>
      <c r="E3773" s="115" t="e">
        <f t="array" aca="1" ref="E3773" ca="1">IF(OR(C3772=0,AND(B3774=0,C3774=0)),"",IFERROR(INDEX($F$27:$F$36,MATCH(C3773,($F$27:$F$36)*($D$27:$D$36&lt;&gt;0),0)),IF(OR(AND(D3773=0,B3773=0,B3774&lt;&gt;0),AND(D3773*D3772&lt;0,B3773&lt;&gt;0)),IF(D3773=0,C3773,C3773*(1-ABS(D3773)/(ABS(D3773)+ABS(D3772)))+C3772*(1-ABS(D3772)/(ABS(D3773)+ABS(D3772)))),"")))</f>
        <v>#NAME?</v>
      </c>
    </row>
    <row r="3774" spans="2:5" x14ac:dyDescent="0.25">
      <c r="B3774" t="e">
        <f t="shared" ca="1" si="119"/>
        <v>#NAME?</v>
      </c>
      <c r="C3774">
        <v>3731</v>
      </c>
      <c r="D3774" t="e">
        <f t="shared" ca="1" si="118"/>
        <v>#NAME?</v>
      </c>
      <c r="E3774" s="115" t="e">
        <f t="array" aca="1" ref="E3774" ca="1">IF(OR(C3773=0,AND(B3775=0,C3775=0)),"",IFERROR(INDEX($F$27:$F$36,MATCH(C3774,($F$27:$F$36)*($D$27:$D$36&lt;&gt;0),0)),IF(OR(AND(D3774=0,B3774=0,B3775&lt;&gt;0),AND(D3774*D3773&lt;0,B3774&lt;&gt;0)),IF(D3774=0,C3774,C3774*(1-ABS(D3774)/(ABS(D3774)+ABS(D3773)))+C3773*(1-ABS(D3773)/(ABS(D3774)+ABS(D3773)))),"")))</f>
        <v>#NAME?</v>
      </c>
    </row>
    <row r="3775" spans="2:5" x14ac:dyDescent="0.25">
      <c r="B3775" t="e">
        <f t="shared" ca="1" si="119"/>
        <v>#NAME?</v>
      </c>
      <c r="C3775">
        <v>3732</v>
      </c>
      <c r="D3775" t="e">
        <f t="shared" ca="1" si="118"/>
        <v>#NAME?</v>
      </c>
      <c r="E3775" s="115" t="e">
        <f t="array" aca="1" ref="E3775" ca="1">IF(OR(C3774=0,AND(B3776=0,C3776=0)),"",IFERROR(INDEX($F$27:$F$36,MATCH(C3775,($F$27:$F$36)*($D$27:$D$36&lt;&gt;0),0)),IF(OR(AND(D3775=0,B3775=0,B3776&lt;&gt;0),AND(D3775*D3774&lt;0,B3775&lt;&gt;0)),IF(D3775=0,C3775,C3775*(1-ABS(D3775)/(ABS(D3775)+ABS(D3774)))+C3774*(1-ABS(D3774)/(ABS(D3775)+ABS(D3774)))),"")))</f>
        <v>#NAME?</v>
      </c>
    </row>
    <row r="3776" spans="2:5" x14ac:dyDescent="0.25">
      <c r="B3776" t="e">
        <f t="shared" ca="1" si="119"/>
        <v>#NAME?</v>
      </c>
      <c r="C3776">
        <v>3733</v>
      </c>
      <c r="D3776" t="e">
        <f t="shared" ca="1" si="118"/>
        <v>#NAME?</v>
      </c>
      <c r="E3776" s="115" t="e">
        <f t="array" aca="1" ref="E3776" ca="1">IF(OR(C3775=0,AND(B3777=0,C3777=0)),"",IFERROR(INDEX($F$27:$F$36,MATCH(C3776,($F$27:$F$36)*($D$27:$D$36&lt;&gt;0),0)),IF(OR(AND(D3776=0,B3776=0,B3777&lt;&gt;0),AND(D3776*D3775&lt;0,B3776&lt;&gt;0)),IF(D3776=0,C3776,C3776*(1-ABS(D3776)/(ABS(D3776)+ABS(D3775)))+C3775*(1-ABS(D3775)/(ABS(D3776)+ABS(D3775)))),"")))</f>
        <v>#NAME?</v>
      </c>
    </row>
    <row r="3777" spans="2:5" x14ac:dyDescent="0.25">
      <c r="B3777" t="e">
        <f t="shared" ca="1" si="119"/>
        <v>#NAME?</v>
      </c>
      <c r="C3777">
        <v>3734</v>
      </c>
      <c r="D3777" t="e">
        <f t="shared" ca="1" si="118"/>
        <v>#NAME?</v>
      </c>
      <c r="E3777" s="115" t="e">
        <f t="array" aca="1" ref="E3777" ca="1">IF(OR(C3776=0,AND(B3778=0,C3778=0)),"",IFERROR(INDEX($F$27:$F$36,MATCH(C3777,($F$27:$F$36)*($D$27:$D$36&lt;&gt;0),0)),IF(OR(AND(D3777=0,B3777=0,B3778&lt;&gt;0),AND(D3777*D3776&lt;0,B3777&lt;&gt;0)),IF(D3777=0,C3777,C3777*(1-ABS(D3777)/(ABS(D3777)+ABS(D3776)))+C3776*(1-ABS(D3776)/(ABS(D3777)+ABS(D3776)))),"")))</f>
        <v>#NAME?</v>
      </c>
    </row>
    <row r="3778" spans="2:5" x14ac:dyDescent="0.25">
      <c r="B3778" t="e">
        <f t="shared" ca="1" si="119"/>
        <v>#NAME?</v>
      </c>
      <c r="C3778">
        <v>3735</v>
      </c>
      <c r="D3778" t="e">
        <f t="shared" ca="1" si="118"/>
        <v>#NAME?</v>
      </c>
      <c r="E3778" s="115" t="e">
        <f t="array" aca="1" ref="E3778" ca="1">IF(OR(C3777=0,AND(B3779=0,C3779=0)),"",IFERROR(INDEX($F$27:$F$36,MATCH(C3778,($F$27:$F$36)*($D$27:$D$36&lt;&gt;0),0)),IF(OR(AND(D3778=0,B3778=0,B3779&lt;&gt;0),AND(D3778*D3777&lt;0,B3778&lt;&gt;0)),IF(D3778=0,C3778,C3778*(1-ABS(D3778)/(ABS(D3778)+ABS(D3777)))+C3777*(1-ABS(D3777)/(ABS(D3778)+ABS(D3777)))),"")))</f>
        <v>#NAME?</v>
      </c>
    </row>
    <row r="3779" spans="2:5" x14ac:dyDescent="0.25">
      <c r="B3779" t="e">
        <f t="shared" ca="1" si="119"/>
        <v>#NAME?</v>
      </c>
      <c r="C3779">
        <v>3736</v>
      </c>
      <c r="D3779" t="e">
        <f t="shared" ca="1" si="118"/>
        <v>#NAME?</v>
      </c>
      <c r="E3779" s="115" t="e">
        <f t="array" aca="1" ref="E3779" ca="1">IF(OR(C3778=0,AND(B3780=0,C3780=0)),"",IFERROR(INDEX($F$27:$F$36,MATCH(C3779,($F$27:$F$36)*($D$27:$D$36&lt;&gt;0),0)),IF(OR(AND(D3779=0,B3779=0,B3780&lt;&gt;0),AND(D3779*D3778&lt;0,B3779&lt;&gt;0)),IF(D3779=0,C3779,C3779*(1-ABS(D3779)/(ABS(D3779)+ABS(D3778)))+C3778*(1-ABS(D3778)/(ABS(D3779)+ABS(D3778)))),"")))</f>
        <v>#NAME?</v>
      </c>
    </row>
    <row r="3780" spans="2:5" x14ac:dyDescent="0.25">
      <c r="B3780" t="e">
        <f t="shared" ca="1" si="119"/>
        <v>#NAME?</v>
      </c>
      <c r="C3780">
        <v>3737</v>
      </c>
      <c r="D3780" t="e">
        <f t="shared" ca="1" si="118"/>
        <v>#NAME?</v>
      </c>
      <c r="E3780" s="115" t="e">
        <f t="array" aca="1" ref="E3780" ca="1">IF(OR(C3779=0,AND(B3781=0,C3781=0)),"",IFERROR(INDEX($F$27:$F$36,MATCH(C3780,($F$27:$F$36)*($D$27:$D$36&lt;&gt;0),0)),IF(OR(AND(D3780=0,B3780=0,B3781&lt;&gt;0),AND(D3780*D3779&lt;0,B3780&lt;&gt;0)),IF(D3780=0,C3780,C3780*(1-ABS(D3780)/(ABS(D3780)+ABS(D3779)))+C3779*(1-ABS(D3779)/(ABS(D3780)+ABS(D3779)))),"")))</f>
        <v>#NAME?</v>
      </c>
    </row>
    <row r="3781" spans="2:5" x14ac:dyDescent="0.25">
      <c r="B3781" t="e">
        <f t="shared" ca="1" si="119"/>
        <v>#NAME?</v>
      </c>
      <c r="C3781">
        <v>3738</v>
      </c>
      <c r="D3781" t="e">
        <f t="shared" ca="1" si="118"/>
        <v>#NAME?</v>
      </c>
      <c r="E3781" s="115" t="e">
        <f t="array" aca="1" ref="E3781" ca="1">IF(OR(C3780=0,AND(B3782=0,C3782=0)),"",IFERROR(INDEX($F$27:$F$36,MATCH(C3781,($F$27:$F$36)*($D$27:$D$36&lt;&gt;0),0)),IF(OR(AND(D3781=0,B3781=0,B3782&lt;&gt;0),AND(D3781*D3780&lt;0,B3781&lt;&gt;0)),IF(D3781=0,C3781,C3781*(1-ABS(D3781)/(ABS(D3781)+ABS(D3780)))+C3780*(1-ABS(D3780)/(ABS(D3781)+ABS(D3780)))),"")))</f>
        <v>#NAME?</v>
      </c>
    </row>
    <row r="3782" spans="2:5" x14ac:dyDescent="0.25">
      <c r="B3782" t="e">
        <f t="shared" ca="1" si="119"/>
        <v>#NAME?</v>
      </c>
      <c r="C3782">
        <v>3739</v>
      </c>
      <c r="D3782" t="e">
        <f t="shared" ca="1" si="118"/>
        <v>#NAME?</v>
      </c>
      <c r="E3782" s="115" t="e">
        <f t="array" aca="1" ref="E3782" ca="1">IF(OR(C3781=0,AND(B3783=0,C3783=0)),"",IFERROR(INDEX($F$27:$F$36,MATCH(C3782,($F$27:$F$36)*($D$27:$D$36&lt;&gt;0),0)),IF(OR(AND(D3782=0,B3782=0,B3783&lt;&gt;0),AND(D3782*D3781&lt;0,B3782&lt;&gt;0)),IF(D3782=0,C3782,C3782*(1-ABS(D3782)/(ABS(D3782)+ABS(D3781)))+C3781*(1-ABS(D3781)/(ABS(D3782)+ABS(D3781)))),"")))</f>
        <v>#NAME?</v>
      </c>
    </row>
    <row r="3783" spans="2:5" x14ac:dyDescent="0.25">
      <c r="B3783" t="e">
        <f t="shared" ca="1" si="119"/>
        <v>#NAME?</v>
      </c>
      <c r="C3783">
        <v>3740</v>
      </c>
      <c r="D3783" t="e">
        <f t="shared" ca="1" si="118"/>
        <v>#NAME?</v>
      </c>
      <c r="E3783" s="115" t="e">
        <f t="array" aca="1" ref="E3783" ca="1">IF(OR(C3782=0,AND(B3784=0,C3784=0)),"",IFERROR(INDEX($F$27:$F$36,MATCH(C3783,($F$27:$F$36)*($D$27:$D$36&lt;&gt;0),0)),IF(OR(AND(D3783=0,B3783=0,B3784&lt;&gt;0),AND(D3783*D3782&lt;0,B3783&lt;&gt;0)),IF(D3783=0,C3783,C3783*(1-ABS(D3783)/(ABS(D3783)+ABS(D3782)))+C3782*(1-ABS(D3782)/(ABS(D3783)+ABS(D3782)))),"")))</f>
        <v>#NAME?</v>
      </c>
    </row>
    <row r="3784" spans="2:5" x14ac:dyDescent="0.25">
      <c r="B3784" t="e">
        <f t="shared" ca="1" si="119"/>
        <v>#NAME?</v>
      </c>
      <c r="C3784">
        <v>3741</v>
      </c>
      <c r="D3784" t="e">
        <f t="shared" ca="1" si="118"/>
        <v>#NAME?</v>
      </c>
      <c r="E3784" s="115" t="e">
        <f t="array" aca="1" ref="E3784" ca="1">IF(OR(C3783=0,AND(B3785=0,C3785=0)),"",IFERROR(INDEX($F$27:$F$36,MATCH(C3784,($F$27:$F$36)*($D$27:$D$36&lt;&gt;0),0)),IF(OR(AND(D3784=0,B3784=0,B3785&lt;&gt;0),AND(D3784*D3783&lt;0,B3784&lt;&gt;0)),IF(D3784=0,C3784,C3784*(1-ABS(D3784)/(ABS(D3784)+ABS(D3783)))+C3783*(1-ABS(D3783)/(ABS(D3784)+ABS(D3783)))),"")))</f>
        <v>#NAME?</v>
      </c>
    </row>
    <row r="3785" spans="2:5" x14ac:dyDescent="0.25">
      <c r="B3785" t="e">
        <f t="shared" ca="1" si="119"/>
        <v>#NAME?</v>
      </c>
      <c r="C3785">
        <v>3742</v>
      </c>
      <c r="D3785" t="e">
        <f t="shared" ca="1" si="118"/>
        <v>#NAME?</v>
      </c>
      <c r="E3785" s="115" t="e">
        <f t="array" aca="1" ref="E3785" ca="1">IF(OR(C3784=0,AND(B3786=0,C3786=0)),"",IFERROR(INDEX($F$27:$F$36,MATCH(C3785,($F$27:$F$36)*($D$27:$D$36&lt;&gt;0),0)),IF(OR(AND(D3785=0,B3785=0,B3786&lt;&gt;0),AND(D3785*D3784&lt;0,B3785&lt;&gt;0)),IF(D3785=0,C3785,C3785*(1-ABS(D3785)/(ABS(D3785)+ABS(D3784)))+C3784*(1-ABS(D3784)/(ABS(D3785)+ABS(D3784)))),"")))</f>
        <v>#NAME?</v>
      </c>
    </row>
    <row r="3786" spans="2:5" x14ac:dyDescent="0.25">
      <c r="B3786" t="e">
        <f t="shared" ca="1" si="119"/>
        <v>#NAME?</v>
      </c>
      <c r="C3786">
        <v>3743</v>
      </c>
      <c r="D3786" t="e">
        <f t="shared" ca="1" si="118"/>
        <v>#NAME?</v>
      </c>
      <c r="E3786" s="115" t="e">
        <f t="array" aca="1" ref="E3786" ca="1">IF(OR(C3785=0,AND(B3787=0,C3787=0)),"",IFERROR(INDEX($F$27:$F$36,MATCH(C3786,($F$27:$F$36)*($D$27:$D$36&lt;&gt;0),0)),IF(OR(AND(D3786=0,B3786=0,B3787&lt;&gt;0),AND(D3786*D3785&lt;0,B3786&lt;&gt;0)),IF(D3786=0,C3786,C3786*(1-ABS(D3786)/(ABS(D3786)+ABS(D3785)))+C3785*(1-ABS(D3785)/(ABS(D3786)+ABS(D3785)))),"")))</f>
        <v>#NAME?</v>
      </c>
    </row>
    <row r="3787" spans="2:5" x14ac:dyDescent="0.25">
      <c r="B3787" t="e">
        <f t="shared" ca="1" si="119"/>
        <v>#NAME?</v>
      </c>
      <c r="C3787">
        <v>3744</v>
      </c>
      <c r="D3787" t="e">
        <f t="shared" ca="1" si="118"/>
        <v>#NAME?</v>
      </c>
      <c r="E3787" s="115" t="e">
        <f t="array" aca="1" ref="E3787" ca="1">IF(OR(C3786=0,AND(B3788=0,C3788=0)),"",IFERROR(INDEX($F$27:$F$36,MATCH(C3787,($F$27:$F$36)*($D$27:$D$36&lt;&gt;0),0)),IF(OR(AND(D3787=0,B3787=0,B3788&lt;&gt;0),AND(D3787*D3786&lt;0,B3787&lt;&gt;0)),IF(D3787=0,C3787,C3787*(1-ABS(D3787)/(ABS(D3787)+ABS(D3786)))+C3786*(1-ABS(D3786)/(ABS(D3787)+ABS(D3786)))),"")))</f>
        <v>#NAME?</v>
      </c>
    </row>
    <row r="3788" spans="2:5" x14ac:dyDescent="0.25">
      <c r="B3788" t="e">
        <f t="shared" ca="1" si="119"/>
        <v>#NAME?</v>
      </c>
      <c r="C3788">
        <v>3745</v>
      </c>
      <c r="D3788" t="e">
        <f t="shared" ca="1" si="118"/>
        <v>#NAME?</v>
      </c>
      <c r="E3788" s="115" t="e">
        <f t="array" aca="1" ref="E3788" ca="1">IF(OR(C3787=0,AND(B3789=0,C3789=0)),"",IFERROR(INDEX($F$27:$F$36,MATCH(C3788,($F$27:$F$36)*($D$27:$D$36&lt;&gt;0),0)),IF(OR(AND(D3788=0,B3788=0,B3789&lt;&gt;0),AND(D3788*D3787&lt;0,B3788&lt;&gt;0)),IF(D3788=0,C3788,C3788*(1-ABS(D3788)/(ABS(D3788)+ABS(D3787)))+C3787*(1-ABS(D3787)/(ABS(D3788)+ABS(D3787)))),"")))</f>
        <v>#NAME?</v>
      </c>
    </row>
    <row r="3789" spans="2:5" x14ac:dyDescent="0.25">
      <c r="B3789" t="e">
        <f t="shared" ca="1" si="119"/>
        <v>#NAME?</v>
      </c>
      <c r="C3789">
        <v>3746</v>
      </c>
      <c r="D3789" t="e">
        <f t="shared" ca="1" si="118"/>
        <v>#NAME?</v>
      </c>
      <c r="E3789" s="115" t="e">
        <f t="array" aca="1" ref="E3789" ca="1">IF(OR(C3788=0,AND(B3790=0,C3790=0)),"",IFERROR(INDEX($F$27:$F$36,MATCH(C3789,($F$27:$F$36)*($D$27:$D$36&lt;&gt;0),0)),IF(OR(AND(D3789=0,B3789=0,B3790&lt;&gt;0),AND(D3789*D3788&lt;0,B3789&lt;&gt;0)),IF(D3789=0,C3789,C3789*(1-ABS(D3789)/(ABS(D3789)+ABS(D3788)))+C3788*(1-ABS(D3788)/(ABS(D3789)+ABS(D3788)))),"")))</f>
        <v>#NAME?</v>
      </c>
    </row>
    <row r="3790" spans="2:5" x14ac:dyDescent="0.25">
      <c r="B3790" t="e">
        <f t="shared" ca="1" si="119"/>
        <v>#NAME?</v>
      </c>
      <c r="C3790">
        <v>3747</v>
      </c>
      <c r="D3790" t="e">
        <f t="shared" ca="1" si="118"/>
        <v>#NAME?</v>
      </c>
      <c r="E3790" s="115" t="e">
        <f t="array" aca="1" ref="E3790" ca="1">IF(OR(C3789=0,AND(B3791=0,C3791=0)),"",IFERROR(INDEX($F$27:$F$36,MATCH(C3790,($F$27:$F$36)*($D$27:$D$36&lt;&gt;0),0)),IF(OR(AND(D3790=0,B3790=0,B3791&lt;&gt;0),AND(D3790*D3789&lt;0,B3790&lt;&gt;0)),IF(D3790=0,C3790,C3790*(1-ABS(D3790)/(ABS(D3790)+ABS(D3789)))+C3789*(1-ABS(D3789)/(ABS(D3790)+ABS(D3789)))),"")))</f>
        <v>#NAME?</v>
      </c>
    </row>
    <row r="3791" spans="2:5" x14ac:dyDescent="0.25">
      <c r="B3791" t="e">
        <f t="shared" ca="1" si="119"/>
        <v>#NAME?</v>
      </c>
      <c r="C3791">
        <v>3748</v>
      </c>
      <c r="D3791" t="e">
        <f t="shared" ca="1" si="118"/>
        <v>#NAME?</v>
      </c>
      <c r="E3791" s="115" t="e">
        <f t="array" aca="1" ref="E3791" ca="1">IF(OR(C3790=0,AND(B3792=0,C3792=0)),"",IFERROR(INDEX($F$27:$F$36,MATCH(C3791,($F$27:$F$36)*($D$27:$D$36&lt;&gt;0),0)),IF(OR(AND(D3791=0,B3791=0,B3792&lt;&gt;0),AND(D3791*D3790&lt;0,B3791&lt;&gt;0)),IF(D3791=0,C3791,C3791*(1-ABS(D3791)/(ABS(D3791)+ABS(D3790)))+C3790*(1-ABS(D3790)/(ABS(D3791)+ABS(D3790)))),"")))</f>
        <v>#NAME?</v>
      </c>
    </row>
    <row r="3792" spans="2:5" x14ac:dyDescent="0.25">
      <c r="B3792" t="e">
        <f t="shared" ca="1" si="119"/>
        <v>#NAME?</v>
      </c>
      <c r="C3792">
        <v>3749</v>
      </c>
      <c r="D3792" t="e">
        <f t="shared" ca="1" si="118"/>
        <v>#NAME?</v>
      </c>
      <c r="E3792" s="115" t="e">
        <f t="array" aca="1" ref="E3792" ca="1">IF(OR(C3791=0,AND(B3793=0,C3793=0)),"",IFERROR(INDEX($F$27:$F$36,MATCH(C3792,($F$27:$F$36)*($D$27:$D$36&lt;&gt;0),0)),IF(OR(AND(D3792=0,B3792=0,B3793&lt;&gt;0),AND(D3792*D3791&lt;0,B3792&lt;&gt;0)),IF(D3792=0,C3792,C3792*(1-ABS(D3792)/(ABS(D3792)+ABS(D3791)))+C3791*(1-ABS(D3791)/(ABS(D3792)+ABS(D3791)))),"")))</f>
        <v>#NAME?</v>
      </c>
    </row>
    <row r="3793" spans="2:5" x14ac:dyDescent="0.25">
      <c r="B3793" t="e">
        <f t="shared" ca="1" si="119"/>
        <v>#NAME?</v>
      </c>
      <c r="C3793">
        <v>3750</v>
      </c>
      <c r="D3793" t="e">
        <f t="shared" ca="1" si="118"/>
        <v>#NAME?</v>
      </c>
      <c r="E3793" s="115" t="e">
        <f t="array" aca="1" ref="E3793" ca="1">IF(OR(C3792=0,AND(B3794=0,C3794=0)),"",IFERROR(INDEX($F$27:$F$36,MATCH(C3793,($F$27:$F$36)*($D$27:$D$36&lt;&gt;0),0)),IF(OR(AND(D3793=0,B3793=0,B3794&lt;&gt;0),AND(D3793*D3792&lt;0,B3793&lt;&gt;0)),IF(D3793=0,C3793,C3793*(1-ABS(D3793)/(ABS(D3793)+ABS(D3792)))+C3792*(1-ABS(D3792)/(ABS(D3793)+ABS(D3792)))),"")))</f>
        <v>#NAME?</v>
      </c>
    </row>
    <row r="3794" spans="2:5" x14ac:dyDescent="0.25">
      <c r="B3794" t="e">
        <f t="shared" ca="1" si="119"/>
        <v>#NAME?</v>
      </c>
      <c r="C3794">
        <v>3751</v>
      </c>
      <c r="D3794" t="e">
        <f t="shared" ca="1" si="118"/>
        <v>#NAME?</v>
      </c>
      <c r="E3794" s="115" t="e">
        <f t="array" aca="1" ref="E3794" ca="1">IF(OR(C3793=0,AND(B3795=0,C3795=0)),"",IFERROR(INDEX($F$27:$F$36,MATCH(C3794,($F$27:$F$36)*($D$27:$D$36&lt;&gt;0),0)),IF(OR(AND(D3794=0,B3794=0,B3795&lt;&gt;0),AND(D3794*D3793&lt;0,B3794&lt;&gt;0)),IF(D3794=0,C3794,C3794*(1-ABS(D3794)/(ABS(D3794)+ABS(D3793)))+C3793*(1-ABS(D3793)/(ABS(D3794)+ABS(D3793)))),"")))</f>
        <v>#NAME?</v>
      </c>
    </row>
    <row r="3795" spans="2:5" x14ac:dyDescent="0.25">
      <c r="B3795" t="e">
        <f t="shared" ca="1" si="119"/>
        <v>#NAME?</v>
      </c>
      <c r="C3795">
        <v>3752</v>
      </c>
      <c r="D3795" t="e">
        <f t="shared" ca="1" si="118"/>
        <v>#NAME?</v>
      </c>
      <c r="E3795" s="115" t="e">
        <f t="array" aca="1" ref="E3795" ca="1">IF(OR(C3794=0,AND(B3796=0,C3796=0)),"",IFERROR(INDEX($F$27:$F$36,MATCH(C3795,($F$27:$F$36)*($D$27:$D$36&lt;&gt;0),0)),IF(OR(AND(D3795=0,B3795=0,B3796&lt;&gt;0),AND(D3795*D3794&lt;0,B3795&lt;&gt;0)),IF(D3795=0,C3795,C3795*(1-ABS(D3795)/(ABS(D3795)+ABS(D3794)))+C3794*(1-ABS(D3794)/(ABS(D3795)+ABS(D3794)))),"")))</f>
        <v>#NAME?</v>
      </c>
    </row>
    <row r="3796" spans="2:5" x14ac:dyDescent="0.25">
      <c r="B3796" t="e">
        <f t="shared" ca="1" si="119"/>
        <v>#NAME?</v>
      </c>
      <c r="C3796">
        <v>3753</v>
      </c>
      <c r="D3796" t="e">
        <f t="shared" ca="1" si="118"/>
        <v>#NAME?</v>
      </c>
      <c r="E3796" s="115" t="e">
        <f t="array" aca="1" ref="E3796" ca="1">IF(OR(C3795=0,AND(B3797=0,C3797=0)),"",IFERROR(INDEX($F$27:$F$36,MATCH(C3796,($F$27:$F$36)*($D$27:$D$36&lt;&gt;0),0)),IF(OR(AND(D3796=0,B3796=0,B3797&lt;&gt;0),AND(D3796*D3795&lt;0,B3796&lt;&gt;0)),IF(D3796=0,C3796,C3796*(1-ABS(D3796)/(ABS(D3796)+ABS(D3795)))+C3795*(1-ABS(D3795)/(ABS(D3796)+ABS(D3795)))),"")))</f>
        <v>#NAME?</v>
      </c>
    </row>
    <row r="3797" spans="2:5" x14ac:dyDescent="0.25">
      <c r="B3797" t="e">
        <f t="shared" ca="1" si="119"/>
        <v>#NAME?</v>
      </c>
      <c r="C3797">
        <v>3754</v>
      </c>
      <c r="D3797" t="e">
        <f t="shared" ca="1" si="118"/>
        <v>#NAME?</v>
      </c>
      <c r="E3797" s="115" t="e">
        <f t="array" aca="1" ref="E3797" ca="1">IF(OR(C3796=0,AND(B3798=0,C3798=0)),"",IFERROR(INDEX($F$27:$F$36,MATCH(C3797,($F$27:$F$36)*($D$27:$D$36&lt;&gt;0),0)),IF(OR(AND(D3797=0,B3797=0,B3798&lt;&gt;0),AND(D3797*D3796&lt;0,B3797&lt;&gt;0)),IF(D3797=0,C3797,C3797*(1-ABS(D3797)/(ABS(D3797)+ABS(D3796)))+C3796*(1-ABS(D3796)/(ABS(D3797)+ABS(D3796)))),"")))</f>
        <v>#NAME?</v>
      </c>
    </row>
    <row r="3798" spans="2:5" x14ac:dyDescent="0.25">
      <c r="B3798" t="e">
        <f t="shared" ca="1" si="119"/>
        <v>#NAME?</v>
      </c>
      <c r="C3798">
        <v>3755</v>
      </c>
      <c r="D3798" t="e">
        <f t="shared" ca="1" si="118"/>
        <v>#NAME?</v>
      </c>
      <c r="E3798" s="115" t="e">
        <f t="array" aca="1" ref="E3798" ca="1">IF(OR(C3797=0,AND(B3799=0,C3799=0)),"",IFERROR(INDEX($F$27:$F$36,MATCH(C3798,($F$27:$F$36)*($D$27:$D$36&lt;&gt;0),0)),IF(OR(AND(D3798=0,B3798=0,B3799&lt;&gt;0),AND(D3798*D3797&lt;0,B3798&lt;&gt;0)),IF(D3798=0,C3798,C3798*(1-ABS(D3798)/(ABS(D3798)+ABS(D3797)))+C3797*(1-ABS(D3797)/(ABS(D3798)+ABS(D3797)))),"")))</f>
        <v>#NAME?</v>
      </c>
    </row>
    <row r="3799" spans="2:5" x14ac:dyDescent="0.25">
      <c r="B3799" t="e">
        <f t="shared" ca="1" si="119"/>
        <v>#NAME?</v>
      </c>
      <c r="C3799">
        <v>3756</v>
      </c>
      <c r="D3799" t="e">
        <f t="shared" ca="1" si="118"/>
        <v>#NAME?</v>
      </c>
      <c r="E3799" s="115" t="e">
        <f t="array" aca="1" ref="E3799" ca="1">IF(OR(C3798=0,AND(B3800=0,C3800=0)),"",IFERROR(INDEX($F$27:$F$36,MATCH(C3799,($F$27:$F$36)*($D$27:$D$36&lt;&gt;0),0)),IF(OR(AND(D3799=0,B3799=0,B3800&lt;&gt;0),AND(D3799*D3798&lt;0,B3799&lt;&gt;0)),IF(D3799=0,C3799,C3799*(1-ABS(D3799)/(ABS(D3799)+ABS(D3798)))+C3798*(1-ABS(D3798)/(ABS(D3799)+ABS(D3798)))),"")))</f>
        <v>#NAME?</v>
      </c>
    </row>
    <row r="3800" spans="2:5" x14ac:dyDescent="0.25">
      <c r="B3800" t="e">
        <f t="shared" ca="1" si="119"/>
        <v>#NAME?</v>
      </c>
      <c r="C3800">
        <v>3757</v>
      </c>
      <c r="D3800" t="e">
        <f t="shared" ca="1" si="118"/>
        <v>#NAME?</v>
      </c>
      <c r="E3800" s="115" t="e">
        <f t="array" aca="1" ref="E3800" ca="1">IF(OR(C3799=0,AND(B3801=0,C3801=0)),"",IFERROR(INDEX($F$27:$F$36,MATCH(C3800,($F$27:$F$36)*($D$27:$D$36&lt;&gt;0),0)),IF(OR(AND(D3800=0,B3800=0,B3801&lt;&gt;0),AND(D3800*D3799&lt;0,B3800&lt;&gt;0)),IF(D3800=0,C3800,C3800*(1-ABS(D3800)/(ABS(D3800)+ABS(D3799)))+C3799*(1-ABS(D3799)/(ABS(D3800)+ABS(D3799)))),"")))</f>
        <v>#NAME?</v>
      </c>
    </row>
    <row r="3801" spans="2:5" x14ac:dyDescent="0.25">
      <c r="B3801" t="e">
        <f t="shared" ca="1" si="119"/>
        <v>#NAME?</v>
      </c>
      <c r="C3801">
        <v>3758</v>
      </c>
      <c r="D3801" t="e">
        <f t="shared" ca="1" si="118"/>
        <v>#NAME?</v>
      </c>
      <c r="E3801" s="115" t="e">
        <f t="array" aca="1" ref="E3801" ca="1">IF(OR(C3800=0,AND(B3802=0,C3802=0)),"",IFERROR(INDEX($F$27:$F$36,MATCH(C3801,($F$27:$F$36)*($D$27:$D$36&lt;&gt;0),0)),IF(OR(AND(D3801=0,B3801=0,B3802&lt;&gt;0),AND(D3801*D3800&lt;0,B3801&lt;&gt;0)),IF(D3801=0,C3801,C3801*(1-ABS(D3801)/(ABS(D3801)+ABS(D3800)))+C3800*(1-ABS(D3800)/(ABS(D3801)+ABS(D3800)))),"")))</f>
        <v>#NAME?</v>
      </c>
    </row>
    <row r="3802" spans="2:5" x14ac:dyDescent="0.25">
      <c r="B3802" t="e">
        <f t="shared" ca="1" si="119"/>
        <v>#NAME?</v>
      </c>
      <c r="C3802">
        <v>3759</v>
      </c>
      <c r="D3802" t="e">
        <f t="shared" ca="1" si="118"/>
        <v>#NAME?</v>
      </c>
      <c r="E3802" s="115" t="e">
        <f t="array" aca="1" ref="E3802" ca="1">IF(OR(C3801=0,AND(B3803=0,C3803=0)),"",IFERROR(INDEX($F$27:$F$36,MATCH(C3802,($F$27:$F$36)*($D$27:$D$36&lt;&gt;0),0)),IF(OR(AND(D3802=0,B3802=0,B3803&lt;&gt;0),AND(D3802*D3801&lt;0,B3802&lt;&gt;0)),IF(D3802=0,C3802,C3802*(1-ABS(D3802)/(ABS(D3802)+ABS(D3801)))+C3801*(1-ABS(D3801)/(ABS(D3802)+ABS(D3801)))),"")))</f>
        <v>#NAME?</v>
      </c>
    </row>
    <row r="3803" spans="2:5" x14ac:dyDescent="0.25">
      <c r="B3803" t="e">
        <f t="shared" ca="1" si="119"/>
        <v>#NAME?</v>
      </c>
      <c r="C3803">
        <v>3760</v>
      </c>
      <c r="D3803" t="e">
        <f t="shared" ca="1" si="118"/>
        <v>#NAME?</v>
      </c>
      <c r="E3803" s="115" t="e">
        <f t="array" aca="1" ref="E3803" ca="1">IF(OR(C3802=0,AND(B3804=0,C3804=0)),"",IFERROR(INDEX($F$27:$F$36,MATCH(C3803,($F$27:$F$36)*($D$27:$D$36&lt;&gt;0),0)),IF(OR(AND(D3803=0,B3803=0,B3804&lt;&gt;0),AND(D3803*D3802&lt;0,B3803&lt;&gt;0)),IF(D3803=0,C3803,C3803*(1-ABS(D3803)/(ABS(D3803)+ABS(D3802)))+C3802*(1-ABS(D3802)/(ABS(D3803)+ABS(D3802)))),"")))</f>
        <v>#NAME?</v>
      </c>
    </row>
    <row r="3804" spans="2:5" x14ac:dyDescent="0.25">
      <c r="B3804" t="e">
        <f t="shared" ca="1" si="119"/>
        <v>#NAME?</v>
      </c>
      <c r="C3804">
        <v>3761</v>
      </c>
      <c r="D3804" t="e">
        <f t="shared" ca="1" si="118"/>
        <v>#NAME?</v>
      </c>
      <c r="E3804" s="115" t="e">
        <f t="array" aca="1" ref="E3804" ca="1">IF(OR(C3803=0,AND(B3805=0,C3805=0)),"",IFERROR(INDEX($F$27:$F$36,MATCH(C3804,($F$27:$F$36)*($D$27:$D$36&lt;&gt;0),0)),IF(OR(AND(D3804=0,B3804=0,B3805&lt;&gt;0),AND(D3804*D3803&lt;0,B3804&lt;&gt;0)),IF(D3804=0,C3804,C3804*(1-ABS(D3804)/(ABS(D3804)+ABS(D3803)))+C3803*(1-ABS(D3803)/(ABS(D3804)+ABS(D3803)))),"")))</f>
        <v>#NAME?</v>
      </c>
    </row>
    <row r="3805" spans="2:5" x14ac:dyDescent="0.25">
      <c r="B3805" t="e">
        <f t="shared" ca="1" si="119"/>
        <v>#NAME?</v>
      </c>
      <c r="C3805">
        <v>3762</v>
      </c>
      <c r="D3805" t="e">
        <f t="shared" ca="1" si="118"/>
        <v>#NAME?</v>
      </c>
      <c r="E3805" s="115" t="e">
        <f t="array" aca="1" ref="E3805" ca="1">IF(OR(C3804=0,AND(B3806=0,C3806=0)),"",IFERROR(INDEX($F$27:$F$36,MATCH(C3805,($F$27:$F$36)*($D$27:$D$36&lt;&gt;0),0)),IF(OR(AND(D3805=0,B3805=0,B3806&lt;&gt;0),AND(D3805*D3804&lt;0,B3805&lt;&gt;0)),IF(D3805=0,C3805,C3805*(1-ABS(D3805)/(ABS(D3805)+ABS(D3804)))+C3804*(1-ABS(D3804)/(ABS(D3805)+ABS(D3804)))),"")))</f>
        <v>#NAME?</v>
      </c>
    </row>
    <row r="3806" spans="2:5" x14ac:dyDescent="0.25">
      <c r="B3806" t="e">
        <f t="shared" ca="1" si="119"/>
        <v>#NAME?</v>
      </c>
      <c r="C3806">
        <v>3763</v>
      </c>
      <c r="D3806" t="e">
        <f t="shared" ca="1" si="118"/>
        <v>#NAME?</v>
      </c>
      <c r="E3806" s="115" t="e">
        <f t="array" aca="1" ref="E3806" ca="1">IF(OR(C3805=0,AND(B3807=0,C3807=0)),"",IFERROR(INDEX($F$27:$F$36,MATCH(C3806,($F$27:$F$36)*($D$27:$D$36&lt;&gt;0),0)),IF(OR(AND(D3806=0,B3806=0,B3807&lt;&gt;0),AND(D3806*D3805&lt;0,B3806&lt;&gt;0)),IF(D3806=0,C3806,C3806*(1-ABS(D3806)/(ABS(D3806)+ABS(D3805)))+C3805*(1-ABS(D3805)/(ABS(D3806)+ABS(D3805)))),"")))</f>
        <v>#NAME?</v>
      </c>
    </row>
    <row r="3807" spans="2:5" x14ac:dyDescent="0.25">
      <c r="B3807" t="e">
        <f t="shared" ca="1" si="119"/>
        <v>#NAME?</v>
      </c>
      <c r="C3807">
        <v>3764</v>
      </c>
      <c r="D3807" t="e">
        <f t="shared" ca="1" si="118"/>
        <v>#NAME?</v>
      </c>
      <c r="E3807" s="115" t="e">
        <f t="array" aca="1" ref="E3807" ca="1">IF(OR(C3806=0,AND(B3808=0,C3808=0)),"",IFERROR(INDEX($F$27:$F$36,MATCH(C3807,($F$27:$F$36)*($D$27:$D$36&lt;&gt;0),0)),IF(OR(AND(D3807=0,B3807=0,B3808&lt;&gt;0),AND(D3807*D3806&lt;0,B3807&lt;&gt;0)),IF(D3807=0,C3807,C3807*(1-ABS(D3807)/(ABS(D3807)+ABS(D3806)))+C3806*(1-ABS(D3806)/(ABS(D3807)+ABS(D3806)))),"")))</f>
        <v>#NAME?</v>
      </c>
    </row>
    <row r="3808" spans="2:5" x14ac:dyDescent="0.25">
      <c r="B3808" t="e">
        <f t="shared" ca="1" si="119"/>
        <v>#NAME?</v>
      </c>
      <c r="C3808">
        <v>3765</v>
      </c>
      <c r="D3808" t="e">
        <f t="shared" ca="1" si="118"/>
        <v>#NAME?</v>
      </c>
      <c r="E3808" s="115" t="e">
        <f t="array" aca="1" ref="E3808" ca="1">IF(OR(C3807=0,AND(B3809=0,C3809=0)),"",IFERROR(INDEX($F$27:$F$36,MATCH(C3808,($F$27:$F$36)*($D$27:$D$36&lt;&gt;0),0)),IF(OR(AND(D3808=0,B3808=0,B3809&lt;&gt;0),AND(D3808*D3807&lt;0,B3808&lt;&gt;0)),IF(D3808=0,C3808,C3808*(1-ABS(D3808)/(ABS(D3808)+ABS(D3807)))+C3807*(1-ABS(D3807)/(ABS(D3808)+ABS(D3807)))),"")))</f>
        <v>#NAME?</v>
      </c>
    </row>
    <row r="3809" spans="2:5" x14ac:dyDescent="0.25">
      <c r="B3809" t="e">
        <f t="shared" ca="1" si="119"/>
        <v>#NAME?</v>
      </c>
      <c r="C3809">
        <v>3766</v>
      </c>
      <c r="D3809" t="e">
        <f t="shared" ca="1" si="118"/>
        <v>#NAME?</v>
      </c>
      <c r="E3809" s="115" t="e">
        <f t="array" aca="1" ref="E3809" ca="1">IF(OR(C3808=0,AND(B3810=0,C3810=0)),"",IFERROR(INDEX($F$27:$F$36,MATCH(C3809,($F$27:$F$36)*($D$27:$D$36&lt;&gt;0),0)),IF(OR(AND(D3809=0,B3809=0,B3810&lt;&gt;0),AND(D3809*D3808&lt;0,B3809&lt;&gt;0)),IF(D3809=0,C3809,C3809*(1-ABS(D3809)/(ABS(D3809)+ABS(D3808)))+C3808*(1-ABS(D3808)/(ABS(D3809)+ABS(D3808)))),"")))</f>
        <v>#NAME?</v>
      </c>
    </row>
    <row r="3810" spans="2:5" x14ac:dyDescent="0.25">
      <c r="B3810" t="e">
        <f t="shared" ca="1" si="119"/>
        <v>#NAME?</v>
      </c>
      <c r="C3810">
        <v>3767</v>
      </c>
      <c r="D3810" t="e">
        <f t="shared" ca="1" si="118"/>
        <v>#NAME?</v>
      </c>
      <c r="E3810" s="115" t="e">
        <f t="array" aca="1" ref="E3810" ca="1">IF(OR(C3809=0,AND(B3811=0,C3811=0)),"",IFERROR(INDEX($F$27:$F$36,MATCH(C3810,($F$27:$F$36)*($D$27:$D$36&lt;&gt;0),0)),IF(OR(AND(D3810=0,B3810=0,B3811&lt;&gt;0),AND(D3810*D3809&lt;0,B3810&lt;&gt;0)),IF(D3810=0,C3810,C3810*(1-ABS(D3810)/(ABS(D3810)+ABS(D3809)))+C3809*(1-ABS(D3809)/(ABS(D3810)+ABS(D3809)))),"")))</f>
        <v>#NAME?</v>
      </c>
    </row>
    <row r="3811" spans="2:5" x14ac:dyDescent="0.25">
      <c r="B3811" t="e">
        <f t="shared" ca="1" si="119"/>
        <v>#NAME?</v>
      </c>
      <c r="C3811">
        <v>3768</v>
      </c>
      <c r="D3811" t="e">
        <f t="shared" ca="1" si="118"/>
        <v>#NAME?</v>
      </c>
      <c r="E3811" s="115" t="e">
        <f t="array" aca="1" ref="E3811" ca="1">IF(OR(C3810=0,AND(B3812=0,C3812=0)),"",IFERROR(INDEX($F$27:$F$36,MATCH(C3811,($F$27:$F$36)*($D$27:$D$36&lt;&gt;0),0)),IF(OR(AND(D3811=0,B3811=0,B3812&lt;&gt;0),AND(D3811*D3810&lt;0,B3811&lt;&gt;0)),IF(D3811=0,C3811,C3811*(1-ABS(D3811)/(ABS(D3811)+ABS(D3810)))+C3810*(1-ABS(D3810)/(ABS(D3811)+ABS(D3810)))),"")))</f>
        <v>#NAME?</v>
      </c>
    </row>
    <row r="3812" spans="2:5" x14ac:dyDescent="0.25">
      <c r="B3812" t="e">
        <f t="shared" ca="1" si="119"/>
        <v>#NAME?</v>
      </c>
      <c r="C3812">
        <v>3769</v>
      </c>
      <c r="D3812" t="e">
        <f t="shared" ca="1" si="118"/>
        <v>#NAME?</v>
      </c>
      <c r="E3812" s="115" t="e">
        <f t="array" aca="1" ref="E3812" ca="1">IF(OR(C3811=0,AND(B3813=0,C3813=0)),"",IFERROR(INDEX($F$27:$F$36,MATCH(C3812,($F$27:$F$36)*($D$27:$D$36&lt;&gt;0),0)),IF(OR(AND(D3812=0,B3812=0,B3813&lt;&gt;0),AND(D3812*D3811&lt;0,B3812&lt;&gt;0)),IF(D3812=0,C3812,C3812*(1-ABS(D3812)/(ABS(D3812)+ABS(D3811)))+C3811*(1-ABS(D3811)/(ABS(D3812)+ABS(D3811)))),"")))</f>
        <v>#NAME?</v>
      </c>
    </row>
    <row r="3813" spans="2:5" x14ac:dyDescent="0.25">
      <c r="B3813" t="e">
        <f t="shared" ca="1" si="119"/>
        <v>#NAME?</v>
      </c>
      <c r="C3813">
        <v>3770</v>
      </c>
      <c r="D3813" t="e">
        <f t="shared" ca="1" si="118"/>
        <v>#NAME?</v>
      </c>
      <c r="E3813" s="115" t="e">
        <f t="array" aca="1" ref="E3813" ca="1">IF(OR(C3812=0,AND(B3814=0,C3814=0)),"",IFERROR(INDEX($F$27:$F$36,MATCH(C3813,($F$27:$F$36)*($D$27:$D$36&lt;&gt;0),0)),IF(OR(AND(D3813=0,B3813=0,B3814&lt;&gt;0),AND(D3813*D3812&lt;0,B3813&lt;&gt;0)),IF(D3813=0,C3813,C3813*(1-ABS(D3813)/(ABS(D3813)+ABS(D3812)))+C3812*(1-ABS(D3812)/(ABS(D3813)+ABS(D3812)))),"")))</f>
        <v>#NAME?</v>
      </c>
    </row>
    <row r="3814" spans="2:5" x14ac:dyDescent="0.25">
      <c r="B3814" t="e">
        <f t="shared" ca="1" si="119"/>
        <v>#NAME?</v>
      </c>
      <c r="C3814">
        <v>3771</v>
      </c>
      <c r="D3814" t="e">
        <f t="shared" ca="1" si="118"/>
        <v>#NAME?</v>
      </c>
      <c r="E3814" s="115" t="e">
        <f t="array" aca="1" ref="E3814" ca="1">IF(OR(C3813=0,AND(B3815=0,C3815=0)),"",IFERROR(INDEX($F$27:$F$36,MATCH(C3814,($F$27:$F$36)*($D$27:$D$36&lt;&gt;0),0)),IF(OR(AND(D3814=0,B3814=0,B3815&lt;&gt;0),AND(D3814*D3813&lt;0,B3814&lt;&gt;0)),IF(D3814=0,C3814,C3814*(1-ABS(D3814)/(ABS(D3814)+ABS(D3813)))+C3813*(1-ABS(D3813)/(ABS(D3814)+ABS(D3813)))),"")))</f>
        <v>#NAME?</v>
      </c>
    </row>
    <row r="3815" spans="2:5" x14ac:dyDescent="0.25">
      <c r="B3815" t="e">
        <f t="shared" ca="1" si="119"/>
        <v>#NAME?</v>
      </c>
      <c r="C3815">
        <v>3772</v>
      </c>
      <c r="D3815" t="e">
        <f t="shared" ca="1" si="118"/>
        <v>#NAME?</v>
      </c>
      <c r="E3815" s="115" t="e">
        <f t="array" aca="1" ref="E3815" ca="1">IF(OR(C3814=0,AND(B3816=0,C3816=0)),"",IFERROR(INDEX($F$27:$F$36,MATCH(C3815,($F$27:$F$36)*($D$27:$D$36&lt;&gt;0),0)),IF(OR(AND(D3815=0,B3815=0,B3816&lt;&gt;0),AND(D3815*D3814&lt;0,B3815&lt;&gt;0)),IF(D3815=0,C3815,C3815*(1-ABS(D3815)/(ABS(D3815)+ABS(D3814)))+C3814*(1-ABS(D3814)/(ABS(D3815)+ABS(D3814)))),"")))</f>
        <v>#NAME?</v>
      </c>
    </row>
    <row r="3816" spans="2:5" x14ac:dyDescent="0.25">
      <c r="B3816" t="e">
        <f t="shared" ca="1" si="119"/>
        <v>#NAME?</v>
      </c>
      <c r="C3816">
        <v>3773</v>
      </c>
      <c r="D3816" t="e">
        <f t="shared" ca="1" si="118"/>
        <v>#NAME?</v>
      </c>
      <c r="E3816" s="115" t="e">
        <f t="array" aca="1" ref="E3816" ca="1">IF(OR(C3815=0,AND(B3817=0,C3817=0)),"",IFERROR(INDEX($F$27:$F$36,MATCH(C3816,($F$27:$F$36)*($D$27:$D$36&lt;&gt;0),0)),IF(OR(AND(D3816=0,B3816=0,B3817&lt;&gt;0),AND(D3816*D3815&lt;0,B3816&lt;&gt;0)),IF(D3816=0,C3816,C3816*(1-ABS(D3816)/(ABS(D3816)+ABS(D3815)))+C3815*(1-ABS(D3815)/(ABS(D3816)+ABS(D3815)))),"")))</f>
        <v>#NAME?</v>
      </c>
    </row>
    <row r="3817" spans="2:5" x14ac:dyDescent="0.25">
      <c r="B3817" t="e">
        <f t="shared" ca="1" si="119"/>
        <v>#NAME?</v>
      </c>
      <c r="C3817">
        <v>3774</v>
      </c>
      <c r="D3817" t="e">
        <f t="shared" ca="1" si="118"/>
        <v>#NAME?</v>
      </c>
      <c r="E3817" s="115" t="e">
        <f t="array" aca="1" ref="E3817" ca="1">IF(OR(C3816=0,AND(B3818=0,C3818=0)),"",IFERROR(INDEX($F$27:$F$36,MATCH(C3817,($F$27:$F$36)*($D$27:$D$36&lt;&gt;0),0)),IF(OR(AND(D3817=0,B3817=0,B3818&lt;&gt;0),AND(D3817*D3816&lt;0,B3817&lt;&gt;0)),IF(D3817=0,C3817,C3817*(1-ABS(D3817)/(ABS(D3817)+ABS(D3816)))+C3816*(1-ABS(D3816)/(ABS(D3817)+ABS(D3816)))),"")))</f>
        <v>#NAME?</v>
      </c>
    </row>
    <row r="3818" spans="2:5" x14ac:dyDescent="0.25">
      <c r="B3818" t="e">
        <f t="shared" ca="1" si="119"/>
        <v>#NAME?</v>
      </c>
      <c r="C3818">
        <v>3775</v>
      </c>
      <c r="D3818" t="e">
        <f t="shared" ca="1" si="118"/>
        <v>#NAME?</v>
      </c>
      <c r="E3818" s="115" t="e">
        <f t="array" aca="1" ref="E3818" ca="1">IF(OR(C3817=0,AND(B3819=0,C3819=0)),"",IFERROR(INDEX($F$27:$F$36,MATCH(C3818,($F$27:$F$36)*($D$27:$D$36&lt;&gt;0),0)),IF(OR(AND(D3818=0,B3818=0,B3819&lt;&gt;0),AND(D3818*D3817&lt;0,B3818&lt;&gt;0)),IF(D3818=0,C3818,C3818*(1-ABS(D3818)/(ABS(D3818)+ABS(D3817)))+C3817*(1-ABS(D3817)/(ABS(D3818)+ABS(D3817)))),"")))</f>
        <v>#NAME?</v>
      </c>
    </row>
    <row r="3819" spans="2:5" x14ac:dyDescent="0.25">
      <c r="B3819" t="e">
        <f t="shared" ca="1" si="119"/>
        <v>#NAME?</v>
      </c>
      <c r="C3819">
        <v>3776</v>
      </c>
      <c r="D3819" t="e">
        <f t="shared" ref="D3819:D3882" ca="1" si="120">SUMPRODUCT(--($J$27:$J$37&gt;0),--($C3819-$F$27:$F$37&gt;0),($D$27:$D$37),($C3819-$F$27:$F$37))+SUMPRODUCT(--($J$27:$J$37&lt;0),--($F$27:$F$37-$C3819&gt;0),($D$27:$D$37),($F$27:$F$37-$C3819))-SUMPRODUCT($D$27:$D$37,$E$27:$E$37)</f>
        <v>#NAME?</v>
      </c>
      <c r="E3819" s="115" t="e">
        <f t="array" aca="1" ref="E3819" ca="1">IF(OR(C3818=0,AND(B3820=0,C3820=0)),"",IFERROR(INDEX($F$27:$F$36,MATCH(C3819,($F$27:$F$36)*($D$27:$D$36&lt;&gt;0),0)),IF(OR(AND(D3819=0,B3819=0,B3820&lt;&gt;0),AND(D3819*D3818&lt;0,B3819&lt;&gt;0)),IF(D3819=0,C3819,C3819*(1-ABS(D3819)/(ABS(D3819)+ABS(D3818)))+C3818*(1-ABS(D3818)/(ABS(D3819)+ABS(D3818)))),"")))</f>
        <v>#NAME?</v>
      </c>
    </row>
    <row r="3820" spans="2:5" x14ac:dyDescent="0.25">
      <c r="B3820" t="e">
        <f t="shared" ref="B3820:B3883" ca="1" si="121">ROUND((D3820-D3819)/(C3820-C3819),12)</f>
        <v>#NAME?</v>
      </c>
      <c r="C3820">
        <v>3777</v>
      </c>
      <c r="D3820" t="e">
        <f t="shared" ca="1" si="120"/>
        <v>#NAME?</v>
      </c>
      <c r="E3820" s="115" t="e">
        <f t="array" aca="1" ref="E3820" ca="1">IF(OR(C3819=0,AND(B3821=0,C3821=0)),"",IFERROR(INDEX($F$27:$F$36,MATCH(C3820,($F$27:$F$36)*($D$27:$D$36&lt;&gt;0),0)),IF(OR(AND(D3820=0,B3820=0,B3821&lt;&gt;0),AND(D3820*D3819&lt;0,B3820&lt;&gt;0)),IF(D3820=0,C3820,C3820*(1-ABS(D3820)/(ABS(D3820)+ABS(D3819)))+C3819*(1-ABS(D3819)/(ABS(D3820)+ABS(D3819)))),"")))</f>
        <v>#NAME?</v>
      </c>
    </row>
    <row r="3821" spans="2:5" x14ac:dyDescent="0.25">
      <c r="B3821" t="e">
        <f t="shared" ca="1" si="121"/>
        <v>#NAME?</v>
      </c>
      <c r="C3821">
        <v>3778</v>
      </c>
      <c r="D3821" t="e">
        <f t="shared" ca="1" si="120"/>
        <v>#NAME?</v>
      </c>
      <c r="E3821" s="115" t="e">
        <f t="array" aca="1" ref="E3821" ca="1">IF(OR(C3820=0,AND(B3822=0,C3822=0)),"",IFERROR(INDEX($F$27:$F$36,MATCH(C3821,($F$27:$F$36)*($D$27:$D$36&lt;&gt;0),0)),IF(OR(AND(D3821=0,B3821=0,B3822&lt;&gt;0),AND(D3821*D3820&lt;0,B3821&lt;&gt;0)),IF(D3821=0,C3821,C3821*(1-ABS(D3821)/(ABS(D3821)+ABS(D3820)))+C3820*(1-ABS(D3820)/(ABS(D3821)+ABS(D3820)))),"")))</f>
        <v>#NAME?</v>
      </c>
    </row>
    <row r="3822" spans="2:5" x14ac:dyDescent="0.25">
      <c r="B3822" t="e">
        <f t="shared" ca="1" si="121"/>
        <v>#NAME?</v>
      </c>
      <c r="C3822">
        <v>3779</v>
      </c>
      <c r="D3822" t="e">
        <f t="shared" ca="1" si="120"/>
        <v>#NAME?</v>
      </c>
      <c r="E3822" s="115" t="e">
        <f t="array" aca="1" ref="E3822" ca="1">IF(OR(C3821=0,AND(B3823=0,C3823=0)),"",IFERROR(INDEX($F$27:$F$36,MATCH(C3822,($F$27:$F$36)*($D$27:$D$36&lt;&gt;0),0)),IF(OR(AND(D3822=0,B3822=0,B3823&lt;&gt;0),AND(D3822*D3821&lt;0,B3822&lt;&gt;0)),IF(D3822=0,C3822,C3822*(1-ABS(D3822)/(ABS(D3822)+ABS(D3821)))+C3821*(1-ABS(D3821)/(ABS(D3822)+ABS(D3821)))),"")))</f>
        <v>#NAME?</v>
      </c>
    </row>
    <row r="3823" spans="2:5" x14ac:dyDescent="0.25">
      <c r="B3823" t="e">
        <f t="shared" ca="1" si="121"/>
        <v>#NAME?</v>
      </c>
      <c r="C3823">
        <v>3780</v>
      </c>
      <c r="D3823" t="e">
        <f t="shared" ca="1" si="120"/>
        <v>#NAME?</v>
      </c>
      <c r="E3823" s="115" t="e">
        <f t="array" aca="1" ref="E3823" ca="1">IF(OR(C3822=0,AND(B3824=0,C3824=0)),"",IFERROR(INDEX($F$27:$F$36,MATCH(C3823,($F$27:$F$36)*($D$27:$D$36&lt;&gt;0),0)),IF(OR(AND(D3823=0,B3823=0,B3824&lt;&gt;0),AND(D3823*D3822&lt;0,B3823&lt;&gt;0)),IF(D3823=0,C3823,C3823*(1-ABS(D3823)/(ABS(D3823)+ABS(D3822)))+C3822*(1-ABS(D3822)/(ABS(D3823)+ABS(D3822)))),"")))</f>
        <v>#NAME?</v>
      </c>
    </row>
    <row r="3824" spans="2:5" x14ac:dyDescent="0.25">
      <c r="B3824" t="e">
        <f t="shared" ca="1" si="121"/>
        <v>#NAME?</v>
      </c>
      <c r="C3824">
        <v>3781</v>
      </c>
      <c r="D3824" t="e">
        <f t="shared" ca="1" si="120"/>
        <v>#NAME?</v>
      </c>
      <c r="E3824" s="115" t="e">
        <f t="array" aca="1" ref="E3824" ca="1">IF(OR(C3823=0,AND(B3825=0,C3825=0)),"",IFERROR(INDEX($F$27:$F$36,MATCH(C3824,($F$27:$F$36)*($D$27:$D$36&lt;&gt;0),0)),IF(OR(AND(D3824=0,B3824=0,B3825&lt;&gt;0),AND(D3824*D3823&lt;0,B3824&lt;&gt;0)),IF(D3824=0,C3824,C3824*(1-ABS(D3824)/(ABS(D3824)+ABS(D3823)))+C3823*(1-ABS(D3823)/(ABS(D3824)+ABS(D3823)))),"")))</f>
        <v>#NAME?</v>
      </c>
    </row>
    <row r="3825" spans="2:5" x14ac:dyDescent="0.25">
      <c r="B3825" t="e">
        <f t="shared" ca="1" si="121"/>
        <v>#NAME?</v>
      </c>
      <c r="C3825">
        <v>3782</v>
      </c>
      <c r="D3825" t="e">
        <f t="shared" ca="1" si="120"/>
        <v>#NAME?</v>
      </c>
      <c r="E3825" s="115" t="e">
        <f t="array" aca="1" ref="E3825" ca="1">IF(OR(C3824=0,AND(B3826=0,C3826=0)),"",IFERROR(INDEX($F$27:$F$36,MATCH(C3825,($F$27:$F$36)*($D$27:$D$36&lt;&gt;0),0)),IF(OR(AND(D3825=0,B3825=0,B3826&lt;&gt;0),AND(D3825*D3824&lt;0,B3825&lt;&gt;0)),IF(D3825=0,C3825,C3825*(1-ABS(D3825)/(ABS(D3825)+ABS(D3824)))+C3824*(1-ABS(D3824)/(ABS(D3825)+ABS(D3824)))),"")))</f>
        <v>#NAME?</v>
      </c>
    </row>
    <row r="3826" spans="2:5" x14ac:dyDescent="0.25">
      <c r="B3826" t="e">
        <f t="shared" ca="1" si="121"/>
        <v>#NAME?</v>
      </c>
      <c r="C3826">
        <v>3783</v>
      </c>
      <c r="D3826" t="e">
        <f t="shared" ca="1" si="120"/>
        <v>#NAME?</v>
      </c>
      <c r="E3826" s="115" t="e">
        <f t="array" aca="1" ref="E3826" ca="1">IF(OR(C3825=0,AND(B3827=0,C3827=0)),"",IFERROR(INDEX($F$27:$F$36,MATCH(C3826,($F$27:$F$36)*($D$27:$D$36&lt;&gt;0),0)),IF(OR(AND(D3826=0,B3826=0,B3827&lt;&gt;0),AND(D3826*D3825&lt;0,B3826&lt;&gt;0)),IF(D3826=0,C3826,C3826*(1-ABS(D3826)/(ABS(D3826)+ABS(D3825)))+C3825*(1-ABS(D3825)/(ABS(D3826)+ABS(D3825)))),"")))</f>
        <v>#NAME?</v>
      </c>
    </row>
    <row r="3827" spans="2:5" x14ac:dyDescent="0.25">
      <c r="B3827" t="e">
        <f t="shared" ca="1" si="121"/>
        <v>#NAME?</v>
      </c>
      <c r="C3827">
        <v>3784</v>
      </c>
      <c r="D3827" t="e">
        <f t="shared" ca="1" si="120"/>
        <v>#NAME?</v>
      </c>
      <c r="E3827" s="115" t="e">
        <f t="array" aca="1" ref="E3827" ca="1">IF(OR(C3826=0,AND(B3828=0,C3828=0)),"",IFERROR(INDEX($F$27:$F$36,MATCH(C3827,($F$27:$F$36)*($D$27:$D$36&lt;&gt;0),0)),IF(OR(AND(D3827=0,B3827=0,B3828&lt;&gt;0),AND(D3827*D3826&lt;0,B3827&lt;&gt;0)),IF(D3827=0,C3827,C3827*(1-ABS(D3827)/(ABS(D3827)+ABS(D3826)))+C3826*(1-ABS(D3826)/(ABS(D3827)+ABS(D3826)))),"")))</f>
        <v>#NAME?</v>
      </c>
    </row>
    <row r="3828" spans="2:5" x14ac:dyDescent="0.25">
      <c r="B3828" t="e">
        <f t="shared" ca="1" si="121"/>
        <v>#NAME?</v>
      </c>
      <c r="C3828">
        <v>3785</v>
      </c>
      <c r="D3828" t="e">
        <f t="shared" ca="1" si="120"/>
        <v>#NAME?</v>
      </c>
      <c r="E3828" s="115" t="e">
        <f t="array" aca="1" ref="E3828" ca="1">IF(OR(C3827=0,AND(B3829=0,C3829=0)),"",IFERROR(INDEX($F$27:$F$36,MATCH(C3828,($F$27:$F$36)*($D$27:$D$36&lt;&gt;0),0)),IF(OR(AND(D3828=0,B3828=0,B3829&lt;&gt;0),AND(D3828*D3827&lt;0,B3828&lt;&gt;0)),IF(D3828=0,C3828,C3828*(1-ABS(D3828)/(ABS(D3828)+ABS(D3827)))+C3827*(1-ABS(D3827)/(ABS(D3828)+ABS(D3827)))),"")))</f>
        <v>#NAME?</v>
      </c>
    </row>
    <row r="3829" spans="2:5" x14ac:dyDescent="0.25">
      <c r="B3829" t="e">
        <f t="shared" ca="1" si="121"/>
        <v>#NAME?</v>
      </c>
      <c r="C3829">
        <v>3786</v>
      </c>
      <c r="D3829" t="e">
        <f t="shared" ca="1" si="120"/>
        <v>#NAME?</v>
      </c>
      <c r="E3829" s="115" t="e">
        <f t="array" aca="1" ref="E3829" ca="1">IF(OR(C3828=0,AND(B3830=0,C3830=0)),"",IFERROR(INDEX($F$27:$F$36,MATCH(C3829,($F$27:$F$36)*($D$27:$D$36&lt;&gt;0),0)),IF(OR(AND(D3829=0,B3829=0,B3830&lt;&gt;0),AND(D3829*D3828&lt;0,B3829&lt;&gt;0)),IF(D3829=0,C3829,C3829*(1-ABS(D3829)/(ABS(D3829)+ABS(D3828)))+C3828*(1-ABS(D3828)/(ABS(D3829)+ABS(D3828)))),"")))</f>
        <v>#NAME?</v>
      </c>
    </row>
    <row r="3830" spans="2:5" x14ac:dyDescent="0.25">
      <c r="B3830" t="e">
        <f t="shared" ca="1" si="121"/>
        <v>#NAME?</v>
      </c>
      <c r="C3830">
        <v>3787</v>
      </c>
      <c r="D3830" t="e">
        <f t="shared" ca="1" si="120"/>
        <v>#NAME?</v>
      </c>
      <c r="E3830" s="115" t="e">
        <f t="array" aca="1" ref="E3830" ca="1">IF(OR(C3829=0,AND(B3831=0,C3831=0)),"",IFERROR(INDEX($F$27:$F$36,MATCH(C3830,($F$27:$F$36)*($D$27:$D$36&lt;&gt;0),0)),IF(OR(AND(D3830=0,B3830=0,B3831&lt;&gt;0),AND(D3830*D3829&lt;0,B3830&lt;&gt;0)),IF(D3830=0,C3830,C3830*(1-ABS(D3830)/(ABS(D3830)+ABS(D3829)))+C3829*(1-ABS(D3829)/(ABS(D3830)+ABS(D3829)))),"")))</f>
        <v>#NAME?</v>
      </c>
    </row>
    <row r="3831" spans="2:5" x14ac:dyDescent="0.25">
      <c r="B3831" t="e">
        <f t="shared" ca="1" si="121"/>
        <v>#NAME?</v>
      </c>
      <c r="C3831">
        <v>3788</v>
      </c>
      <c r="D3831" t="e">
        <f t="shared" ca="1" si="120"/>
        <v>#NAME?</v>
      </c>
      <c r="E3831" s="115" t="e">
        <f t="array" aca="1" ref="E3831" ca="1">IF(OR(C3830=0,AND(B3832=0,C3832=0)),"",IFERROR(INDEX($F$27:$F$36,MATCH(C3831,($F$27:$F$36)*($D$27:$D$36&lt;&gt;0),0)),IF(OR(AND(D3831=0,B3831=0,B3832&lt;&gt;0),AND(D3831*D3830&lt;0,B3831&lt;&gt;0)),IF(D3831=0,C3831,C3831*(1-ABS(D3831)/(ABS(D3831)+ABS(D3830)))+C3830*(1-ABS(D3830)/(ABS(D3831)+ABS(D3830)))),"")))</f>
        <v>#NAME?</v>
      </c>
    </row>
    <row r="3832" spans="2:5" x14ac:dyDescent="0.25">
      <c r="B3832" t="e">
        <f t="shared" ca="1" si="121"/>
        <v>#NAME?</v>
      </c>
      <c r="C3832">
        <v>3789</v>
      </c>
      <c r="D3832" t="e">
        <f t="shared" ca="1" si="120"/>
        <v>#NAME?</v>
      </c>
      <c r="E3832" s="115" t="e">
        <f t="array" aca="1" ref="E3832" ca="1">IF(OR(C3831=0,AND(B3833=0,C3833=0)),"",IFERROR(INDEX($F$27:$F$36,MATCH(C3832,($F$27:$F$36)*($D$27:$D$36&lt;&gt;0),0)),IF(OR(AND(D3832=0,B3832=0,B3833&lt;&gt;0),AND(D3832*D3831&lt;0,B3832&lt;&gt;0)),IF(D3832=0,C3832,C3832*(1-ABS(D3832)/(ABS(D3832)+ABS(D3831)))+C3831*(1-ABS(D3831)/(ABS(D3832)+ABS(D3831)))),"")))</f>
        <v>#NAME?</v>
      </c>
    </row>
    <row r="3833" spans="2:5" x14ac:dyDescent="0.25">
      <c r="B3833" t="e">
        <f t="shared" ca="1" si="121"/>
        <v>#NAME?</v>
      </c>
      <c r="C3833">
        <v>3790</v>
      </c>
      <c r="D3833" t="e">
        <f t="shared" ca="1" si="120"/>
        <v>#NAME?</v>
      </c>
      <c r="E3833" s="115" t="e">
        <f t="array" aca="1" ref="E3833" ca="1">IF(OR(C3832=0,AND(B3834=0,C3834=0)),"",IFERROR(INDEX($F$27:$F$36,MATCH(C3833,($F$27:$F$36)*($D$27:$D$36&lt;&gt;0),0)),IF(OR(AND(D3833=0,B3833=0,B3834&lt;&gt;0),AND(D3833*D3832&lt;0,B3833&lt;&gt;0)),IF(D3833=0,C3833,C3833*(1-ABS(D3833)/(ABS(D3833)+ABS(D3832)))+C3832*(1-ABS(D3832)/(ABS(D3833)+ABS(D3832)))),"")))</f>
        <v>#NAME?</v>
      </c>
    </row>
    <row r="3834" spans="2:5" x14ac:dyDescent="0.25">
      <c r="B3834" t="e">
        <f t="shared" ca="1" si="121"/>
        <v>#NAME?</v>
      </c>
      <c r="C3834">
        <v>3791</v>
      </c>
      <c r="D3834" t="e">
        <f t="shared" ca="1" si="120"/>
        <v>#NAME?</v>
      </c>
      <c r="E3834" s="115" t="e">
        <f t="array" aca="1" ref="E3834" ca="1">IF(OR(C3833=0,AND(B3835=0,C3835=0)),"",IFERROR(INDEX($F$27:$F$36,MATCH(C3834,($F$27:$F$36)*($D$27:$D$36&lt;&gt;0),0)),IF(OR(AND(D3834=0,B3834=0,B3835&lt;&gt;0),AND(D3834*D3833&lt;0,B3834&lt;&gt;0)),IF(D3834=0,C3834,C3834*(1-ABS(D3834)/(ABS(D3834)+ABS(D3833)))+C3833*(1-ABS(D3833)/(ABS(D3834)+ABS(D3833)))),"")))</f>
        <v>#NAME?</v>
      </c>
    </row>
    <row r="3835" spans="2:5" x14ac:dyDescent="0.25">
      <c r="B3835" t="e">
        <f t="shared" ca="1" si="121"/>
        <v>#NAME?</v>
      </c>
      <c r="C3835">
        <v>3792</v>
      </c>
      <c r="D3835" t="e">
        <f t="shared" ca="1" si="120"/>
        <v>#NAME?</v>
      </c>
      <c r="E3835" s="115" t="e">
        <f t="array" aca="1" ref="E3835" ca="1">IF(OR(C3834=0,AND(B3836=0,C3836=0)),"",IFERROR(INDEX($F$27:$F$36,MATCH(C3835,($F$27:$F$36)*($D$27:$D$36&lt;&gt;0),0)),IF(OR(AND(D3835=0,B3835=0,B3836&lt;&gt;0),AND(D3835*D3834&lt;0,B3835&lt;&gt;0)),IF(D3835=0,C3835,C3835*(1-ABS(D3835)/(ABS(D3835)+ABS(D3834)))+C3834*(1-ABS(D3834)/(ABS(D3835)+ABS(D3834)))),"")))</f>
        <v>#NAME?</v>
      </c>
    </row>
    <row r="3836" spans="2:5" x14ac:dyDescent="0.25">
      <c r="B3836" t="e">
        <f t="shared" ca="1" si="121"/>
        <v>#NAME?</v>
      </c>
      <c r="C3836">
        <v>3793</v>
      </c>
      <c r="D3836" t="e">
        <f t="shared" ca="1" si="120"/>
        <v>#NAME?</v>
      </c>
      <c r="E3836" s="115" t="e">
        <f t="array" aca="1" ref="E3836" ca="1">IF(OR(C3835=0,AND(B3837=0,C3837=0)),"",IFERROR(INDEX($F$27:$F$36,MATCH(C3836,($F$27:$F$36)*($D$27:$D$36&lt;&gt;0),0)),IF(OR(AND(D3836=0,B3836=0,B3837&lt;&gt;0),AND(D3836*D3835&lt;0,B3836&lt;&gt;0)),IF(D3836=0,C3836,C3836*(1-ABS(D3836)/(ABS(D3836)+ABS(D3835)))+C3835*(1-ABS(D3835)/(ABS(D3836)+ABS(D3835)))),"")))</f>
        <v>#NAME?</v>
      </c>
    </row>
    <row r="3837" spans="2:5" x14ac:dyDescent="0.25">
      <c r="B3837" t="e">
        <f t="shared" ca="1" si="121"/>
        <v>#NAME?</v>
      </c>
      <c r="C3837">
        <v>3794</v>
      </c>
      <c r="D3837" t="e">
        <f t="shared" ca="1" si="120"/>
        <v>#NAME?</v>
      </c>
      <c r="E3837" s="115" t="e">
        <f t="array" aca="1" ref="E3837" ca="1">IF(OR(C3836=0,AND(B3838=0,C3838=0)),"",IFERROR(INDEX($F$27:$F$36,MATCH(C3837,($F$27:$F$36)*($D$27:$D$36&lt;&gt;0),0)),IF(OR(AND(D3837=0,B3837=0,B3838&lt;&gt;0),AND(D3837*D3836&lt;0,B3837&lt;&gt;0)),IF(D3837=0,C3837,C3837*(1-ABS(D3837)/(ABS(D3837)+ABS(D3836)))+C3836*(1-ABS(D3836)/(ABS(D3837)+ABS(D3836)))),"")))</f>
        <v>#NAME?</v>
      </c>
    </row>
    <row r="3838" spans="2:5" x14ac:dyDescent="0.25">
      <c r="B3838" t="e">
        <f t="shared" ca="1" si="121"/>
        <v>#NAME?</v>
      </c>
      <c r="C3838">
        <v>3795</v>
      </c>
      <c r="D3838" t="e">
        <f t="shared" ca="1" si="120"/>
        <v>#NAME?</v>
      </c>
      <c r="E3838" s="115" t="e">
        <f t="array" aca="1" ref="E3838" ca="1">IF(OR(C3837=0,AND(B3839=0,C3839=0)),"",IFERROR(INDEX($F$27:$F$36,MATCH(C3838,($F$27:$F$36)*($D$27:$D$36&lt;&gt;0),0)),IF(OR(AND(D3838=0,B3838=0,B3839&lt;&gt;0),AND(D3838*D3837&lt;0,B3838&lt;&gt;0)),IF(D3838=0,C3838,C3838*(1-ABS(D3838)/(ABS(D3838)+ABS(D3837)))+C3837*(1-ABS(D3837)/(ABS(D3838)+ABS(D3837)))),"")))</f>
        <v>#NAME?</v>
      </c>
    </row>
    <row r="3839" spans="2:5" x14ac:dyDescent="0.25">
      <c r="B3839" t="e">
        <f t="shared" ca="1" si="121"/>
        <v>#NAME?</v>
      </c>
      <c r="C3839">
        <v>3796</v>
      </c>
      <c r="D3839" t="e">
        <f t="shared" ca="1" si="120"/>
        <v>#NAME?</v>
      </c>
      <c r="E3839" s="115" t="e">
        <f t="array" aca="1" ref="E3839" ca="1">IF(OR(C3838=0,AND(B3840=0,C3840=0)),"",IFERROR(INDEX($F$27:$F$36,MATCH(C3839,($F$27:$F$36)*($D$27:$D$36&lt;&gt;0),0)),IF(OR(AND(D3839=0,B3839=0,B3840&lt;&gt;0),AND(D3839*D3838&lt;0,B3839&lt;&gt;0)),IF(D3839=0,C3839,C3839*(1-ABS(D3839)/(ABS(D3839)+ABS(D3838)))+C3838*(1-ABS(D3838)/(ABS(D3839)+ABS(D3838)))),"")))</f>
        <v>#NAME?</v>
      </c>
    </row>
    <row r="3840" spans="2:5" x14ac:dyDescent="0.25">
      <c r="B3840" t="e">
        <f t="shared" ca="1" si="121"/>
        <v>#NAME?</v>
      </c>
      <c r="C3840">
        <v>3797</v>
      </c>
      <c r="D3840" t="e">
        <f t="shared" ca="1" si="120"/>
        <v>#NAME?</v>
      </c>
      <c r="E3840" s="115" t="e">
        <f t="array" aca="1" ref="E3840" ca="1">IF(OR(C3839=0,AND(B3841=0,C3841=0)),"",IFERROR(INDEX($F$27:$F$36,MATCH(C3840,($F$27:$F$36)*($D$27:$D$36&lt;&gt;0),0)),IF(OR(AND(D3840=0,B3840=0,B3841&lt;&gt;0),AND(D3840*D3839&lt;0,B3840&lt;&gt;0)),IF(D3840=0,C3840,C3840*(1-ABS(D3840)/(ABS(D3840)+ABS(D3839)))+C3839*(1-ABS(D3839)/(ABS(D3840)+ABS(D3839)))),"")))</f>
        <v>#NAME?</v>
      </c>
    </row>
    <row r="3841" spans="2:5" x14ac:dyDescent="0.25">
      <c r="B3841" t="e">
        <f t="shared" ca="1" si="121"/>
        <v>#NAME?</v>
      </c>
      <c r="C3841">
        <v>3798</v>
      </c>
      <c r="D3841" t="e">
        <f t="shared" ca="1" si="120"/>
        <v>#NAME?</v>
      </c>
      <c r="E3841" s="115" t="e">
        <f t="array" aca="1" ref="E3841" ca="1">IF(OR(C3840=0,AND(B3842=0,C3842=0)),"",IFERROR(INDEX($F$27:$F$36,MATCH(C3841,($F$27:$F$36)*($D$27:$D$36&lt;&gt;0),0)),IF(OR(AND(D3841=0,B3841=0,B3842&lt;&gt;0),AND(D3841*D3840&lt;0,B3841&lt;&gt;0)),IF(D3841=0,C3841,C3841*(1-ABS(D3841)/(ABS(D3841)+ABS(D3840)))+C3840*(1-ABS(D3840)/(ABS(D3841)+ABS(D3840)))),"")))</f>
        <v>#NAME?</v>
      </c>
    </row>
    <row r="3842" spans="2:5" x14ac:dyDescent="0.25">
      <c r="B3842" t="e">
        <f t="shared" ca="1" si="121"/>
        <v>#NAME?</v>
      </c>
      <c r="C3842">
        <v>3799</v>
      </c>
      <c r="D3842" t="e">
        <f t="shared" ca="1" si="120"/>
        <v>#NAME?</v>
      </c>
      <c r="E3842" s="115" t="e">
        <f t="array" aca="1" ref="E3842" ca="1">IF(OR(C3841=0,AND(B3843=0,C3843=0)),"",IFERROR(INDEX($F$27:$F$36,MATCH(C3842,($F$27:$F$36)*($D$27:$D$36&lt;&gt;0),0)),IF(OR(AND(D3842=0,B3842=0,B3843&lt;&gt;0),AND(D3842*D3841&lt;0,B3842&lt;&gt;0)),IF(D3842=0,C3842,C3842*(1-ABS(D3842)/(ABS(D3842)+ABS(D3841)))+C3841*(1-ABS(D3841)/(ABS(D3842)+ABS(D3841)))),"")))</f>
        <v>#NAME?</v>
      </c>
    </row>
    <row r="3843" spans="2:5" x14ac:dyDescent="0.25">
      <c r="B3843" t="e">
        <f t="shared" ca="1" si="121"/>
        <v>#NAME?</v>
      </c>
      <c r="C3843">
        <v>3800</v>
      </c>
      <c r="D3843" t="e">
        <f t="shared" ca="1" si="120"/>
        <v>#NAME?</v>
      </c>
      <c r="E3843" s="115" t="e">
        <f t="array" aca="1" ref="E3843" ca="1">IF(OR(C3842=0,AND(B3844=0,C3844=0)),"",IFERROR(INDEX($F$27:$F$36,MATCH(C3843,($F$27:$F$36)*($D$27:$D$36&lt;&gt;0),0)),IF(OR(AND(D3843=0,B3843=0,B3844&lt;&gt;0),AND(D3843*D3842&lt;0,B3843&lt;&gt;0)),IF(D3843=0,C3843,C3843*(1-ABS(D3843)/(ABS(D3843)+ABS(D3842)))+C3842*(1-ABS(D3842)/(ABS(D3843)+ABS(D3842)))),"")))</f>
        <v>#NAME?</v>
      </c>
    </row>
    <row r="3844" spans="2:5" x14ac:dyDescent="0.25">
      <c r="B3844" t="e">
        <f t="shared" ca="1" si="121"/>
        <v>#NAME?</v>
      </c>
      <c r="C3844">
        <v>3801</v>
      </c>
      <c r="D3844" t="e">
        <f t="shared" ca="1" si="120"/>
        <v>#NAME?</v>
      </c>
      <c r="E3844" s="115" t="e">
        <f t="array" aca="1" ref="E3844" ca="1">IF(OR(C3843=0,AND(B3845=0,C3845=0)),"",IFERROR(INDEX($F$27:$F$36,MATCH(C3844,($F$27:$F$36)*($D$27:$D$36&lt;&gt;0),0)),IF(OR(AND(D3844=0,B3844=0,B3845&lt;&gt;0),AND(D3844*D3843&lt;0,B3844&lt;&gt;0)),IF(D3844=0,C3844,C3844*(1-ABS(D3844)/(ABS(D3844)+ABS(D3843)))+C3843*(1-ABS(D3843)/(ABS(D3844)+ABS(D3843)))),"")))</f>
        <v>#NAME?</v>
      </c>
    </row>
    <row r="3845" spans="2:5" x14ac:dyDescent="0.25">
      <c r="B3845" t="e">
        <f t="shared" ca="1" si="121"/>
        <v>#NAME?</v>
      </c>
      <c r="C3845">
        <v>3802</v>
      </c>
      <c r="D3845" t="e">
        <f t="shared" ca="1" si="120"/>
        <v>#NAME?</v>
      </c>
      <c r="E3845" s="115" t="e">
        <f t="array" aca="1" ref="E3845" ca="1">IF(OR(C3844=0,AND(B3846=0,C3846=0)),"",IFERROR(INDEX($F$27:$F$36,MATCH(C3845,($F$27:$F$36)*($D$27:$D$36&lt;&gt;0),0)),IF(OR(AND(D3845=0,B3845=0,B3846&lt;&gt;0),AND(D3845*D3844&lt;0,B3845&lt;&gt;0)),IF(D3845=0,C3845,C3845*(1-ABS(D3845)/(ABS(D3845)+ABS(D3844)))+C3844*(1-ABS(D3844)/(ABS(D3845)+ABS(D3844)))),"")))</f>
        <v>#NAME?</v>
      </c>
    </row>
    <row r="3846" spans="2:5" x14ac:dyDescent="0.25">
      <c r="B3846" t="e">
        <f t="shared" ca="1" si="121"/>
        <v>#NAME?</v>
      </c>
      <c r="C3846">
        <v>3803</v>
      </c>
      <c r="D3846" t="e">
        <f t="shared" ca="1" si="120"/>
        <v>#NAME?</v>
      </c>
      <c r="E3846" s="115" t="e">
        <f t="array" aca="1" ref="E3846" ca="1">IF(OR(C3845=0,AND(B3847=0,C3847=0)),"",IFERROR(INDEX($F$27:$F$36,MATCH(C3846,($F$27:$F$36)*($D$27:$D$36&lt;&gt;0),0)),IF(OR(AND(D3846=0,B3846=0,B3847&lt;&gt;0),AND(D3846*D3845&lt;0,B3846&lt;&gt;0)),IF(D3846=0,C3846,C3846*(1-ABS(D3846)/(ABS(D3846)+ABS(D3845)))+C3845*(1-ABS(D3845)/(ABS(D3846)+ABS(D3845)))),"")))</f>
        <v>#NAME?</v>
      </c>
    </row>
    <row r="3847" spans="2:5" x14ac:dyDescent="0.25">
      <c r="B3847" t="e">
        <f t="shared" ca="1" si="121"/>
        <v>#NAME?</v>
      </c>
      <c r="C3847">
        <v>3804</v>
      </c>
      <c r="D3847" t="e">
        <f t="shared" ca="1" si="120"/>
        <v>#NAME?</v>
      </c>
      <c r="E3847" s="115" t="e">
        <f t="array" aca="1" ref="E3847" ca="1">IF(OR(C3846=0,AND(B3848=0,C3848=0)),"",IFERROR(INDEX($F$27:$F$36,MATCH(C3847,($F$27:$F$36)*($D$27:$D$36&lt;&gt;0),0)),IF(OR(AND(D3847=0,B3847=0,B3848&lt;&gt;0),AND(D3847*D3846&lt;0,B3847&lt;&gt;0)),IF(D3847=0,C3847,C3847*(1-ABS(D3847)/(ABS(D3847)+ABS(D3846)))+C3846*(1-ABS(D3846)/(ABS(D3847)+ABS(D3846)))),"")))</f>
        <v>#NAME?</v>
      </c>
    </row>
    <row r="3848" spans="2:5" x14ac:dyDescent="0.25">
      <c r="B3848" t="e">
        <f t="shared" ca="1" si="121"/>
        <v>#NAME?</v>
      </c>
      <c r="C3848">
        <v>3805</v>
      </c>
      <c r="D3848" t="e">
        <f t="shared" ca="1" si="120"/>
        <v>#NAME?</v>
      </c>
      <c r="E3848" s="115" t="e">
        <f t="array" aca="1" ref="E3848" ca="1">IF(OR(C3847=0,AND(B3849=0,C3849=0)),"",IFERROR(INDEX($F$27:$F$36,MATCH(C3848,($F$27:$F$36)*($D$27:$D$36&lt;&gt;0),0)),IF(OR(AND(D3848=0,B3848=0,B3849&lt;&gt;0),AND(D3848*D3847&lt;0,B3848&lt;&gt;0)),IF(D3848=0,C3848,C3848*(1-ABS(D3848)/(ABS(D3848)+ABS(D3847)))+C3847*(1-ABS(D3847)/(ABS(D3848)+ABS(D3847)))),"")))</f>
        <v>#NAME?</v>
      </c>
    </row>
    <row r="3849" spans="2:5" x14ac:dyDescent="0.25">
      <c r="B3849" t="e">
        <f t="shared" ca="1" si="121"/>
        <v>#NAME?</v>
      </c>
      <c r="C3849">
        <v>3806</v>
      </c>
      <c r="D3849" t="e">
        <f t="shared" ca="1" si="120"/>
        <v>#NAME?</v>
      </c>
      <c r="E3849" s="115" t="e">
        <f t="array" aca="1" ref="E3849" ca="1">IF(OR(C3848=0,AND(B3850=0,C3850=0)),"",IFERROR(INDEX($F$27:$F$36,MATCH(C3849,($F$27:$F$36)*($D$27:$D$36&lt;&gt;0),0)),IF(OR(AND(D3849=0,B3849=0,B3850&lt;&gt;0),AND(D3849*D3848&lt;0,B3849&lt;&gt;0)),IF(D3849=0,C3849,C3849*(1-ABS(D3849)/(ABS(D3849)+ABS(D3848)))+C3848*(1-ABS(D3848)/(ABS(D3849)+ABS(D3848)))),"")))</f>
        <v>#NAME?</v>
      </c>
    </row>
    <row r="3850" spans="2:5" x14ac:dyDescent="0.25">
      <c r="B3850" t="e">
        <f t="shared" ca="1" si="121"/>
        <v>#NAME?</v>
      </c>
      <c r="C3850">
        <v>3807</v>
      </c>
      <c r="D3850" t="e">
        <f t="shared" ca="1" si="120"/>
        <v>#NAME?</v>
      </c>
      <c r="E3850" s="115" t="e">
        <f t="array" aca="1" ref="E3850" ca="1">IF(OR(C3849=0,AND(B3851=0,C3851=0)),"",IFERROR(INDEX($F$27:$F$36,MATCH(C3850,($F$27:$F$36)*($D$27:$D$36&lt;&gt;0),0)),IF(OR(AND(D3850=0,B3850=0,B3851&lt;&gt;0),AND(D3850*D3849&lt;0,B3850&lt;&gt;0)),IF(D3850=0,C3850,C3850*(1-ABS(D3850)/(ABS(D3850)+ABS(D3849)))+C3849*(1-ABS(D3849)/(ABS(D3850)+ABS(D3849)))),"")))</f>
        <v>#NAME?</v>
      </c>
    </row>
    <row r="3851" spans="2:5" x14ac:dyDescent="0.25">
      <c r="B3851" t="e">
        <f t="shared" ca="1" si="121"/>
        <v>#NAME?</v>
      </c>
      <c r="C3851">
        <v>3808</v>
      </c>
      <c r="D3851" t="e">
        <f t="shared" ca="1" si="120"/>
        <v>#NAME?</v>
      </c>
      <c r="E3851" s="115" t="e">
        <f t="array" aca="1" ref="E3851" ca="1">IF(OR(C3850=0,AND(B3852=0,C3852=0)),"",IFERROR(INDEX($F$27:$F$36,MATCH(C3851,($F$27:$F$36)*($D$27:$D$36&lt;&gt;0),0)),IF(OR(AND(D3851=0,B3851=0,B3852&lt;&gt;0),AND(D3851*D3850&lt;0,B3851&lt;&gt;0)),IF(D3851=0,C3851,C3851*(1-ABS(D3851)/(ABS(D3851)+ABS(D3850)))+C3850*(1-ABS(D3850)/(ABS(D3851)+ABS(D3850)))),"")))</f>
        <v>#NAME?</v>
      </c>
    </row>
    <row r="3852" spans="2:5" x14ac:dyDescent="0.25">
      <c r="B3852" t="e">
        <f t="shared" ca="1" si="121"/>
        <v>#NAME?</v>
      </c>
      <c r="C3852">
        <v>3809</v>
      </c>
      <c r="D3852" t="e">
        <f t="shared" ca="1" si="120"/>
        <v>#NAME?</v>
      </c>
      <c r="E3852" s="115" t="e">
        <f t="array" aca="1" ref="E3852" ca="1">IF(OR(C3851=0,AND(B3853=0,C3853=0)),"",IFERROR(INDEX($F$27:$F$36,MATCH(C3852,($F$27:$F$36)*($D$27:$D$36&lt;&gt;0),0)),IF(OR(AND(D3852=0,B3852=0,B3853&lt;&gt;0),AND(D3852*D3851&lt;0,B3852&lt;&gt;0)),IF(D3852=0,C3852,C3852*(1-ABS(D3852)/(ABS(D3852)+ABS(D3851)))+C3851*(1-ABS(D3851)/(ABS(D3852)+ABS(D3851)))),"")))</f>
        <v>#NAME?</v>
      </c>
    </row>
    <row r="3853" spans="2:5" x14ac:dyDescent="0.25">
      <c r="B3853" t="e">
        <f t="shared" ca="1" si="121"/>
        <v>#NAME?</v>
      </c>
      <c r="C3853">
        <v>3810</v>
      </c>
      <c r="D3853" t="e">
        <f t="shared" ca="1" si="120"/>
        <v>#NAME?</v>
      </c>
      <c r="E3853" s="115" t="e">
        <f t="array" aca="1" ref="E3853" ca="1">IF(OR(C3852=0,AND(B3854=0,C3854=0)),"",IFERROR(INDEX($F$27:$F$36,MATCH(C3853,($F$27:$F$36)*($D$27:$D$36&lt;&gt;0),0)),IF(OR(AND(D3853=0,B3853=0,B3854&lt;&gt;0),AND(D3853*D3852&lt;0,B3853&lt;&gt;0)),IF(D3853=0,C3853,C3853*(1-ABS(D3853)/(ABS(D3853)+ABS(D3852)))+C3852*(1-ABS(D3852)/(ABS(D3853)+ABS(D3852)))),"")))</f>
        <v>#NAME?</v>
      </c>
    </row>
    <row r="3854" spans="2:5" x14ac:dyDescent="0.25">
      <c r="B3854" t="e">
        <f t="shared" ca="1" si="121"/>
        <v>#NAME?</v>
      </c>
      <c r="C3854">
        <v>3811</v>
      </c>
      <c r="D3854" t="e">
        <f t="shared" ca="1" si="120"/>
        <v>#NAME?</v>
      </c>
      <c r="E3854" s="115" t="e">
        <f t="array" aca="1" ref="E3854" ca="1">IF(OR(C3853=0,AND(B3855=0,C3855=0)),"",IFERROR(INDEX($F$27:$F$36,MATCH(C3854,($F$27:$F$36)*($D$27:$D$36&lt;&gt;0),0)),IF(OR(AND(D3854=0,B3854=0,B3855&lt;&gt;0),AND(D3854*D3853&lt;0,B3854&lt;&gt;0)),IF(D3854=0,C3854,C3854*(1-ABS(D3854)/(ABS(D3854)+ABS(D3853)))+C3853*(1-ABS(D3853)/(ABS(D3854)+ABS(D3853)))),"")))</f>
        <v>#NAME?</v>
      </c>
    </row>
    <row r="3855" spans="2:5" x14ac:dyDescent="0.25">
      <c r="B3855" t="e">
        <f t="shared" ca="1" si="121"/>
        <v>#NAME?</v>
      </c>
      <c r="C3855">
        <v>3812</v>
      </c>
      <c r="D3855" t="e">
        <f t="shared" ca="1" si="120"/>
        <v>#NAME?</v>
      </c>
      <c r="E3855" s="115" t="e">
        <f t="array" aca="1" ref="E3855" ca="1">IF(OR(C3854=0,AND(B3856=0,C3856=0)),"",IFERROR(INDEX($F$27:$F$36,MATCH(C3855,($F$27:$F$36)*($D$27:$D$36&lt;&gt;0),0)),IF(OR(AND(D3855=0,B3855=0,B3856&lt;&gt;0),AND(D3855*D3854&lt;0,B3855&lt;&gt;0)),IF(D3855=0,C3855,C3855*(1-ABS(D3855)/(ABS(D3855)+ABS(D3854)))+C3854*(1-ABS(D3854)/(ABS(D3855)+ABS(D3854)))),"")))</f>
        <v>#NAME?</v>
      </c>
    </row>
    <row r="3856" spans="2:5" x14ac:dyDescent="0.25">
      <c r="B3856" t="e">
        <f t="shared" ca="1" si="121"/>
        <v>#NAME?</v>
      </c>
      <c r="C3856">
        <v>3813</v>
      </c>
      <c r="D3856" t="e">
        <f t="shared" ca="1" si="120"/>
        <v>#NAME?</v>
      </c>
      <c r="E3856" s="115" t="e">
        <f t="array" aca="1" ref="E3856" ca="1">IF(OR(C3855=0,AND(B3857=0,C3857=0)),"",IFERROR(INDEX($F$27:$F$36,MATCH(C3856,($F$27:$F$36)*($D$27:$D$36&lt;&gt;0),0)),IF(OR(AND(D3856=0,B3856=0,B3857&lt;&gt;0),AND(D3856*D3855&lt;0,B3856&lt;&gt;0)),IF(D3856=0,C3856,C3856*(1-ABS(D3856)/(ABS(D3856)+ABS(D3855)))+C3855*(1-ABS(D3855)/(ABS(D3856)+ABS(D3855)))),"")))</f>
        <v>#NAME?</v>
      </c>
    </row>
    <row r="3857" spans="2:5" x14ac:dyDescent="0.25">
      <c r="B3857" t="e">
        <f t="shared" ca="1" si="121"/>
        <v>#NAME?</v>
      </c>
      <c r="C3857">
        <v>3814</v>
      </c>
      <c r="D3857" t="e">
        <f t="shared" ca="1" si="120"/>
        <v>#NAME?</v>
      </c>
      <c r="E3857" s="115" t="e">
        <f t="array" aca="1" ref="E3857" ca="1">IF(OR(C3856=0,AND(B3858=0,C3858=0)),"",IFERROR(INDEX($F$27:$F$36,MATCH(C3857,($F$27:$F$36)*($D$27:$D$36&lt;&gt;0),0)),IF(OR(AND(D3857=0,B3857=0,B3858&lt;&gt;0),AND(D3857*D3856&lt;0,B3857&lt;&gt;0)),IF(D3857=0,C3857,C3857*(1-ABS(D3857)/(ABS(D3857)+ABS(D3856)))+C3856*(1-ABS(D3856)/(ABS(D3857)+ABS(D3856)))),"")))</f>
        <v>#NAME?</v>
      </c>
    </row>
    <row r="3858" spans="2:5" x14ac:dyDescent="0.25">
      <c r="B3858" t="e">
        <f t="shared" ca="1" si="121"/>
        <v>#NAME?</v>
      </c>
      <c r="C3858">
        <v>3815</v>
      </c>
      <c r="D3858" t="e">
        <f t="shared" ca="1" si="120"/>
        <v>#NAME?</v>
      </c>
      <c r="E3858" s="115" t="e">
        <f t="array" aca="1" ref="E3858" ca="1">IF(OR(C3857=0,AND(B3859=0,C3859=0)),"",IFERROR(INDEX($F$27:$F$36,MATCH(C3858,($F$27:$F$36)*($D$27:$D$36&lt;&gt;0),0)),IF(OR(AND(D3858=0,B3858=0,B3859&lt;&gt;0),AND(D3858*D3857&lt;0,B3858&lt;&gt;0)),IF(D3858=0,C3858,C3858*(1-ABS(D3858)/(ABS(D3858)+ABS(D3857)))+C3857*(1-ABS(D3857)/(ABS(D3858)+ABS(D3857)))),"")))</f>
        <v>#NAME?</v>
      </c>
    </row>
    <row r="3859" spans="2:5" x14ac:dyDescent="0.25">
      <c r="B3859" t="e">
        <f t="shared" ca="1" si="121"/>
        <v>#NAME?</v>
      </c>
      <c r="C3859">
        <v>3816</v>
      </c>
      <c r="D3859" t="e">
        <f t="shared" ca="1" si="120"/>
        <v>#NAME?</v>
      </c>
      <c r="E3859" s="115" t="e">
        <f t="array" aca="1" ref="E3859" ca="1">IF(OR(C3858=0,AND(B3860=0,C3860=0)),"",IFERROR(INDEX($F$27:$F$36,MATCH(C3859,($F$27:$F$36)*($D$27:$D$36&lt;&gt;0),0)),IF(OR(AND(D3859=0,B3859=0,B3860&lt;&gt;0),AND(D3859*D3858&lt;0,B3859&lt;&gt;0)),IF(D3859=0,C3859,C3859*(1-ABS(D3859)/(ABS(D3859)+ABS(D3858)))+C3858*(1-ABS(D3858)/(ABS(D3859)+ABS(D3858)))),"")))</f>
        <v>#NAME?</v>
      </c>
    </row>
    <row r="3860" spans="2:5" x14ac:dyDescent="0.25">
      <c r="B3860" t="e">
        <f t="shared" ca="1" si="121"/>
        <v>#NAME?</v>
      </c>
      <c r="C3860">
        <v>3817</v>
      </c>
      <c r="D3860" t="e">
        <f t="shared" ca="1" si="120"/>
        <v>#NAME?</v>
      </c>
      <c r="E3860" s="115" t="e">
        <f t="array" aca="1" ref="E3860" ca="1">IF(OR(C3859=0,AND(B3861=0,C3861=0)),"",IFERROR(INDEX($F$27:$F$36,MATCH(C3860,($F$27:$F$36)*($D$27:$D$36&lt;&gt;0),0)),IF(OR(AND(D3860=0,B3860=0,B3861&lt;&gt;0),AND(D3860*D3859&lt;0,B3860&lt;&gt;0)),IF(D3860=0,C3860,C3860*(1-ABS(D3860)/(ABS(D3860)+ABS(D3859)))+C3859*(1-ABS(D3859)/(ABS(D3860)+ABS(D3859)))),"")))</f>
        <v>#NAME?</v>
      </c>
    </row>
    <row r="3861" spans="2:5" x14ac:dyDescent="0.25">
      <c r="B3861" t="e">
        <f t="shared" ca="1" si="121"/>
        <v>#NAME?</v>
      </c>
      <c r="C3861">
        <v>3818</v>
      </c>
      <c r="D3861" t="e">
        <f t="shared" ca="1" si="120"/>
        <v>#NAME?</v>
      </c>
      <c r="E3861" s="115" t="e">
        <f t="array" aca="1" ref="E3861" ca="1">IF(OR(C3860=0,AND(B3862=0,C3862=0)),"",IFERROR(INDEX($F$27:$F$36,MATCH(C3861,($F$27:$F$36)*($D$27:$D$36&lt;&gt;0),0)),IF(OR(AND(D3861=0,B3861=0,B3862&lt;&gt;0),AND(D3861*D3860&lt;0,B3861&lt;&gt;0)),IF(D3861=0,C3861,C3861*(1-ABS(D3861)/(ABS(D3861)+ABS(D3860)))+C3860*(1-ABS(D3860)/(ABS(D3861)+ABS(D3860)))),"")))</f>
        <v>#NAME?</v>
      </c>
    </row>
    <row r="3862" spans="2:5" x14ac:dyDescent="0.25">
      <c r="B3862" t="e">
        <f t="shared" ca="1" si="121"/>
        <v>#NAME?</v>
      </c>
      <c r="C3862">
        <v>3819</v>
      </c>
      <c r="D3862" t="e">
        <f t="shared" ca="1" si="120"/>
        <v>#NAME?</v>
      </c>
      <c r="E3862" s="115" t="e">
        <f t="array" aca="1" ref="E3862" ca="1">IF(OR(C3861=0,AND(B3863=0,C3863=0)),"",IFERROR(INDEX($F$27:$F$36,MATCH(C3862,($F$27:$F$36)*($D$27:$D$36&lt;&gt;0),0)),IF(OR(AND(D3862=0,B3862=0,B3863&lt;&gt;0),AND(D3862*D3861&lt;0,B3862&lt;&gt;0)),IF(D3862=0,C3862,C3862*(1-ABS(D3862)/(ABS(D3862)+ABS(D3861)))+C3861*(1-ABS(D3861)/(ABS(D3862)+ABS(D3861)))),"")))</f>
        <v>#NAME?</v>
      </c>
    </row>
    <row r="3863" spans="2:5" x14ac:dyDescent="0.25">
      <c r="B3863" t="e">
        <f t="shared" ca="1" si="121"/>
        <v>#NAME?</v>
      </c>
      <c r="C3863">
        <v>3820</v>
      </c>
      <c r="D3863" t="e">
        <f t="shared" ca="1" si="120"/>
        <v>#NAME?</v>
      </c>
      <c r="E3863" s="115" t="e">
        <f t="array" aca="1" ref="E3863" ca="1">IF(OR(C3862=0,AND(B3864=0,C3864=0)),"",IFERROR(INDEX($F$27:$F$36,MATCH(C3863,($F$27:$F$36)*($D$27:$D$36&lt;&gt;0),0)),IF(OR(AND(D3863=0,B3863=0,B3864&lt;&gt;0),AND(D3863*D3862&lt;0,B3863&lt;&gt;0)),IF(D3863=0,C3863,C3863*(1-ABS(D3863)/(ABS(D3863)+ABS(D3862)))+C3862*(1-ABS(D3862)/(ABS(D3863)+ABS(D3862)))),"")))</f>
        <v>#NAME?</v>
      </c>
    </row>
    <row r="3864" spans="2:5" x14ac:dyDescent="0.25">
      <c r="B3864" t="e">
        <f t="shared" ca="1" si="121"/>
        <v>#NAME?</v>
      </c>
      <c r="C3864">
        <v>3821</v>
      </c>
      <c r="D3864" t="e">
        <f t="shared" ca="1" si="120"/>
        <v>#NAME?</v>
      </c>
      <c r="E3864" s="115" t="e">
        <f t="array" aca="1" ref="E3864" ca="1">IF(OR(C3863=0,AND(B3865=0,C3865=0)),"",IFERROR(INDEX($F$27:$F$36,MATCH(C3864,($F$27:$F$36)*($D$27:$D$36&lt;&gt;0),0)),IF(OR(AND(D3864=0,B3864=0,B3865&lt;&gt;0),AND(D3864*D3863&lt;0,B3864&lt;&gt;0)),IF(D3864=0,C3864,C3864*(1-ABS(D3864)/(ABS(D3864)+ABS(D3863)))+C3863*(1-ABS(D3863)/(ABS(D3864)+ABS(D3863)))),"")))</f>
        <v>#NAME?</v>
      </c>
    </row>
    <row r="3865" spans="2:5" x14ac:dyDescent="0.25">
      <c r="B3865" t="e">
        <f t="shared" ca="1" si="121"/>
        <v>#NAME?</v>
      </c>
      <c r="C3865">
        <v>3822</v>
      </c>
      <c r="D3865" t="e">
        <f t="shared" ca="1" si="120"/>
        <v>#NAME?</v>
      </c>
      <c r="E3865" s="115" t="e">
        <f t="array" aca="1" ref="E3865" ca="1">IF(OR(C3864=0,AND(B3866=0,C3866=0)),"",IFERROR(INDEX($F$27:$F$36,MATCH(C3865,($F$27:$F$36)*($D$27:$D$36&lt;&gt;0),0)),IF(OR(AND(D3865=0,B3865=0,B3866&lt;&gt;0),AND(D3865*D3864&lt;0,B3865&lt;&gt;0)),IF(D3865=0,C3865,C3865*(1-ABS(D3865)/(ABS(D3865)+ABS(D3864)))+C3864*(1-ABS(D3864)/(ABS(D3865)+ABS(D3864)))),"")))</f>
        <v>#NAME?</v>
      </c>
    </row>
    <row r="3866" spans="2:5" x14ac:dyDescent="0.25">
      <c r="B3866" t="e">
        <f t="shared" ca="1" si="121"/>
        <v>#NAME?</v>
      </c>
      <c r="C3866">
        <v>3823</v>
      </c>
      <c r="D3866" t="e">
        <f t="shared" ca="1" si="120"/>
        <v>#NAME?</v>
      </c>
      <c r="E3866" s="115" t="e">
        <f t="array" aca="1" ref="E3866" ca="1">IF(OR(C3865=0,AND(B3867=0,C3867=0)),"",IFERROR(INDEX($F$27:$F$36,MATCH(C3866,($F$27:$F$36)*($D$27:$D$36&lt;&gt;0),0)),IF(OR(AND(D3866=0,B3866=0,B3867&lt;&gt;0),AND(D3866*D3865&lt;0,B3866&lt;&gt;0)),IF(D3866=0,C3866,C3866*(1-ABS(D3866)/(ABS(D3866)+ABS(D3865)))+C3865*(1-ABS(D3865)/(ABS(D3866)+ABS(D3865)))),"")))</f>
        <v>#NAME?</v>
      </c>
    </row>
    <row r="3867" spans="2:5" x14ac:dyDescent="0.25">
      <c r="B3867" t="e">
        <f t="shared" ca="1" si="121"/>
        <v>#NAME?</v>
      </c>
      <c r="C3867">
        <v>3824</v>
      </c>
      <c r="D3867" t="e">
        <f t="shared" ca="1" si="120"/>
        <v>#NAME?</v>
      </c>
      <c r="E3867" s="115" t="e">
        <f t="array" aca="1" ref="E3867" ca="1">IF(OR(C3866=0,AND(B3868=0,C3868=0)),"",IFERROR(INDEX($F$27:$F$36,MATCH(C3867,($F$27:$F$36)*($D$27:$D$36&lt;&gt;0),0)),IF(OR(AND(D3867=0,B3867=0,B3868&lt;&gt;0),AND(D3867*D3866&lt;0,B3867&lt;&gt;0)),IF(D3867=0,C3867,C3867*(1-ABS(D3867)/(ABS(D3867)+ABS(D3866)))+C3866*(1-ABS(D3866)/(ABS(D3867)+ABS(D3866)))),"")))</f>
        <v>#NAME?</v>
      </c>
    </row>
    <row r="3868" spans="2:5" x14ac:dyDescent="0.25">
      <c r="B3868" t="e">
        <f t="shared" ca="1" si="121"/>
        <v>#NAME?</v>
      </c>
      <c r="C3868">
        <v>3825</v>
      </c>
      <c r="D3868" t="e">
        <f t="shared" ca="1" si="120"/>
        <v>#NAME?</v>
      </c>
      <c r="E3868" s="115" t="e">
        <f t="array" aca="1" ref="E3868" ca="1">IF(OR(C3867=0,AND(B3869=0,C3869=0)),"",IFERROR(INDEX($F$27:$F$36,MATCH(C3868,($F$27:$F$36)*($D$27:$D$36&lt;&gt;0),0)),IF(OR(AND(D3868=0,B3868=0,B3869&lt;&gt;0),AND(D3868*D3867&lt;0,B3868&lt;&gt;0)),IF(D3868=0,C3868,C3868*(1-ABS(D3868)/(ABS(D3868)+ABS(D3867)))+C3867*(1-ABS(D3867)/(ABS(D3868)+ABS(D3867)))),"")))</f>
        <v>#NAME?</v>
      </c>
    </row>
    <row r="3869" spans="2:5" x14ac:dyDescent="0.25">
      <c r="B3869" t="e">
        <f t="shared" ca="1" si="121"/>
        <v>#NAME?</v>
      </c>
      <c r="C3869">
        <v>3826</v>
      </c>
      <c r="D3869" t="e">
        <f t="shared" ca="1" si="120"/>
        <v>#NAME?</v>
      </c>
      <c r="E3869" s="115" t="e">
        <f t="array" aca="1" ref="E3869" ca="1">IF(OR(C3868=0,AND(B3870=0,C3870=0)),"",IFERROR(INDEX($F$27:$F$36,MATCH(C3869,($F$27:$F$36)*($D$27:$D$36&lt;&gt;0),0)),IF(OR(AND(D3869=0,B3869=0,B3870&lt;&gt;0),AND(D3869*D3868&lt;0,B3869&lt;&gt;0)),IF(D3869=0,C3869,C3869*(1-ABS(D3869)/(ABS(D3869)+ABS(D3868)))+C3868*(1-ABS(D3868)/(ABS(D3869)+ABS(D3868)))),"")))</f>
        <v>#NAME?</v>
      </c>
    </row>
    <row r="3870" spans="2:5" x14ac:dyDescent="0.25">
      <c r="B3870" t="e">
        <f t="shared" ca="1" si="121"/>
        <v>#NAME?</v>
      </c>
      <c r="C3870">
        <v>3827</v>
      </c>
      <c r="D3870" t="e">
        <f t="shared" ca="1" si="120"/>
        <v>#NAME?</v>
      </c>
      <c r="E3870" s="115" t="e">
        <f t="array" aca="1" ref="E3870" ca="1">IF(OR(C3869=0,AND(B3871=0,C3871=0)),"",IFERROR(INDEX($F$27:$F$36,MATCH(C3870,($F$27:$F$36)*($D$27:$D$36&lt;&gt;0),0)),IF(OR(AND(D3870=0,B3870=0,B3871&lt;&gt;0),AND(D3870*D3869&lt;0,B3870&lt;&gt;0)),IF(D3870=0,C3870,C3870*(1-ABS(D3870)/(ABS(D3870)+ABS(D3869)))+C3869*(1-ABS(D3869)/(ABS(D3870)+ABS(D3869)))),"")))</f>
        <v>#NAME?</v>
      </c>
    </row>
    <row r="3871" spans="2:5" x14ac:dyDescent="0.25">
      <c r="B3871" t="e">
        <f t="shared" ca="1" si="121"/>
        <v>#NAME?</v>
      </c>
      <c r="C3871">
        <v>3828</v>
      </c>
      <c r="D3871" t="e">
        <f t="shared" ca="1" si="120"/>
        <v>#NAME?</v>
      </c>
      <c r="E3871" s="115" t="e">
        <f t="array" aca="1" ref="E3871" ca="1">IF(OR(C3870=0,AND(B3872=0,C3872=0)),"",IFERROR(INDEX($F$27:$F$36,MATCH(C3871,($F$27:$F$36)*($D$27:$D$36&lt;&gt;0),0)),IF(OR(AND(D3871=0,B3871=0,B3872&lt;&gt;0),AND(D3871*D3870&lt;0,B3871&lt;&gt;0)),IF(D3871=0,C3871,C3871*(1-ABS(D3871)/(ABS(D3871)+ABS(D3870)))+C3870*(1-ABS(D3870)/(ABS(D3871)+ABS(D3870)))),"")))</f>
        <v>#NAME?</v>
      </c>
    </row>
    <row r="3872" spans="2:5" x14ac:dyDescent="0.25">
      <c r="B3872" t="e">
        <f t="shared" ca="1" si="121"/>
        <v>#NAME?</v>
      </c>
      <c r="C3872">
        <v>3829</v>
      </c>
      <c r="D3872" t="e">
        <f t="shared" ca="1" si="120"/>
        <v>#NAME?</v>
      </c>
      <c r="E3872" s="115" t="e">
        <f t="array" aca="1" ref="E3872" ca="1">IF(OR(C3871=0,AND(B3873=0,C3873=0)),"",IFERROR(INDEX($F$27:$F$36,MATCH(C3872,($F$27:$F$36)*($D$27:$D$36&lt;&gt;0),0)),IF(OR(AND(D3872=0,B3872=0,B3873&lt;&gt;0),AND(D3872*D3871&lt;0,B3872&lt;&gt;0)),IF(D3872=0,C3872,C3872*(1-ABS(D3872)/(ABS(D3872)+ABS(D3871)))+C3871*(1-ABS(D3871)/(ABS(D3872)+ABS(D3871)))),"")))</f>
        <v>#NAME?</v>
      </c>
    </row>
    <row r="3873" spans="2:5" x14ac:dyDescent="0.25">
      <c r="B3873" t="e">
        <f t="shared" ca="1" si="121"/>
        <v>#NAME?</v>
      </c>
      <c r="C3873">
        <v>3830</v>
      </c>
      <c r="D3873" t="e">
        <f t="shared" ca="1" si="120"/>
        <v>#NAME?</v>
      </c>
      <c r="E3873" s="115" t="e">
        <f t="array" aca="1" ref="E3873" ca="1">IF(OR(C3872=0,AND(B3874=0,C3874=0)),"",IFERROR(INDEX($F$27:$F$36,MATCH(C3873,($F$27:$F$36)*($D$27:$D$36&lt;&gt;0),0)),IF(OR(AND(D3873=0,B3873=0,B3874&lt;&gt;0),AND(D3873*D3872&lt;0,B3873&lt;&gt;0)),IF(D3873=0,C3873,C3873*(1-ABS(D3873)/(ABS(D3873)+ABS(D3872)))+C3872*(1-ABS(D3872)/(ABS(D3873)+ABS(D3872)))),"")))</f>
        <v>#NAME?</v>
      </c>
    </row>
    <row r="3874" spans="2:5" x14ac:dyDescent="0.25">
      <c r="B3874" t="e">
        <f t="shared" ca="1" si="121"/>
        <v>#NAME?</v>
      </c>
      <c r="C3874">
        <v>3831</v>
      </c>
      <c r="D3874" t="e">
        <f t="shared" ca="1" si="120"/>
        <v>#NAME?</v>
      </c>
      <c r="E3874" s="115" t="e">
        <f t="array" aca="1" ref="E3874" ca="1">IF(OR(C3873=0,AND(B3875=0,C3875=0)),"",IFERROR(INDEX($F$27:$F$36,MATCH(C3874,($F$27:$F$36)*($D$27:$D$36&lt;&gt;0),0)),IF(OR(AND(D3874=0,B3874=0,B3875&lt;&gt;0),AND(D3874*D3873&lt;0,B3874&lt;&gt;0)),IF(D3874=0,C3874,C3874*(1-ABS(D3874)/(ABS(D3874)+ABS(D3873)))+C3873*(1-ABS(D3873)/(ABS(D3874)+ABS(D3873)))),"")))</f>
        <v>#NAME?</v>
      </c>
    </row>
    <row r="3875" spans="2:5" x14ac:dyDescent="0.25">
      <c r="B3875" t="e">
        <f t="shared" ca="1" si="121"/>
        <v>#NAME?</v>
      </c>
      <c r="C3875">
        <v>3832</v>
      </c>
      <c r="D3875" t="e">
        <f t="shared" ca="1" si="120"/>
        <v>#NAME?</v>
      </c>
      <c r="E3875" s="115" t="e">
        <f t="array" aca="1" ref="E3875" ca="1">IF(OR(C3874=0,AND(B3876=0,C3876=0)),"",IFERROR(INDEX($F$27:$F$36,MATCH(C3875,($F$27:$F$36)*($D$27:$D$36&lt;&gt;0),0)),IF(OR(AND(D3875=0,B3875=0,B3876&lt;&gt;0),AND(D3875*D3874&lt;0,B3875&lt;&gt;0)),IF(D3875=0,C3875,C3875*(1-ABS(D3875)/(ABS(D3875)+ABS(D3874)))+C3874*(1-ABS(D3874)/(ABS(D3875)+ABS(D3874)))),"")))</f>
        <v>#NAME?</v>
      </c>
    </row>
    <row r="3876" spans="2:5" x14ac:dyDescent="0.25">
      <c r="B3876" t="e">
        <f t="shared" ca="1" si="121"/>
        <v>#NAME?</v>
      </c>
      <c r="C3876">
        <v>3833</v>
      </c>
      <c r="D3876" t="e">
        <f t="shared" ca="1" si="120"/>
        <v>#NAME?</v>
      </c>
      <c r="E3876" s="115" t="e">
        <f t="array" aca="1" ref="E3876" ca="1">IF(OR(C3875=0,AND(B3877=0,C3877=0)),"",IFERROR(INDEX($F$27:$F$36,MATCH(C3876,($F$27:$F$36)*($D$27:$D$36&lt;&gt;0),0)),IF(OR(AND(D3876=0,B3876=0,B3877&lt;&gt;0),AND(D3876*D3875&lt;0,B3876&lt;&gt;0)),IF(D3876=0,C3876,C3876*(1-ABS(D3876)/(ABS(D3876)+ABS(D3875)))+C3875*(1-ABS(D3875)/(ABS(D3876)+ABS(D3875)))),"")))</f>
        <v>#NAME?</v>
      </c>
    </row>
    <row r="3877" spans="2:5" x14ac:dyDescent="0.25">
      <c r="B3877" t="e">
        <f t="shared" ca="1" si="121"/>
        <v>#NAME?</v>
      </c>
      <c r="C3877">
        <v>3834</v>
      </c>
      <c r="D3877" t="e">
        <f t="shared" ca="1" si="120"/>
        <v>#NAME?</v>
      </c>
      <c r="E3877" s="115" t="e">
        <f t="array" aca="1" ref="E3877" ca="1">IF(OR(C3876=0,AND(B3878=0,C3878=0)),"",IFERROR(INDEX($F$27:$F$36,MATCH(C3877,($F$27:$F$36)*($D$27:$D$36&lt;&gt;0),0)),IF(OR(AND(D3877=0,B3877=0,B3878&lt;&gt;0),AND(D3877*D3876&lt;0,B3877&lt;&gt;0)),IF(D3877=0,C3877,C3877*(1-ABS(D3877)/(ABS(D3877)+ABS(D3876)))+C3876*(1-ABS(D3876)/(ABS(D3877)+ABS(D3876)))),"")))</f>
        <v>#NAME?</v>
      </c>
    </row>
    <row r="3878" spans="2:5" x14ac:dyDescent="0.25">
      <c r="B3878" t="e">
        <f t="shared" ca="1" si="121"/>
        <v>#NAME?</v>
      </c>
      <c r="C3878">
        <v>3835</v>
      </c>
      <c r="D3878" t="e">
        <f t="shared" ca="1" si="120"/>
        <v>#NAME?</v>
      </c>
      <c r="E3878" s="115" t="e">
        <f t="array" aca="1" ref="E3878" ca="1">IF(OR(C3877=0,AND(B3879=0,C3879=0)),"",IFERROR(INDEX($F$27:$F$36,MATCH(C3878,($F$27:$F$36)*($D$27:$D$36&lt;&gt;0),0)),IF(OR(AND(D3878=0,B3878=0,B3879&lt;&gt;0),AND(D3878*D3877&lt;0,B3878&lt;&gt;0)),IF(D3878=0,C3878,C3878*(1-ABS(D3878)/(ABS(D3878)+ABS(D3877)))+C3877*(1-ABS(D3877)/(ABS(D3878)+ABS(D3877)))),"")))</f>
        <v>#NAME?</v>
      </c>
    </row>
    <row r="3879" spans="2:5" x14ac:dyDescent="0.25">
      <c r="B3879" t="e">
        <f t="shared" ca="1" si="121"/>
        <v>#NAME?</v>
      </c>
      <c r="C3879">
        <v>3836</v>
      </c>
      <c r="D3879" t="e">
        <f t="shared" ca="1" si="120"/>
        <v>#NAME?</v>
      </c>
      <c r="E3879" s="115" t="e">
        <f t="array" aca="1" ref="E3879" ca="1">IF(OR(C3878=0,AND(B3880=0,C3880=0)),"",IFERROR(INDEX($F$27:$F$36,MATCH(C3879,($F$27:$F$36)*($D$27:$D$36&lt;&gt;0),0)),IF(OR(AND(D3879=0,B3879=0,B3880&lt;&gt;0),AND(D3879*D3878&lt;0,B3879&lt;&gt;0)),IF(D3879=0,C3879,C3879*(1-ABS(D3879)/(ABS(D3879)+ABS(D3878)))+C3878*(1-ABS(D3878)/(ABS(D3879)+ABS(D3878)))),"")))</f>
        <v>#NAME?</v>
      </c>
    </row>
    <row r="3880" spans="2:5" x14ac:dyDescent="0.25">
      <c r="B3880" t="e">
        <f t="shared" ca="1" si="121"/>
        <v>#NAME?</v>
      </c>
      <c r="C3880">
        <v>3837</v>
      </c>
      <c r="D3880" t="e">
        <f t="shared" ca="1" si="120"/>
        <v>#NAME?</v>
      </c>
      <c r="E3880" s="115" t="e">
        <f t="array" aca="1" ref="E3880" ca="1">IF(OR(C3879=0,AND(B3881=0,C3881=0)),"",IFERROR(INDEX($F$27:$F$36,MATCH(C3880,($F$27:$F$36)*($D$27:$D$36&lt;&gt;0),0)),IF(OR(AND(D3880=0,B3880=0,B3881&lt;&gt;0),AND(D3880*D3879&lt;0,B3880&lt;&gt;0)),IF(D3880=0,C3880,C3880*(1-ABS(D3880)/(ABS(D3880)+ABS(D3879)))+C3879*(1-ABS(D3879)/(ABS(D3880)+ABS(D3879)))),"")))</f>
        <v>#NAME?</v>
      </c>
    </row>
    <row r="3881" spans="2:5" x14ac:dyDescent="0.25">
      <c r="B3881" t="e">
        <f t="shared" ca="1" si="121"/>
        <v>#NAME?</v>
      </c>
      <c r="C3881">
        <v>3838</v>
      </c>
      <c r="D3881" t="e">
        <f t="shared" ca="1" si="120"/>
        <v>#NAME?</v>
      </c>
      <c r="E3881" s="115" t="e">
        <f t="array" aca="1" ref="E3881" ca="1">IF(OR(C3880=0,AND(B3882=0,C3882=0)),"",IFERROR(INDEX($F$27:$F$36,MATCH(C3881,($F$27:$F$36)*($D$27:$D$36&lt;&gt;0),0)),IF(OR(AND(D3881=0,B3881=0,B3882&lt;&gt;0),AND(D3881*D3880&lt;0,B3881&lt;&gt;0)),IF(D3881=0,C3881,C3881*(1-ABS(D3881)/(ABS(D3881)+ABS(D3880)))+C3880*(1-ABS(D3880)/(ABS(D3881)+ABS(D3880)))),"")))</f>
        <v>#NAME?</v>
      </c>
    </row>
    <row r="3882" spans="2:5" x14ac:dyDescent="0.25">
      <c r="B3882" t="e">
        <f t="shared" ca="1" si="121"/>
        <v>#NAME?</v>
      </c>
      <c r="C3882">
        <v>3839</v>
      </c>
      <c r="D3882" t="e">
        <f t="shared" ca="1" si="120"/>
        <v>#NAME?</v>
      </c>
      <c r="E3882" s="115" t="e">
        <f t="array" aca="1" ref="E3882" ca="1">IF(OR(C3881=0,AND(B3883=0,C3883=0)),"",IFERROR(INDEX($F$27:$F$36,MATCH(C3882,($F$27:$F$36)*($D$27:$D$36&lt;&gt;0),0)),IF(OR(AND(D3882=0,B3882=0,B3883&lt;&gt;0),AND(D3882*D3881&lt;0,B3882&lt;&gt;0)),IF(D3882=0,C3882,C3882*(1-ABS(D3882)/(ABS(D3882)+ABS(D3881)))+C3881*(1-ABS(D3881)/(ABS(D3882)+ABS(D3881)))),"")))</f>
        <v>#NAME?</v>
      </c>
    </row>
    <row r="3883" spans="2:5" x14ac:dyDescent="0.25">
      <c r="B3883" t="e">
        <f t="shared" ca="1" si="121"/>
        <v>#NAME?</v>
      </c>
      <c r="C3883">
        <v>3840</v>
      </c>
      <c r="D3883" t="e">
        <f t="shared" ref="D3883:D3946" ca="1" si="122">SUMPRODUCT(--($J$27:$J$37&gt;0),--($C3883-$F$27:$F$37&gt;0),($D$27:$D$37),($C3883-$F$27:$F$37))+SUMPRODUCT(--($J$27:$J$37&lt;0),--($F$27:$F$37-$C3883&gt;0),($D$27:$D$37),($F$27:$F$37-$C3883))-SUMPRODUCT($D$27:$D$37,$E$27:$E$37)</f>
        <v>#NAME?</v>
      </c>
      <c r="E3883" s="115" t="e">
        <f t="array" aca="1" ref="E3883" ca="1">IF(OR(C3882=0,AND(B3884=0,C3884=0)),"",IFERROR(INDEX($F$27:$F$36,MATCH(C3883,($F$27:$F$36)*($D$27:$D$36&lt;&gt;0),0)),IF(OR(AND(D3883=0,B3883=0,B3884&lt;&gt;0),AND(D3883*D3882&lt;0,B3883&lt;&gt;0)),IF(D3883=0,C3883,C3883*(1-ABS(D3883)/(ABS(D3883)+ABS(D3882)))+C3882*(1-ABS(D3882)/(ABS(D3883)+ABS(D3882)))),"")))</f>
        <v>#NAME?</v>
      </c>
    </row>
    <row r="3884" spans="2:5" x14ac:dyDescent="0.25">
      <c r="B3884" t="e">
        <f t="shared" ref="B3884:B3947" ca="1" si="123">ROUND((D3884-D3883)/(C3884-C3883),12)</f>
        <v>#NAME?</v>
      </c>
      <c r="C3884">
        <v>3841</v>
      </c>
      <c r="D3884" t="e">
        <f t="shared" ca="1" si="122"/>
        <v>#NAME?</v>
      </c>
      <c r="E3884" s="115" t="e">
        <f t="array" aca="1" ref="E3884" ca="1">IF(OR(C3883=0,AND(B3885=0,C3885=0)),"",IFERROR(INDEX($F$27:$F$36,MATCH(C3884,($F$27:$F$36)*($D$27:$D$36&lt;&gt;0),0)),IF(OR(AND(D3884=0,B3884=0,B3885&lt;&gt;0),AND(D3884*D3883&lt;0,B3884&lt;&gt;0)),IF(D3884=0,C3884,C3884*(1-ABS(D3884)/(ABS(D3884)+ABS(D3883)))+C3883*(1-ABS(D3883)/(ABS(D3884)+ABS(D3883)))),"")))</f>
        <v>#NAME?</v>
      </c>
    </row>
    <row r="3885" spans="2:5" x14ac:dyDescent="0.25">
      <c r="B3885" t="e">
        <f t="shared" ca="1" si="123"/>
        <v>#NAME?</v>
      </c>
      <c r="C3885">
        <v>3842</v>
      </c>
      <c r="D3885" t="e">
        <f t="shared" ca="1" si="122"/>
        <v>#NAME?</v>
      </c>
      <c r="E3885" s="115" t="e">
        <f t="array" aca="1" ref="E3885" ca="1">IF(OR(C3884=0,AND(B3886=0,C3886=0)),"",IFERROR(INDEX($F$27:$F$36,MATCH(C3885,($F$27:$F$36)*($D$27:$D$36&lt;&gt;0),0)),IF(OR(AND(D3885=0,B3885=0,B3886&lt;&gt;0),AND(D3885*D3884&lt;0,B3885&lt;&gt;0)),IF(D3885=0,C3885,C3885*(1-ABS(D3885)/(ABS(D3885)+ABS(D3884)))+C3884*(1-ABS(D3884)/(ABS(D3885)+ABS(D3884)))),"")))</f>
        <v>#NAME?</v>
      </c>
    </row>
    <row r="3886" spans="2:5" x14ac:dyDescent="0.25">
      <c r="B3886" t="e">
        <f t="shared" ca="1" si="123"/>
        <v>#NAME?</v>
      </c>
      <c r="C3886">
        <v>3843</v>
      </c>
      <c r="D3886" t="e">
        <f t="shared" ca="1" si="122"/>
        <v>#NAME?</v>
      </c>
      <c r="E3886" s="115" t="e">
        <f t="array" aca="1" ref="E3886" ca="1">IF(OR(C3885=0,AND(B3887=0,C3887=0)),"",IFERROR(INDEX($F$27:$F$36,MATCH(C3886,($F$27:$F$36)*($D$27:$D$36&lt;&gt;0),0)),IF(OR(AND(D3886=0,B3886=0,B3887&lt;&gt;0),AND(D3886*D3885&lt;0,B3886&lt;&gt;0)),IF(D3886=0,C3886,C3886*(1-ABS(D3886)/(ABS(D3886)+ABS(D3885)))+C3885*(1-ABS(D3885)/(ABS(D3886)+ABS(D3885)))),"")))</f>
        <v>#NAME?</v>
      </c>
    </row>
    <row r="3887" spans="2:5" x14ac:dyDescent="0.25">
      <c r="B3887" t="e">
        <f t="shared" ca="1" si="123"/>
        <v>#NAME?</v>
      </c>
      <c r="C3887">
        <v>3844</v>
      </c>
      <c r="D3887" t="e">
        <f t="shared" ca="1" si="122"/>
        <v>#NAME?</v>
      </c>
      <c r="E3887" s="115" t="e">
        <f t="array" aca="1" ref="E3887" ca="1">IF(OR(C3886=0,AND(B3888=0,C3888=0)),"",IFERROR(INDEX($F$27:$F$36,MATCH(C3887,($F$27:$F$36)*($D$27:$D$36&lt;&gt;0),0)),IF(OR(AND(D3887=0,B3887=0,B3888&lt;&gt;0),AND(D3887*D3886&lt;0,B3887&lt;&gt;0)),IF(D3887=0,C3887,C3887*(1-ABS(D3887)/(ABS(D3887)+ABS(D3886)))+C3886*(1-ABS(D3886)/(ABS(D3887)+ABS(D3886)))),"")))</f>
        <v>#NAME?</v>
      </c>
    </row>
    <row r="3888" spans="2:5" x14ac:dyDescent="0.25">
      <c r="B3888" t="e">
        <f t="shared" ca="1" si="123"/>
        <v>#NAME?</v>
      </c>
      <c r="C3888">
        <v>3845</v>
      </c>
      <c r="D3888" t="e">
        <f t="shared" ca="1" si="122"/>
        <v>#NAME?</v>
      </c>
      <c r="E3888" s="115" t="e">
        <f t="array" aca="1" ref="E3888" ca="1">IF(OR(C3887=0,AND(B3889=0,C3889=0)),"",IFERROR(INDEX($F$27:$F$36,MATCH(C3888,($F$27:$F$36)*($D$27:$D$36&lt;&gt;0),0)),IF(OR(AND(D3888=0,B3888=0,B3889&lt;&gt;0),AND(D3888*D3887&lt;0,B3888&lt;&gt;0)),IF(D3888=0,C3888,C3888*(1-ABS(D3888)/(ABS(D3888)+ABS(D3887)))+C3887*(1-ABS(D3887)/(ABS(D3888)+ABS(D3887)))),"")))</f>
        <v>#NAME?</v>
      </c>
    </row>
    <row r="3889" spans="2:5" x14ac:dyDescent="0.25">
      <c r="B3889" t="e">
        <f t="shared" ca="1" si="123"/>
        <v>#NAME?</v>
      </c>
      <c r="C3889">
        <v>3846</v>
      </c>
      <c r="D3889" t="e">
        <f t="shared" ca="1" si="122"/>
        <v>#NAME?</v>
      </c>
      <c r="E3889" s="115" t="e">
        <f t="array" aca="1" ref="E3889" ca="1">IF(OR(C3888=0,AND(B3890=0,C3890=0)),"",IFERROR(INDEX($F$27:$F$36,MATCH(C3889,($F$27:$F$36)*($D$27:$D$36&lt;&gt;0),0)),IF(OR(AND(D3889=0,B3889=0,B3890&lt;&gt;0),AND(D3889*D3888&lt;0,B3889&lt;&gt;0)),IF(D3889=0,C3889,C3889*(1-ABS(D3889)/(ABS(D3889)+ABS(D3888)))+C3888*(1-ABS(D3888)/(ABS(D3889)+ABS(D3888)))),"")))</f>
        <v>#NAME?</v>
      </c>
    </row>
    <row r="3890" spans="2:5" x14ac:dyDescent="0.25">
      <c r="B3890" t="e">
        <f t="shared" ca="1" si="123"/>
        <v>#NAME?</v>
      </c>
      <c r="C3890">
        <v>3847</v>
      </c>
      <c r="D3890" t="e">
        <f t="shared" ca="1" si="122"/>
        <v>#NAME?</v>
      </c>
      <c r="E3890" s="115" t="e">
        <f t="array" aca="1" ref="E3890" ca="1">IF(OR(C3889=0,AND(B3891=0,C3891=0)),"",IFERROR(INDEX($F$27:$F$36,MATCH(C3890,($F$27:$F$36)*($D$27:$D$36&lt;&gt;0),0)),IF(OR(AND(D3890=0,B3890=0,B3891&lt;&gt;0),AND(D3890*D3889&lt;0,B3890&lt;&gt;0)),IF(D3890=0,C3890,C3890*(1-ABS(D3890)/(ABS(D3890)+ABS(D3889)))+C3889*(1-ABS(D3889)/(ABS(D3890)+ABS(D3889)))),"")))</f>
        <v>#NAME?</v>
      </c>
    </row>
    <row r="3891" spans="2:5" x14ac:dyDescent="0.25">
      <c r="B3891" t="e">
        <f t="shared" ca="1" si="123"/>
        <v>#NAME?</v>
      </c>
      <c r="C3891">
        <v>3848</v>
      </c>
      <c r="D3891" t="e">
        <f t="shared" ca="1" si="122"/>
        <v>#NAME?</v>
      </c>
      <c r="E3891" s="115" t="e">
        <f t="array" aca="1" ref="E3891" ca="1">IF(OR(C3890=0,AND(B3892=0,C3892=0)),"",IFERROR(INDEX($F$27:$F$36,MATCH(C3891,($F$27:$F$36)*($D$27:$D$36&lt;&gt;0),0)),IF(OR(AND(D3891=0,B3891=0,B3892&lt;&gt;0),AND(D3891*D3890&lt;0,B3891&lt;&gt;0)),IF(D3891=0,C3891,C3891*(1-ABS(D3891)/(ABS(D3891)+ABS(D3890)))+C3890*(1-ABS(D3890)/(ABS(D3891)+ABS(D3890)))),"")))</f>
        <v>#NAME?</v>
      </c>
    </row>
    <row r="3892" spans="2:5" x14ac:dyDescent="0.25">
      <c r="B3892" t="e">
        <f t="shared" ca="1" si="123"/>
        <v>#NAME?</v>
      </c>
      <c r="C3892">
        <v>3849</v>
      </c>
      <c r="D3892" t="e">
        <f t="shared" ca="1" si="122"/>
        <v>#NAME?</v>
      </c>
      <c r="E3892" s="115" t="e">
        <f t="array" aca="1" ref="E3892" ca="1">IF(OR(C3891=0,AND(B3893=0,C3893=0)),"",IFERROR(INDEX($F$27:$F$36,MATCH(C3892,($F$27:$F$36)*($D$27:$D$36&lt;&gt;0),0)),IF(OR(AND(D3892=0,B3892=0,B3893&lt;&gt;0),AND(D3892*D3891&lt;0,B3892&lt;&gt;0)),IF(D3892=0,C3892,C3892*(1-ABS(D3892)/(ABS(D3892)+ABS(D3891)))+C3891*(1-ABS(D3891)/(ABS(D3892)+ABS(D3891)))),"")))</f>
        <v>#NAME?</v>
      </c>
    </row>
    <row r="3893" spans="2:5" x14ac:dyDescent="0.25">
      <c r="B3893" t="e">
        <f t="shared" ca="1" si="123"/>
        <v>#NAME?</v>
      </c>
      <c r="C3893">
        <v>3850</v>
      </c>
      <c r="D3893" t="e">
        <f t="shared" ca="1" si="122"/>
        <v>#NAME?</v>
      </c>
      <c r="E3893" s="115" t="e">
        <f t="array" aca="1" ref="E3893" ca="1">IF(OR(C3892=0,AND(B3894=0,C3894=0)),"",IFERROR(INDEX($F$27:$F$36,MATCH(C3893,($F$27:$F$36)*($D$27:$D$36&lt;&gt;0),0)),IF(OR(AND(D3893=0,B3893=0,B3894&lt;&gt;0),AND(D3893*D3892&lt;0,B3893&lt;&gt;0)),IF(D3893=0,C3893,C3893*(1-ABS(D3893)/(ABS(D3893)+ABS(D3892)))+C3892*(1-ABS(D3892)/(ABS(D3893)+ABS(D3892)))),"")))</f>
        <v>#NAME?</v>
      </c>
    </row>
    <row r="3894" spans="2:5" x14ac:dyDescent="0.25">
      <c r="B3894" t="e">
        <f t="shared" ca="1" si="123"/>
        <v>#NAME?</v>
      </c>
      <c r="C3894">
        <v>3851</v>
      </c>
      <c r="D3894" t="e">
        <f t="shared" ca="1" si="122"/>
        <v>#NAME?</v>
      </c>
      <c r="E3894" s="115" t="e">
        <f t="array" aca="1" ref="E3894" ca="1">IF(OR(C3893=0,AND(B3895=0,C3895=0)),"",IFERROR(INDEX($F$27:$F$36,MATCH(C3894,($F$27:$F$36)*($D$27:$D$36&lt;&gt;0),0)),IF(OR(AND(D3894=0,B3894=0,B3895&lt;&gt;0),AND(D3894*D3893&lt;0,B3894&lt;&gt;0)),IF(D3894=0,C3894,C3894*(1-ABS(D3894)/(ABS(D3894)+ABS(D3893)))+C3893*(1-ABS(D3893)/(ABS(D3894)+ABS(D3893)))),"")))</f>
        <v>#NAME?</v>
      </c>
    </row>
    <row r="3895" spans="2:5" x14ac:dyDescent="0.25">
      <c r="B3895" t="e">
        <f t="shared" ca="1" si="123"/>
        <v>#NAME?</v>
      </c>
      <c r="C3895">
        <v>3852</v>
      </c>
      <c r="D3895" t="e">
        <f t="shared" ca="1" si="122"/>
        <v>#NAME?</v>
      </c>
      <c r="E3895" s="115" t="e">
        <f t="array" aca="1" ref="E3895" ca="1">IF(OR(C3894=0,AND(B3896=0,C3896=0)),"",IFERROR(INDEX($F$27:$F$36,MATCH(C3895,($F$27:$F$36)*($D$27:$D$36&lt;&gt;0),0)),IF(OR(AND(D3895=0,B3895=0,B3896&lt;&gt;0),AND(D3895*D3894&lt;0,B3895&lt;&gt;0)),IF(D3895=0,C3895,C3895*(1-ABS(D3895)/(ABS(D3895)+ABS(D3894)))+C3894*(1-ABS(D3894)/(ABS(D3895)+ABS(D3894)))),"")))</f>
        <v>#NAME?</v>
      </c>
    </row>
    <row r="3896" spans="2:5" x14ac:dyDescent="0.25">
      <c r="B3896" t="e">
        <f t="shared" ca="1" si="123"/>
        <v>#NAME?</v>
      </c>
      <c r="C3896">
        <v>3853</v>
      </c>
      <c r="D3896" t="e">
        <f t="shared" ca="1" si="122"/>
        <v>#NAME?</v>
      </c>
      <c r="E3896" s="115" t="e">
        <f t="array" aca="1" ref="E3896" ca="1">IF(OR(C3895=0,AND(B3897=0,C3897=0)),"",IFERROR(INDEX($F$27:$F$36,MATCH(C3896,($F$27:$F$36)*($D$27:$D$36&lt;&gt;0),0)),IF(OR(AND(D3896=0,B3896=0,B3897&lt;&gt;0),AND(D3896*D3895&lt;0,B3896&lt;&gt;0)),IF(D3896=0,C3896,C3896*(1-ABS(D3896)/(ABS(D3896)+ABS(D3895)))+C3895*(1-ABS(D3895)/(ABS(D3896)+ABS(D3895)))),"")))</f>
        <v>#NAME?</v>
      </c>
    </row>
    <row r="3897" spans="2:5" x14ac:dyDescent="0.25">
      <c r="B3897" t="e">
        <f t="shared" ca="1" si="123"/>
        <v>#NAME?</v>
      </c>
      <c r="C3897">
        <v>3854</v>
      </c>
      <c r="D3897" t="e">
        <f t="shared" ca="1" si="122"/>
        <v>#NAME?</v>
      </c>
      <c r="E3897" s="115" t="e">
        <f t="array" aca="1" ref="E3897" ca="1">IF(OR(C3896=0,AND(B3898=0,C3898=0)),"",IFERROR(INDEX($F$27:$F$36,MATCH(C3897,($F$27:$F$36)*($D$27:$D$36&lt;&gt;0),0)),IF(OR(AND(D3897=0,B3897=0,B3898&lt;&gt;0),AND(D3897*D3896&lt;0,B3897&lt;&gt;0)),IF(D3897=0,C3897,C3897*(1-ABS(D3897)/(ABS(D3897)+ABS(D3896)))+C3896*(1-ABS(D3896)/(ABS(D3897)+ABS(D3896)))),"")))</f>
        <v>#NAME?</v>
      </c>
    </row>
    <row r="3898" spans="2:5" x14ac:dyDescent="0.25">
      <c r="B3898" t="e">
        <f t="shared" ca="1" si="123"/>
        <v>#NAME?</v>
      </c>
      <c r="C3898">
        <v>3855</v>
      </c>
      <c r="D3898" t="e">
        <f t="shared" ca="1" si="122"/>
        <v>#NAME?</v>
      </c>
      <c r="E3898" s="115" t="e">
        <f t="array" aca="1" ref="E3898" ca="1">IF(OR(C3897=0,AND(B3899=0,C3899=0)),"",IFERROR(INDEX($F$27:$F$36,MATCH(C3898,($F$27:$F$36)*($D$27:$D$36&lt;&gt;0),0)),IF(OR(AND(D3898=0,B3898=0,B3899&lt;&gt;0),AND(D3898*D3897&lt;0,B3898&lt;&gt;0)),IF(D3898=0,C3898,C3898*(1-ABS(D3898)/(ABS(D3898)+ABS(D3897)))+C3897*(1-ABS(D3897)/(ABS(D3898)+ABS(D3897)))),"")))</f>
        <v>#NAME?</v>
      </c>
    </row>
    <row r="3899" spans="2:5" x14ac:dyDescent="0.25">
      <c r="B3899" t="e">
        <f t="shared" ca="1" si="123"/>
        <v>#NAME?</v>
      </c>
      <c r="C3899">
        <v>3856</v>
      </c>
      <c r="D3899" t="e">
        <f t="shared" ca="1" si="122"/>
        <v>#NAME?</v>
      </c>
      <c r="E3899" s="115" t="e">
        <f t="array" aca="1" ref="E3899" ca="1">IF(OR(C3898=0,AND(B3900=0,C3900=0)),"",IFERROR(INDEX($F$27:$F$36,MATCH(C3899,($F$27:$F$36)*($D$27:$D$36&lt;&gt;0),0)),IF(OR(AND(D3899=0,B3899=0,B3900&lt;&gt;0),AND(D3899*D3898&lt;0,B3899&lt;&gt;0)),IF(D3899=0,C3899,C3899*(1-ABS(D3899)/(ABS(D3899)+ABS(D3898)))+C3898*(1-ABS(D3898)/(ABS(D3899)+ABS(D3898)))),"")))</f>
        <v>#NAME?</v>
      </c>
    </row>
    <row r="3900" spans="2:5" x14ac:dyDescent="0.25">
      <c r="B3900" t="e">
        <f t="shared" ca="1" si="123"/>
        <v>#NAME?</v>
      </c>
      <c r="C3900">
        <v>3857</v>
      </c>
      <c r="D3900" t="e">
        <f t="shared" ca="1" si="122"/>
        <v>#NAME?</v>
      </c>
      <c r="E3900" s="115" t="e">
        <f t="array" aca="1" ref="E3900" ca="1">IF(OR(C3899=0,AND(B3901=0,C3901=0)),"",IFERROR(INDEX($F$27:$F$36,MATCH(C3900,($F$27:$F$36)*($D$27:$D$36&lt;&gt;0),0)),IF(OR(AND(D3900=0,B3900=0,B3901&lt;&gt;0),AND(D3900*D3899&lt;0,B3900&lt;&gt;0)),IF(D3900=0,C3900,C3900*(1-ABS(D3900)/(ABS(D3900)+ABS(D3899)))+C3899*(1-ABS(D3899)/(ABS(D3900)+ABS(D3899)))),"")))</f>
        <v>#NAME?</v>
      </c>
    </row>
    <row r="3901" spans="2:5" x14ac:dyDescent="0.25">
      <c r="B3901" t="e">
        <f t="shared" ca="1" si="123"/>
        <v>#NAME?</v>
      </c>
      <c r="C3901">
        <v>3858</v>
      </c>
      <c r="D3901" t="e">
        <f t="shared" ca="1" si="122"/>
        <v>#NAME?</v>
      </c>
      <c r="E3901" s="115" t="e">
        <f t="array" aca="1" ref="E3901" ca="1">IF(OR(C3900=0,AND(B3902=0,C3902=0)),"",IFERROR(INDEX($F$27:$F$36,MATCH(C3901,($F$27:$F$36)*($D$27:$D$36&lt;&gt;0),0)),IF(OR(AND(D3901=0,B3901=0,B3902&lt;&gt;0),AND(D3901*D3900&lt;0,B3901&lt;&gt;0)),IF(D3901=0,C3901,C3901*(1-ABS(D3901)/(ABS(D3901)+ABS(D3900)))+C3900*(1-ABS(D3900)/(ABS(D3901)+ABS(D3900)))),"")))</f>
        <v>#NAME?</v>
      </c>
    </row>
    <row r="3902" spans="2:5" x14ac:dyDescent="0.25">
      <c r="B3902" t="e">
        <f t="shared" ca="1" si="123"/>
        <v>#NAME?</v>
      </c>
      <c r="C3902">
        <v>3859</v>
      </c>
      <c r="D3902" t="e">
        <f t="shared" ca="1" si="122"/>
        <v>#NAME?</v>
      </c>
      <c r="E3902" s="115" t="e">
        <f t="array" aca="1" ref="E3902" ca="1">IF(OR(C3901=0,AND(B3903=0,C3903=0)),"",IFERROR(INDEX($F$27:$F$36,MATCH(C3902,($F$27:$F$36)*($D$27:$D$36&lt;&gt;0),0)),IF(OR(AND(D3902=0,B3902=0,B3903&lt;&gt;0),AND(D3902*D3901&lt;0,B3902&lt;&gt;0)),IF(D3902=0,C3902,C3902*(1-ABS(D3902)/(ABS(D3902)+ABS(D3901)))+C3901*(1-ABS(D3901)/(ABS(D3902)+ABS(D3901)))),"")))</f>
        <v>#NAME?</v>
      </c>
    </row>
    <row r="3903" spans="2:5" x14ac:dyDescent="0.25">
      <c r="B3903" t="e">
        <f t="shared" ca="1" si="123"/>
        <v>#NAME?</v>
      </c>
      <c r="C3903">
        <v>3860</v>
      </c>
      <c r="D3903" t="e">
        <f t="shared" ca="1" si="122"/>
        <v>#NAME?</v>
      </c>
      <c r="E3903" s="115" t="e">
        <f t="array" aca="1" ref="E3903" ca="1">IF(OR(C3902=0,AND(B3904=0,C3904=0)),"",IFERROR(INDEX($F$27:$F$36,MATCH(C3903,($F$27:$F$36)*($D$27:$D$36&lt;&gt;0),0)),IF(OR(AND(D3903=0,B3903=0,B3904&lt;&gt;0),AND(D3903*D3902&lt;0,B3903&lt;&gt;0)),IF(D3903=0,C3903,C3903*(1-ABS(D3903)/(ABS(D3903)+ABS(D3902)))+C3902*(1-ABS(D3902)/(ABS(D3903)+ABS(D3902)))),"")))</f>
        <v>#NAME?</v>
      </c>
    </row>
    <row r="3904" spans="2:5" x14ac:dyDescent="0.25">
      <c r="B3904" t="e">
        <f t="shared" ca="1" si="123"/>
        <v>#NAME?</v>
      </c>
      <c r="C3904">
        <v>3861</v>
      </c>
      <c r="D3904" t="e">
        <f t="shared" ca="1" si="122"/>
        <v>#NAME?</v>
      </c>
      <c r="E3904" s="115" t="e">
        <f t="array" aca="1" ref="E3904" ca="1">IF(OR(C3903=0,AND(B3905=0,C3905=0)),"",IFERROR(INDEX($F$27:$F$36,MATCH(C3904,($F$27:$F$36)*($D$27:$D$36&lt;&gt;0),0)),IF(OR(AND(D3904=0,B3904=0,B3905&lt;&gt;0),AND(D3904*D3903&lt;0,B3904&lt;&gt;0)),IF(D3904=0,C3904,C3904*(1-ABS(D3904)/(ABS(D3904)+ABS(D3903)))+C3903*(1-ABS(D3903)/(ABS(D3904)+ABS(D3903)))),"")))</f>
        <v>#NAME?</v>
      </c>
    </row>
    <row r="3905" spans="2:5" x14ac:dyDescent="0.25">
      <c r="B3905" t="e">
        <f t="shared" ca="1" si="123"/>
        <v>#NAME?</v>
      </c>
      <c r="C3905">
        <v>3862</v>
      </c>
      <c r="D3905" t="e">
        <f t="shared" ca="1" si="122"/>
        <v>#NAME?</v>
      </c>
      <c r="E3905" s="115" t="e">
        <f t="array" aca="1" ref="E3905" ca="1">IF(OR(C3904=0,AND(B3906=0,C3906=0)),"",IFERROR(INDEX($F$27:$F$36,MATCH(C3905,($F$27:$F$36)*($D$27:$D$36&lt;&gt;0),0)),IF(OR(AND(D3905=0,B3905=0,B3906&lt;&gt;0),AND(D3905*D3904&lt;0,B3905&lt;&gt;0)),IF(D3905=0,C3905,C3905*(1-ABS(D3905)/(ABS(D3905)+ABS(D3904)))+C3904*(1-ABS(D3904)/(ABS(D3905)+ABS(D3904)))),"")))</f>
        <v>#NAME?</v>
      </c>
    </row>
    <row r="3906" spans="2:5" x14ac:dyDescent="0.25">
      <c r="B3906" t="e">
        <f t="shared" ca="1" si="123"/>
        <v>#NAME?</v>
      </c>
      <c r="C3906">
        <v>3863</v>
      </c>
      <c r="D3906" t="e">
        <f t="shared" ca="1" si="122"/>
        <v>#NAME?</v>
      </c>
      <c r="E3906" s="115" t="e">
        <f t="array" aca="1" ref="E3906" ca="1">IF(OR(C3905=0,AND(B3907=0,C3907=0)),"",IFERROR(INDEX($F$27:$F$36,MATCH(C3906,($F$27:$F$36)*($D$27:$D$36&lt;&gt;0),0)),IF(OR(AND(D3906=0,B3906=0,B3907&lt;&gt;0),AND(D3906*D3905&lt;0,B3906&lt;&gt;0)),IF(D3906=0,C3906,C3906*(1-ABS(D3906)/(ABS(D3906)+ABS(D3905)))+C3905*(1-ABS(D3905)/(ABS(D3906)+ABS(D3905)))),"")))</f>
        <v>#NAME?</v>
      </c>
    </row>
    <row r="3907" spans="2:5" x14ac:dyDescent="0.25">
      <c r="B3907" t="e">
        <f t="shared" ca="1" si="123"/>
        <v>#NAME?</v>
      </c>
      <c r="C3907">
        <v>3864</v>
      </c>
      <c r="D3907" t="e">
        <f t="shared" ca="1" si="122"/>
        <v>#NAME?</v>
      </c>
      <c r="E3907" s="115" t="e">
        <f t="array" aca="1" ref="E3907" ca="1">IF(OR(C3906=0,AND(B3908=0,C3908=0)),"",IFERROR(INDEX($F$27:$F$36,MATCH(C3907,($F$27:$F$36)*($D$27:$D$36&lt;&gt;0),0)),IF(OR(AND(D3907=0,B3907=0,B3908&lt;&gt;0),AND(D3907*D3906&lt;0,B3907&lt;&gt;0)),IF(D3907=0,C3907,C3907*(1-ABS(D3907)/(ABS(D3907)+ABS(D3906)))+C3906*(1-ABS(D3906)/(ABS(D3907)+ABS(D3906)))),"")))</f>
        <v>#NAME?</v>
      </c>
    </row>
    <row r="3908" spans="2:5" x14ac:dyDescent="0.25">
      <c r="B3908" t="e">
        <f t="shared" ca="1" si="123"/>
        <v>#NAME?</v>
      </c>
      <c r="C3908">
        <v>3865</v>
      </c>
      <c r="D3908" t="e">
        <f t="shared" ca="1" si="122"/>
        <v>#NAME?</v>
      </c>
      <c r="E3908" s="115" t="e">
        <f t="array" aca="1" ref="E3908" ca="1">IF(OR(C3907=0,AND(B3909=0,C3909=0)),"",IFERROR(INDEX($F$27:$F$36,MATCH(C3908,($F$27:$F$36)*($D$27:$D$36&lt;&gt;0),0)),IF(OR(AND(D3908=0,B3908=0,B3909&lt;&gt;0),AND(D3908*D3907&lt;0,B3908&lt;&gt;0)),IF(D3908=0,C3908,C3908*(1-ABS(D3908)/(ABS(D3908)+ABS(D3907)))+C3907*(1-ABS(D3907)/(ABS(D3908)+ABS(D3907)))),"")))</f>
        <v>#NAME?</v>
      </c>
    </row>
    <row r="3909" spans="2:5" x14ac:dyDescent="0.25">
      <c r="B3909" t="e">
        <f t="shared" ca="1" si="123"/>
        <v>#NAME?</v>
      </c>
      <c r="C3909">
        <v>3866</v>
      </c>
      <c r="D3909" t="e">
        <f t="shared" ca="1" si="122"/>
        <v>#NAME?</v>
      </c>
      <c r="E3909" s="115" t="e">
        <f t="array" aca="1" ref="E3909" ca="1">IF(OR(C3908=0,AND(B3910=0,C3910=0)),"",IFERROR(INDEX($F$27:$F$36,MATCH(C3909,($F$27:$F$36)*($D$27:$D$36&lt;&gt;0),0)),IF(OR(AND(D3909=0,B3909=0,B3910&lt;&gt;0),AND(D3909*D3908&lt;0,B3909&lt;&gt;0)),IF(D3909=0,C3909,C3909*(1-ABS(D3909)/(ABS(D3909)+ABS(D3908)))+C3908*(1-ABS(D3908)/(ABS(D3909)+ABS(D3908)))),"")))</f>
        <v>#NAME?</v>
      </c>
    </row>
    <row r="3910" spans="2:5" x14ac:dyDescent="0.25">
      <c r="B3910" t="e">
        <f t="shared" ca="1" si="123"/>
        <v>#NAME?</v>
      </c>
      <c r="C3910">
        <v>3867</v>
      </c>
      <c r="D3910" t="e">
        <f t="shared" ca="1" si="122"/>
        <v>#NAME?</v>
      </c>
      <c r="E3910" s="115" t="e">
        <f t="array" aca="1" ref="E3910" ca="1">IF(OR(C3909=0,AND(B3911=0,C3911=0)),"",IFERROR(INDEX($F$27:$F$36,MATCH(C3910,($F$27:$F$36)*($D$27:$D$36&lt;&gt;0),0)),IF(OR(AND(D3910=0,B3910=0,B3911&lt;&gt;0),AND(D3910*D3909&lt;0,B3910&lt;&gt;0)),IF(D3910=0,C3910,C3910*(1-ABS(D3910)/(ABS(D3910)+ABS(D3909)))+C3909*(1-ABS(D3909)/(ABS(D3910)+ABS(D3909)))),"")))</f>
        <v>#NAME?</v>
      </c>
    </row>
    <row r="3911" spans="2:5" x14ac:dyDescent="0.25">
      <c r="B3911" t="e">
        <f t="shared" ca="1" si="123"/>
        <v>#NAME?</v>
      </c>
      <c r="C3911">
        <v>3868</v>
      </c>
      <c r="D3911" t="e">
        <f t="shared" ca="1" si="122"/>
        <v>#NAME?</v>
      </c>
      <c r="E3911" s="115" t="e">
        <f t="array" aca="1" ref="E3911" ca="1">IF(OR(C3910=0,AND(B3912=0,C3912=0)),"",IFERROR(INDEX($F$27:$F$36,MATCH(C3911,($F$27:$F$36)*($D$27:$D$36&lt;&gt;0),0)),IF(OR(AND(D3911=0,B3911=0,B3912&lt;&gt;0),AND(D3911*D3910&lt;0,B3911&lt;&gt;0)),IF(D3911=0,C3911,C3911*(1-ABS(D3911)/(ABS(D3911)+ABS(D3910)))+C3910*(1-ABS(D3910)/(ABS(D3911)+ABS(D3910)))),"")))</f>
        <v>#NAME?</v>
      </c>
    </row>
    <row r="3912" spans="2:5" x14ac:dyDescent="0.25">
      <c r="B3912" t="e">
        <f t="shared" ca="1" si="123"/>
        <v>#NAME?</v>
      </c>
      <c r="C3912">
        <v>3869</v>
      </c>
      <c r="D3912" t="e">
        <f t="shared" ca="1" si="122"/>
        <v>#NAME?</v>
      </c>
      <c r="E3912" s="115" t="e">
        <f t="array" aca="1" ref="E3912" ca="1">IF(OR(C3911=0,AND(B3913=0,C3913=0)),"",IFERROR(INDEX($F$27:$F$36,MATCH(C3912,($F$27:$F$36)*($D$27:$D$36&lt;&gt;0),0)),IF(OR(AND(D3912=0,B3912=0,B3913&lt;&gt;0),AND(D3912*D3911&lt;0,B3912&lt;&gt;0)),IF(D3912=0,C3912,C3912*(1-ABS(D3912)/(ABS(D3912)+ABS(D3911)))+C3911*(1-ABS(D3911)/(ABS(D3912)+ABS(D3911)))),"")))</f>
        <v>#NAME?</v>
      </c>
    </row>
    <row r="3913" spans="2:5" x14ac:dyDescent="0.25">
      <c r="B3913" t="e">
        <f t="shared" ca="1" si="123"/>
        <v>#NAME?</v>
      </c>
      <c r="C3913">
        <v>3870</v>
      </c>
      <c r="D3913" t="e">
        <f t="shared" ca="1" si="122"/>
        <v>#NAME?</v>
      </c>
      <c r="E3913" s="115" t="e">
        <f t="array" aca="1" ref="E3913" ca="1">IF(OR(C3912=0,AND(B3914=0,C3914=0)),"",IFERROR(INDEX($F$27:$F$36,MATCH(C3913,($F$27:$F$36)*($D$27:$D$36&lt;&gt;0),0)),IF(OR(AND(D3913=0,B3913=0,B3914&lt;&gt;0),AND(D3913*D3912&lt;0,B3913&lt;&gt;0)),IF(D3913=0,C3913,C3913*(1-ABS(D3913)/(ABS(D3913)+ABS(D3912)))+C3912*(1-ABS(D3912)/(ABS(D3913)+ABS(D3912)))),"")))</f>
        <v>#NAME?</v>
      </c>
    </row>
    <row r="3914" spans="2:5" x14ac:dyDescent="0.25">
      <c r="B3914" t="e">
        <f t="shared" ca="1" si="123"/>
        <v>#NAME?</v>
      </c>
      <c r="C3914">
        <v>3871</v>
      </c>
      <c r="D3914" t="e">
        <f t="shared" ca="1" si="122"/>
        <v>#NAME?</v>
      </c>
      <c r="E3914" s="115" t="e">
        <f t="array" aca="1" ref="E3914" ca="1">IF(OR(C3913=0,AND(B3915=0,C3915=0)),"",IFERROR(INDEX($F$27:$F$36,MATCH(C3914,($F$27:$F$36)*($D$27:$D$36&lt;&gt;0),0)),IF(OR(AND(D3914=0,B3914=0,B3915&lt;&gt;0),AND(D3914*D3913&lt;0,B3914&lt;&gt;0)),IF(D3914=0,C3914,C3914*(1-ABS(D3914)/(ABS(D3914)+ABS(D3913)))+C3913*(1-ABS(D3913)/(ABS(D3914)+ABS(D3913)))),"")))</f>
        <v>#NAME?</v>
      </c>
    </row>
    <row r="3915" spans="2:5" x14ac:dyDescent="0.25">
      <c r="B3915" t="e">
        <f t="shared" ca="1" si="123"/>
        <v>#NAME?</v>
      </c>
      <c r="C3915">
        <v>3872</v>
      </c>
      <c r="D3915" t="e">
        <f t="shared" ca="1" si="122"/>
        <v>#NAME?</v>
      </c>
      <c r="E3915" s="115" t="e">
        <f t="array" aca="1" ref="E3915" ca="1">IF(OR(C3914=0,AND(B3916=0,C3916=0)),"",IFERROR(INDEX($F$27:$F$36,MATCH(C3915,($F$27:$F$36)*($D$27:$D$36&lt;&gt;0),0)),IF(OR(AND(D3915=0,B3915=0,B3916&lt;&gt;0),AND(D3915*D3914&lt;0,B3915&lt;&gt;0)),IF(D3915=0,C3915,C3915*(1-ABS(D3915)/(ABS(D3915)+ABS(D3914)))+C3914*(1-ABS(D3914)/(ABS(D3915)+ABS(D3914)))),"")))</f>
        <v>#NAME?</v>
      </c>
    </row>
    <row r="3916" spans="2:5" x14ac:dyDescent="0.25">
      <c r="B3916" t="e">
        <f t="shared" ca="1" si="123"/>
        <v>#NAME?</v>
      </c>
      <c r="C3916">
        <v>3873</v>
      </c>
      <c r="D3916" t="e">
        <f t="shared" ca="1" si="122"/>
        <v>#NAME?</v>
      </c>
      <c r="E3916" s="115" t="e">
        <f t="array" aca="1" ref="E3916" ca="1">IF(OR(C3915=0,AND(B3917=0,C3917=0)),"",IFERROR(INDEX($F$27:$F$36,MATCH(C3916,($F$27:$F$36)*($D$27:$D$36&lt;&gt;0),0)),IF(OR(AND(D3916=0,B3916=0,B3917&lt;&gt;0),AND(D3916*D3915&lt;0,B3916&lt;&gt;0)),IF(D3916=0,C3916,C3916*(1-ABS(D3916)/(ABS(D3916)+ABS(D3915)))+C3915*(1-ABS(D3915)/(ABS(D3916)+ABS(D3915)))),"")))</f>
        <v>#NAME?</v>
      </c>
    </row>
    <row r="3917" spans="2:5" x14ac:dyDescent="0.25">
      <c r="B3917" t="e">
        <f t="shared" ca="1" si="123"/>
        <v>#NAME?</v>
      </c>
      <c r="C3917">
        <v>3874</v>
      </c>
      <c r="D3917" t="e">
        <f t="shared" ca="1" si="122"/>
        <v>#NAME?</v>
      </c>
      <c r="E3917" s="115" t="e">
        <f t="array" aca="1" ref="E3917" ca="1">IF(OR(C3916=0,AND(B3918=0,C3918=0)),"",IFERROR(INDEX($F$27:$F$36,MATCH(C3917,($F$27:$F$36)*($D$27:$D$36&lt;&gt;0),0)),IF(OR(AND(D3917=0,B3917=0,B3918&lt;&gt;0),AND(D3917*D3916&lt;0,B3917&lt;&gt;0)),IF(D3917=0,C3917,C3917*(1-ABS(D3917)/(ABS(D3917)+ABS(D3916)))+C3916*(1-ABS(D3916)/(ABS(D3917)+ABS(D3916)))),"")))</f>
        <v>#NAME?</v>
      </c>
    </row>
    <row r="3918" spans="2:5" x14ac:dyDescent="0.25">
      <c r="B3918" t="e">
        <f t="shared" ca="1" si="123"/>
        <v>#NAME?</v>
      </c>
      <c r="C3918">
        <v>3875</v>
      </c>
      <c r="D3918" t="e">
        <f t="shared" ca="1" si="122"/>
        <v>#NAME?</v>
      </c>
      <c r="E3918" s="115" t="e">
        <f t="array" aca="1" ref="E3918" ca="1">IF(OR(C3917=0,AND(B3919=0,C3919=0)),"",IFERROR(INDEX($F$27:$F$36,MATCH(C3918,($F$27:$F$36)*($D$27:$D$36&lt;&gt;0),0)),IF(OR(AND(D3918=0,B3918=0,B3919&lt;&gt;0),AND(D3918*D3917&lt;0,B3918&lt;&gt;0)),IF(D3918=0,C3918,C3918*(1-ABS(D3918)/(ABS(D3918)+ABS(D3917)))+C3917*(1-ABS(D3917)/(ABS(D3918)+ABS(D3917)))),"")))</f>
        <v>#NAME?</v>
      </c>
    </row>
    <row r="3919" spans="2:5" x14ac:dyDescent="0.25">
      <c r="B3919" t="e">
        <f t="shared" ca="1" si="123"/>
        <v>#NAME?</v>
      </c>
      <c r="C3919">
        <v>3876</v>
      </c>
      <c r="D3919" t="e">
        <f t="shared" ca="1" si="122"/>
        <v>#NAME?</v>
      </c>
      <c r="E3919" s="115" t="e">
        <f t="array" aca="1" ref="E3919" ca="1">IF(OR(C3918=0,AND(B3920=0,C3920=0)),"",IFERROR(INDEX($F$27:$F$36,MATCH(C3919,($F$27:$F$36)*($D$27:$D$36&lt;&gt;0),0)),IF(OR(AND(D3919=0,B3919=0,B3920&lt;&gt;0),AND(D3919*D3918&lt;0,B3919&lt;&gt;0)),IF(D3919=0,C3919,C3919*(1-ABS(D3919)/(ABS(D3919)+ABS(D3918)))+C3918*(1-ABS(D3918)/(ABS(D3919)+ABS(D3918)))),"")))</f>
        <v>#NAME?</v>
      </c>
    </row>
    <row r="3920" spans="2:5" x14ac:dyDescent="0.25">
      <c r="B3920" t="e">
        <f t="shared" ca="1" si="123"/>
        <v>#NAME?</v>
      </c>
      <c r="C3920">
        <v>3877</v>
      </c>
      <c r="D3920" t="e">
        <f t="shared" ca="1" si="122"/>
        <v>#NAME?</v>
      </c>
      <c r="E3920" s="115" t="e">
        <f t="array" aca="1" ref="E3920" ca="1">IF(OR(C3919=0,AND(B3921=0,C3921=0)),"",IFERROR(INDEX($F$27:$F$36,MATCH(C3920,($F$27:$F$36)*($D$27:$D$36&lt;&gt;0),0)),IF(OR(AND(D3920=0,B3920=0,B3921&lt;&gt;0),AND(D3920*D3919&lt;0,B3920&lt;&gt;0)),IF(D3920=0,C3920,C3920*(1-ABS(D3920)/(ABS(D3920)+ABS(D3919)))+C3919*(1-ABS(D3919)/(ABS(D3920)+ABS(D3919)))),"")))</f>
        <v>#NAME?</v>
      </c>
    </row>
    <row r="3921" spans="2:5" x14ac:dyDescent="0.25">
      <c r="B3921" t="e">
        <f t="shared" ca="1" si="123"/>
        <v>#NAME?</v>
      </c>
      <c r="C3921">
        <v>3878</v>
      </c>
      <c r="D3921" t="e">
        <f t="shared" ca="1" si="122"/>
        <v>#NAME?</v>
      </c>
      <c r="E3921" s="115" t="e">
        <f t="array" aca="1" ref="E3921" ca="1">IF(OR(C3920=0,AND(B3922=0,C3922=0)),"",IFERROR(INDEX($F$27:$F$36,MATCH(C3921,($F$27:$F$36)*($D$27:$D$36&lt;&gt;0),0)),IF(OR(AND(D3921=0,B3921=0,B3922&lt;&gt;0),AND(D3921*D3920&lt;0,B3921&lt;&gt;0)),IF(D3921=0,C3921,C3921*(1-ABS(D3921)/(ABS(D3921)+ABS(D3920)))+C3920*(1-ABS(D3920)/(ABS(D3921)+ABS(D3920)))),"")))</f>
        <v>#NAME?</v>
      </c>
    </row>
    <row r="3922" spans="2:5" x14ac:dyDescent="0.25">
      <c r="B3922" t="e">
        <f t="shared" ca="1" si="123"/>
        <v>#NAME?</v>
      </c>
      <c r="C3922">
        <v>3879</v>
      </c>
      <c r="D3922" t="e">
        <f t="shared" ca="1" si="122"/>
        <v>#NAME?</v>
      </c>
      <c r="E3922" s="115" t="e">
        <f t="array" aca="1" ref="E3922" ca="1">IF(OR(C3921=0,AND(B3923=0,C3923=0)),"",IFERROR(INDEX($F$27:$F$36,MATCH(C3922,($F$27:$F$36)*($D$27:$D$36&lt;&gt;0),0)),IF(OR(AND(D3922=0,B3922=0,B3923&lt;&gt;0),AND(D3922*D3921&lt;0,B3922&lt;&gt;0)),IF(D3922=0,C3922,C3922*(1-ABS(D3922)/(ABS(D3922)+ABS(D3921)))+C3921*(1-ABS(D3921)/(ABS(D3922)+ABS(D3921)))),"")))</f>
        <v>#NAME?</v>
      </c>
    </row>
    <row r="3923" spans="2:5" x14ac:dyDescent="0.25">
      <c r="B3923" t="e">
        <f t="shared" ca="1" si="123"/>
        <v>#NAME?</v>
      </c>
      <c r="C3923">
        <v>3880</v>
      </c>
      <c r="D3923" t="e">
        <f t="shared" ca="1" si="122"/>
        <v>#NAME?</v>
      </c>
      <c r="E3923" s="115" t="e">
        <f t="array" aca="1" ref="E3923" ca="1">IF(OR(C3922=0,AND(B3924=0,C3924=0)),"",IFERROR(INDEX($F$27:$F$36,MATCH(C3923,($F$27:$F$36)*($D$27:$D$36&lt;&gt;0),0)),IF(OR(AND(D3923=0,B3923=0,B3924&lt;&gt;0),AND(D3923*D3922&lt;0,B3923&lt;&gt;0)),IF(D3923=0,C3923,C3923*(1-ABS(D3923)/(ABS(D3923)+ABS(D3922)))+C3922*(1-ABS(D3922)/(ABS(D3923)+ABS(D3922)))),"")))</f>
        <v>#NAME?</v>
      </c>
    </row>
    <row r="3924" spans="2:5" x14ac:dyDescent="0.25">
      <c r="B3924" t="e">
        <f t="shared" ca="1" si="123"/>
        <v>#NAME?</v>
      </c>
      <c r="C3924">
        <v>3881</v>
      </c>
      <c r="D3924" t="e">
        <f t="shared" ca="1" si="122"/>
        <v>#NAME?</v>
      </c>
      <c r="E3924" s="115" t="e">
        <f t="array" aca="1" ref="E3924" ca="1">IF(OR(C3923=0,AND(B3925=0,C3925=0)),"",IFERROR(INDEX($F$27:$F$36,MATCH(C3924,($F$27:$F$36)*($D$27:$D$36&lt;&gt;0),0)),IF(OR(AND(D3924=0,B3924=0,B3925&lt;&gt;0),AND(D3924*D3923&lt;0,B3924&lt;&gt;0)),IF(D3924=0,C3924,C3924*(1-ABS(D3924)/(ABS(D3924)+ABS(D3923)))+C3923*(1-ABS(D3923)/(ABS(D3924)+ABS(D3923)))),"")))</f>
        <v>#NAME?</v>
      </c>
    </row>
    <row r="3925" spans="2:5" x14ac:dyDescent="0.25">
      <c r="B3925" t="e">
        <f t="shared" ca="1" si="123"/>
        <v>#NAME?</v>
      </c>
      <c r="C3925">
        <v>3882</v>
      </c>
      <c r="D3925" t="e">
        <f t="shared" ca="1" si="122"/>
        <v>#NAME?</v>
      </c>
      <c r="E3925" s="115" t="e">
        <f t="array" aca="1" ref="E3925" ca="1">IF(OR(C3924=0,AND(B3926=0,C3926=0)),"",IFERROR(INDEX($F$27:$F$36,MATCH(C3925,($F$27:$F$36)*($D$27:$D$36&lt;&gt;0),0)),IF(OR(AND(D3925=0,B3925=0,B3926&lt;&gt;0),AND(D3925*D3924&lt;0,B3925&lt;&gt;0)),IF(D3925=0,C3925,C3925*(1-ABS(D3925)/(ABS(D3925)+ABS(D3924)))+C3924*(1-ABS(D3924)/(ABS(D3925)+ABS(D3924)))),"")))</f>
        <v>#NAME?</v>
      </c>
    </row>
    <row r="3926" spans="2:5" x14ac:dyDescent="0.25">
      <c r="B3926" t="e">
        <f t="shared" ca="1" si="123"/>
        <v>#NAME?</v>
      </c>
      <c r="C3926">
        <v>3883</v>
      </c>
      <c r="D3926" t="e">
        <f t="shared" ca="1" si="122"/>
        <v>#NAME?</v>
      </c>
      <c r="E3926" s="115" t="e">
        <f t="array" aca="1" ref="E3926" ca="1">IF(OR(C3925=0,AND(B3927=0,C3927=0)),"",IFERROR(INDEX($F$27:$F$36,MATCH(C3926,($F$27:$F$36)*($D$27:$D$36&lt;&gt;0),0)),IF(OR(AND(D3926=0,B3926=0,B3927&lt;&gt;0),AND(D3926*D3925&lt;0,B3926&lt;&gt;0)),IF(D3926=0,C3926,C3926*(1-ABS(D3926)/(ABS(D3926)+ABS(D3925)))+C3925*(1-ABS(D3925)/(ABS(D3926)+ABS(D3925)))),"")))</f>
        <v>#NAME?</v>
      </c>
    </row>
    <row r="3927" spans="2:5" x14ac:dyDescent="0.25">
      <c r="B3927" t="e">
        <f t="shared" ca="1" si="123"/>
        <v>#NAME?</v>
      </c>
      <c r="C3927">
        <v>3884</v>
      </c>
      <c r="D3927" t="e">
        <f t="shared" ca="1" si="122"/>
        <v>#NAME?</v>
      </c>
      <c r="E3927" s="115" t="e">
        <f t="array" aca="1" ref="E3927" ca="1">IF(OR(C3926=0,AND(B3928=0,C3928=0)),"",IFERROR(INDEX($F$27:$F$36,MATCH(C3927,($F$27:$F$36)*($D$27:$D$36&lt;&gt;0),0)),IF(OR(AND(D3927=0,B3927=0,B3928&lt;&gt;0),AND(D3927*D3926&lt;0,B3927&lt;&gt;0)),IF(D3927=0,C3927,C3927*(1-ABS(D3927)/(ABS(D3927)+ABS(D3926)))+C3926*(1-ABS(D3926)/(ABS(D3927)+ABS(D3926)))),"")))</f>
        <v>#NAME?</v>
      </c>
    </row>
    <row r="3928" spans="2:5" x14ac:dyDescent="0.25">
      <c r="B3928" t="e">
        <f t="shared" ca="1" si="123"/>
        <v>#NAME?</v>
      </c>
      <c r="C3928">
        <v>3885</v>
      </c>
      <c r="D3928" t="e">
        <f t="shared" ca="1" si="122"/>
        <v>#NAME?</v>
      </c>
      <c r="E3928" s="115" t="e">
        <f t="array" aca="1" ref="E3928" ca="1">IF(OR(C3927=0,AND(B3929=0,C3929=0)),"",IFERROR(INDEX($F$27:$F$36,MATCH(C3928,($F$27:$F$36)*($D$27:$D$36&lt;&gt;0),0)),IF(OR(AND(D3928=0,B3928=0,B3929&lt;&gt;0),AND(D3928*D3927&lt;0,B3928&lt;&gt;0)),IF(D3928=0,C3928,C3928*(1-ABS(D3928)/(ABS(D3928)+ABS(D3927)))+C3927*(1-ABS(D3927)/(ABS(D3928)+ABS(D3927)))),"")))</f>
        <v>#NAME?</v>
      </c>
    </row>
    <row r="3929" spans="2:5" x14ac:dyDescent="0.25">
      <c r="B3929" t="e">
        <f t="shared" ca="1" si="123"/>
        <v>#NAME?</v>
      </c>
      <c r="C3929">
        <v>3886</v>
      </c>
      <c r="D3929" t="e">
        <f t="shared" ca="1" si="122"/>
        <v>#NAME?</v>
      </c>
      <c r="E3929" s="115" t="e">
        <f t="array" aca="1" ref="E3929" ca="1">IF(OR(C3928=0,AND(B3930=0,C3930=0)),"",IFERROR(INDEX($F$27:$F$36,MATCH(C3929,($F$27:$F$36)*($D$27:$D$36&lt;&gt;0),0)),IF(OR(AND(D3929=0,B3929=0,B3930&lt;&gt;0),AND(D3929*D3928&lt;0,B3929&lt;&gt;0)),IF(D3929=0,C3929,C3929*(1-ABS(D3929)/(ABS(D3929)+ABS(D3928)))+C3928*(1-ABS(D3928)/(ABS(D3929)+ABS(D3928)))),"")))</f>
        <v>#NAME?</v>
      </c>
    </row>
    <row r="3930" spans="2:5" x14ac:dyDescent="0.25">
      <c r="B3930" t="e">
        <f t="shared" ca="1" si="123"/>
        <v>#NAME?</v>
      </c>
      <c r="C3930">
        <v>3887</v>
      </c>
      <c r="D3930" t="e">
        <f t="shared" ca="1" si="122"/>
        <v>#NAME?</v>
      </c>
      <c r="E3930" s="115" t="e">
        <f t="array" aca="1" ref="E3930" ca="1">IF(OR(C3929=0,AND(B3931=0,C3931=0)),"",IFERROR(INDEX($F$27:$F$36,MATCH(C3930,($F$27:$F$36)*($D$27:$D$36&lt;&gt;0),0)),IF(OR(AND(D3930=0,B3930=0,B3931&lt;&gt;0),AND(D3930*D3929&lt;0,B3930&lt;&gt;0)),IF(D3930=0,C3930,C3930*(1-ABS(D3930)/(ABS(D3930)+ABS(D3929)))+C3929*(1-ABS(D3929)/(ABS(D3930)+ABS(D3929)))),"")))</f>
        <v>#NAME?</v>
      </c>
    </row>
    <row r="3931" spans="2:5" x14ac:dyDescent="0.25">
      <c r="B3931" t="e">
        <f t="shared" ca="1" si="123"/>
        <v>#NAME?</v>
      </c>
      <c r="C3931">
        <v>3888</v>
      </c>
      <c r="D3931" t="e">
        <f t="shared" ca="1" si="122"/>
        <v>#NAME?</v>
      </c>
      <c r="E3931" s="115" t="e">
        <f t="array" aca="1" ref="E3931" ca="1">IF(OR(C3930=0,AND(B3932=0,C3932=0)),"",IFERROR(INDEX($F$27:$F$36,MATCH(C3931,($F$27:$F$36)*($D$27:$D$36&lt;&gt;0),0)),IF(OR(AND(D3931=0,B3931=0,B3932&lt;&gt;0),AND(D3931*D3930&lt;0,B3931&lt;&gt;0)),IF(D3931=0,C3931,C3931*(1-ABS(D3931)/(ABS(D3931)+ABS(D3930)))+C3930*(1-ABS(D3930)/(ABS(D3931)+ABS(D3930)))),"")))</f>
        <v>#NAME?</v>
      </c>
    </row>
    <row r="3932" spans="2:5" x14ac:dyDescent="0.25">
      <c r="B3932" t="e">
        <f t="shared" ca="1" si="123"/>
        <v>#NAME?</v>
      </c>
      <c r="C3932">
        <v>3889</v>
      </c>
      <c r="D3932" t="e">
        <f t="shared" ca="1" si="122"/>
        <v>#NAME?</v>
      </c>
      <c r="E3932" s="115" t="e">
        <f t="array" aca="1" ref="E3932" ca="1">IF(OR(C3931=0,AND(B3933=0,C3933=0)),"",IFERROR(INDEX($F$27:$F$36,MATCH(C3932,($F$27:$F$36)*($D$27:$D$36&lt;&gt;0),0)),IF(OR(AND(D3932=0,B3932=0,B3933&lt;&gt;0),AND(D3932*D3931&lt;0,B3932&lt;&gt;0)),IF(D3932=0,C3932,C3932*(1-ABS(D3932)/(ABS(D3932)+ABS(D3931)))+C3931*(1-ABS(D3931)/(ABS(D3932)+ABS(D3931)))),"")))</f>
        <v>#NAME?</v>
      </c>
    </row>
    <row r="3933" spans="2:5" x14ac:dyDescent="0.25">
      <c r="B3933" t="e">
        <f t="shared" ca="1" si="123"/>
        <v>#NAME?</v>
      </c>
      <c r="C3933">
        <v>3890</v>
      </c>
      <c r="D3933" t="e">
        <f t="shared" ca="1" si="122"/>
        <v>#NAME?</v>
      </c>
      <c r="E3933" s="115" t="e">
        <f t="array" aca="1" ref="E3933" ca="1">IF(OR(C3932=0,AND(B3934=0,C3934=0)),"",IFERROR(INDEX($F$27:$F$36,MATCH(C3933,($F$27:$F$36)*($D$27:$D$36&lt;&gt;0),0)),IF(OR(AND(D3933=0,B3933=0,B3934&lt;&gt;0),AND(D3933*D3932&lt;0,B3933&lt;&gt;0)),IF(D3933=0,C3933,C3933*(1-ABS(D3933)/(ABS(D3933)+ABS(D3932)))+C3932*(1-ABS(D3932)/(ABS(D3933)+ABS(D3932)))),"")))</f>
        <v>#NAME?</v>
      </c>
    </row>
    <row r="3934" spans="2:5" x14ac:dyDescent="0.25">
      <c r="B3934" t="e">
        <f t="shared" ca="1" si="123"/>
        <v>#NAME?</v>
      </c>
      <c r="C3934">
        <v>3891</v>
      </c>
      <c r="D3934" t="e">
        <f t="shared" ca="1" si="122"/>
        <v>#NAME?</v>
      </c>
      <c r="E3934" s="115" t="e">
        <f t="array" aca="1" ref="E3934" ca="1">IF(OR(C3933=0,AND(B3935=0,C3935=0)),"",IFERROR(INDEX($F$27:$F$36,MATCH(C3934,($F$27:$F$36)*($D$27:$D$36&lt;&gt;0),0)),IF(OR(AND(D3934=0,B3934=0,B3935&lt;&gt;0),AND(D3934*D3933&lt;0,B3934&lt;&gt;0)),IF(D3934=0,C3934,C3934*(1-ABS(D3934)/(ABS(D3934)+ABS(D3933)))+C3933*(1-ABS(D3933)/(ABS(D3934)+ABS(D3933)))),"")))</f>
        <v>#NAME?</v>
      </c>
    </row>
    <row r="3935" spans="2:5" x14ac:dyDescent="0.25">
      <c r="B3935" t="e">
        <f t="shared" ca="1" si="123"/>
        <v>#NAME?</v>
      </c>
      <c r="C3935">
        <v>3892</v>
      </c>
      <c r="D3935" t="e">
        <f t="shared" ca="1" si="122"/>
        <v>#NAME?</v>
      </c>
      <c r="E3935" s="115" t="e">
        <f t="array" aca="1" ref="E3935" ca="1">IF(OR(C3934=0,AND(B3936=0,C3936=0)),"",IFERROR(INDEX($F$27:$F$36,MATCH(C3935,($F$27:$F$36)*($D$27:$D$36&lt;&gt;0),0)),IF(OR(AND(D3935=0,B3935=0,B3936&lt;&gt;0),AND(D3935*D3934&lt;0,B3935&lt;&gt;0)),IF(D3935=0,C3935,C3935*(1-ABS(D3935)/(ABS(D3935)+ABS(D3934)))+C3934*(1-ABS(D3934)/(ABS(D3935)+ABS(D3934)))),"")))</f>
        <v>#NAME?</v>
      </c>
    </row>
    <row r="3936" spans="2:5" x14ac:dyDescent="0.25">
      <c r="B3936" t="e">
        <f t="shared" ca="1" si="123"/>
        <v>#NAME?</v>
      </c>
      <c r="C3936">
        <v>3893</v>
      </c>
      <c r="D3936" t="e">
        <f t="shared" ca="1" si="122"/>
        <v>#NAME?</v>
      </c>
      <c r="E3936" s="115" t="e">
        <f t="array" aca="1" ref="E3936" ca="1">IF(OR(C3935=0,AND(B3937=0,C3937=0)),"",IFERROR(INDEX($F$27:$F$36,MATCH(C3936,($F$27:$F$36)*($D$27:$D$36&lt;&gt;0),0)),IF(OR(AND(D3936=0,B3936=0,B3937&lt;&gt;0),AND(D3936*D3935&lt;0,B3936&lt;&gt;0)),IF(D3936=0,C3936,C3936*(1-ABS(D3936)/(ABS(D3936)+ABS(D3935)))+C3935*(1-ABS(D3935)/(ABS(D3936)+ABS(D3935)))),"")))</f>
        <v>#NAME?</v>
      </c>
    </row>
    <row r="3937" spans="2:5" x14ac:dyDescent="0.25">
      <c r="B3937" t="e">
        <f t="shared" ca="1" si="123"/>
        <v>#NAME?</v>
      </c>
      <c r="C3937">
        <v>3894</v>
      </c>
      <c r="D3937" t="e">
        <f t="shared" ca="1" si="122"/>
        <v>#NAME?</v>
      </c>
      <c r="E3937" s="115" t="e">
        <f t="array" aca="1" ref="E3937" ca="1">IF(OR(C3936=0,AND(B3938=0,C3938=0)),"",IFERROR(INDEX($F$27:$F$36,MATCH(C3937,($F$27:$F$36)*($D$27:$D$36&lt;&gt;0),0)),IF(OR(AND(D3937=0,B3937=0,B3938&lt;&gt;0),AND(D3937*D3936&lt;0,B3937&lt;&gt;0)),IF(D3937=0,C3937,C3937*(1-ABS(D3937)/(ABS(D3937)+ABS(D3936)))+C3936*(1-ABS(D3936)/(ABS(D3937)+ABS(D3936)))),"")))</f>
        <v>#NAME?</v>
      </c>
    </row>
    <row r="3938" spans="2:5" x14ac:dyDescent="0.25">
      <c r="B3938" t="e">
        <f t="shared" ca="1" si="123"/>
        <v>#NAME?</v>
      </c>
      <c r="C3938">
        <v>3895</v>
      </c>
      <c r="D3938" t="e">
        <f t="shared" ca="1" si="122"/>
        <v>#NAME?</v>
      </c>
      <c r="E3938" s="115" t="e">
        <f t="array" aca="1" ref="E3938" ca="1">IF(OR(C3937=0,AND(B3939=0,C3939=0)),"",IFERROR(INDEX($F$27:$F$36,MATCH(C3938,($F$27:$F$36)*($D$27:$D$36&lt;&gt;0),0)),IF(OR(AND(D3938=0,B3938=0,B3939&lt;&gt;0),AND(D3938*D3937&lt;0,B3938&lt;&gt;0)),IF(D3938=0,C3938,C3938*(1-ABS(D3938)/(ABS(D3938)+ABS(D3937)))+C3937*(1-ABS(D3937)/(ABS(D3938)+ABS(D3937)))),"")))</f>
        <v>#NAME?</v>
      </c>
    </row>
    <row r="3939" spans="2:5" x14ac:dyDescent="0.25">
      <c r="B3939" t="e">
        <f t="shared" ca="1" si="123"/>
        <v>#NAME?</v>
      </c>
      <c r="C3939">
        <v>3896</v>
      </c>
      <c r="D3939" t="e">
        <f t="shared" ca="1" si="122"/>
        <v>#NAME?</v>
      </c>
      <c r="E3939" s="115" t="e">
        <f t="array" aca="1" ref="E3939" ca="1">IF(OR(C3938=0,AND(B3940=0,C3940=0)),"",IFERROR(INDEX($F$27:$F$36,MATCH(C3939,($F$27:$F$36)*($D$27:$D$36&lt;&gt;0),0)),IF(OR(AND(D3939=0,B3939=0,B3940&lt;&gt;0),AND(D3939*D3938&lt;0,B3939&lt;&gt;0)),IF(D3939=0,C3939,C3939*(1-ABS(D3939)/(ABS(D3939)+ABS(D3938)))+C3938*(1-ABS(D3938)/(ABS(D3939)+ABS(D3938)))),"")))</f>
        <v>#NAME?</v>
      </c>
    </row>
    <row r="3940" spans="2:5" x14ac:dyDescent="0.25">
      <c r="B3940" t="e">
        <f t="shared" ca="1" si="123"/>
        <v>#NAME?</v>
      </c>
      <c r="C3940">
        <v>3897</v>
      </c>
      <c r="D3940" t="e">
        <f t="shared" ca="1" si="122"/>
        <v>#NAME?</v>
      </c>
      <c r="E3940" s="115" t="e">
        <f t="array" aca="1" ref="E3940" ca="1">IF(OR(C3939=0,AND(B3941=0,C3941=0)),"",IFERROR(INDEX($F$27:$F$36,MATCH(C3940,($F$27:$F$36)*($D$27:$D$36&lt;&gt;0),0)),IF(OR(AND(D3940=0,B3940=0,B3941&lt;&gt;0),AND(D3940*D3939&lt;0,B3940&lt;&gt;0)),IF(D3940=0,C3940,C3940*(1-ABS(D3940)/(ABS(D3940)+ABS(D3939)))+C3939*(1-ABS(D3939)/(ABS(D3940)+ABS(D3939)))),"")))</f>
        <v>#NAME?</v>
      </c>
    </row>
    <row r="3941" spans="2:5" x14ac:dyDescent="0.25">
      <c r="B3941" t="e">
        <f t="shared" ca="1" si="123"/>
        <v>#NAME?</v>
      </c>
      <c r="C3941">
        <v>3898</v>
      </c>
      <c r="D3941" t="e">
        <f t="shared" ca="1" si="122"/>
        <v>#NAME?</v>
      </c>
      <c r="E3941" s="115" t="e">
        <f t="array" aca="1" ref="E3941" ca="1">IF(OR(C3940=0,AND(B3942=0,C3942=0)),"",IFERROR(INDEX($F$27:$F$36,MATCH(C3941,($F$27:$F$36)*($D$27:$D$36&lt;&gt;0),0)),IF(OR(AND(D3941=0,B3941=0,B3942&lt;&gt;0),AND(D3941*D3940&lt;0,B3941&lt;&gt;0)),IF(D3941=0,C3941,C3941*(1-ABS(D3941)/(ABS(D3941)+ABS(D3940)))+C3940*(1-ABS(D3940)/(ABS(D3941)+ABS(D3940)))),"")))</f>
        <v>#NAME?</v>
      </c>
    </row>
    <row r="3942" spans="2:5" x14ac:dyDescent="0.25">
      <c r="B3942" t="e">
        <f t="shared" ca="1" si="123"/>
        <v>#NAME?</v>
      </c>
      <c r="C3942">
        <v>3899</v>
      </c>
      <c r="D3942" t="e">
        <f t="shared" ca="1" si="122"/>
        <v>#NAME?</v>
      </c>
      <c r="E3942" s="115" t="e">
        <f t="array" aca="1" ref="E3942" ca="1">IF(OR(C3941=0,AND(B3943=0,C3943=0)),"",IFERROR(INDEX($F$27:$F$36,MATCH(C3942,($F$27:$F$36)*($D$27:$D$36&lt;&gt;0),0)),IF(OR(AND(D3942=0,B3942=0,B3943&lt;&gt;0),AND(D3942*D3941&lt;0,B3942&lt;&gt;0)),IF(D3942=0,C3942,C3942*(1-ABS(D3942)/(ABS(D3942)+ABS(D3941)))+C3941*(1-ABS(D3941)/(ABS(D3942)+ABS(D3941)))),"")))</f>
        <v>#NAME?</v>
      </c>
    </row>
    <row r="3943" spans="2:5" x14ac:dyDescent="0.25">
      <c r="B3943" t="e">
        <f t="shared" ca="1" si="123"/>
        <v>#NAME?</v>
      </c>
      <c r="C3943">
        <v>3900</v>
      </c>
      <c r="D3943" t="e">
        <f t="shared" ca="1" si="122"/>
        <v>#NAME?</v>
      </c>
      <c r="E3943" s="115" t="e">
        <f t="array" aca="1" ref="E3943" ca="1">IF(OR(C3942=0,AND(B3944=0,C3944=0)),"",IFERROR(INDEX($F$27:$F$36,MATCH(C3943,($F$27:$F$36)*($D$27:$D$36&lt;&gt;0),0)),IF(OR(AND(D3943=0,B3943=0,B3944&lt;&gt;0),AND(D3943*D3942&lt;0,B3943&lt;&gt;0)),IF(D3943=0,C3943,C3943*(1-ABS(D3943)/(ABS(D3943)+ABS(D3942)))+C3942*(1-ABS(D3942)/(ABS(D3943)+ABS(D3942)))),"")))</f>
        <v>#NAME?</v>
      </c>
    </row>
    <row r="3944" spans="2:5" x14ac:dyDescent="0.25">
      <c r="B3944" t="e">
        <f t="shared" ca="1" si="123"/>
        <v>#NAME?</v>
      </c>
      <c r="C3944">
        <v>3901</v>
      </c>
      <c r="D3944" t="e">
        <f t="shared" ca="1" si="122"/>
        <v>#NAME?</v>
      </c>
      <c r="E3944" s="115" t="e">
        <f t="array" aca="1" ref="E3944" ca="1">IF(OR(C3943=0,AND(B3945=0,C3945=0)),"",IFERROR(INDEX($F$27:$F$36,MATCH(C3944,($F$27:$F$36)*($D$27:$D$36&lt;&gt;0),0)),IF(OR(AND(D3944=0,B3944=0,B3945&lt;&gt;0),AND(D3944*D3943&lt;0,B3944&lt;&gt;0)),IF(D3944=0,C3944,C3944*(1-ABS(D3944)/(ABS(D3944)+ABS(D3943)))+C3943*(1-ABS(D3943)/(ABS(D3944)+ABS(D3943)))),"")))</f>
        <v>#NAME?</v>
      </c>
    </row>
    <row r="3945" spans="2:5" x14ac:dyDescent="0.25">
      <c r="B3945" t="e">
        <f t="shared" ca="1" si="123"/>
        <v>#NAME?</v>
      </c>
      <c r="C3945">
        <v>3902</v>
      </c>
      <c r="D3945" t="e">
        <f t="shared" ca="1" si="122"/>
        <v>#NAME?</v>
      </c>
      <c r="E3945" s="115" t="e">
        <f t="array" aca="1" ref="E3945" ca="1">IF(OR(C3944=0,AND(B3946=0,C3946=0)),"",IFERROR(INDEX($F$27:$F$36,MATCH(C3945,($F$27:$F$36)*($D$27:$D$36&lt;&gt;0),0)),IF(OR(AND(D3945=0,B3945=0,B3946&lt;&gt;0),AND(D3945*D3944&lt;0,B3945&lt;&gt;0)),IF(D3945=0,C3945,C3945*(1-ABS(D3945)/(ABS(D3945)+ABS(D3944)))+C3944*(1-ABS(D3944)/(ABS(D3945)+ABS(D3944)))),"")))</f>
        <v>#NAME?</v>
      </c>
    </row>
    <row r="3946" spans="2:5" x14ac:dyDescent="0.25">
      <c r="B3946" t="e">
        <f t="shared" ca="1" si="123"/>
        <v>#NAME?</v>
      </c>
      <c r="C3946">
        <v>3903</v>
      </c>
      <c r="D3946" t="e">
        <f t="shared" ca="1" si="122"/>
        <v>#NAME?</v>
      </c>
      <c r="E3946" s="115" t="e">
        <f t="array" aca="1" ref="E3946" ca="1">IF(OR(C3945=0,AND(B3947=0,C3947=0)),"",IFERROR(INDEX($F$27:$F$36,MATCH(C3946,($F$27:$F$36)*($D$27:$D$36&lt;&gt;0),0)),IF(OR(AND(D3946=0,B3946=0,B3947&lt;&gt;0),AND(D3946*D3945&lt;0,B3946&lt;&gt;0)),IF(D3946=0,C3946,C3946*(1-ABS(D3946)/(ABS(D3946)+ABS(D3945)))+C3945*(1-ABS(D3945)/(ABS(D3946)+ABS(D3945)))),"")))</f>
        <v>#NAME?</v>
      </c>
    </row>
    <row r="3947" spans="2:5" x14ac:dyDescent="0.25">
      <c r="B3947" t="e">
        <f t="shared" ca="1" si="123"/>
        <v>#NAME?</v>
      </c>
      <c r="C3947">
        <v>3904</v>
      </c>
      <c r="D3947" t="e">
        <f t="shared" ref="D3947:D4010" ca="1" si="124">SUMPRODUCT(--($J$27:$J$37&gt;0),--($C3947-$F$27:$F$37&gt;0),($D$27:$D$37),($C3947-$F$27:$F$37))+SUMPRODUCT(--($J$27:$J$37&lt;0),--($F$27:$F$37-$C3947&gt;0),($D$27:$D$37),($F$27:$F$37-$C3947))-SUMPRODUCT($D$27:$D$37,$E$27:$E$37)</f>
        <v>#NAME?</v>
      </c>
      <c r="E3947" s="115" t="e">
        <f t="array" aca="1" ref="E3947" ca="1">IF(OR(C3946=0,AND(B3948=0,C3948=0)),"",IFERROR(INDEX($F$27:$F$36,MATCH(C3947,($F$27:$F$36)*($D$27:$D$36&lt;&gt;0),0)),IF(OR(AND(D3947=0,B3947=0,B3948&lt;&gt;0),AND(D3947*D3946&lt;0,B3947&lt;&gt;0)),IF(D3947=0,C3947,C3947*(1-ABS(D3947)/(ABS(D3947)+ABS(D3946)))+C3946*(1-ABS(D3946)/(ABS(D3947)+ABS(D3946)))),"")))</f>
        <v>#NAME?</v>
      </c>
    </row>
    <row r="3948" spans="2:5" x14ac:dyDescent="0.25">
      <c r="B3948" t="e">
        <f t="shared" ref="B3948:B4011" ca="1" si="125">ROUND((D3948-D3947)/(C3948-C3947),12)</f>
        <v>#NAME?</v>
      </c>
      <c r="C3948">
        <v>3905</v>
      </c>
      <c r="D3948" t="e">
        <f t="shared" ca="1" si="124"/>
        <v>#NAME?</v>
      </c>
      <c r="E3948" s="115" t="e">
        <f t="array" aca="1" ref="E3948" ca="1">IF(OR(C3947=0,AND(B3949=0,C3949=0)),"",IFERROR(INDEX($F$27:$F$36,MATCH(C3948,($F$27:$F$36)*($D$27:$D$36&lt;&gt;0),0)),IF(OR(AND(D3948=0,B3948=0,B3949&lt;&gt;0),AND(D3948*D3947&lt;0,B3948&lt;&gt;0)),IF(D3948=0,C3948,C3948*(1-ABS(D3948)/(ABS(D3948)+ABS(D3947)))+C3947*(1-ABS(D3947)/(ABS(D3948)+ABS(D3947)))),"")))</f>
        <v>#NAME?</v>
      </c>
    </row>
    <row r="3949" spans="2:5" x14ac:dyDescent="0.25">
      <c r="B3949" t="e">
        <f t="shared" ca="1" si="125"/>
        <v>#NAME?</v>
      </c>
      <c r="C3949">
        <v>3906</v>
      </c>
      <c r="D3949" t="e">
        <f t="shared" ca="1" si="124"/>
        <v>#NAME?</v>
      </c>
      <c r="E3949" s="115" t="e">
        <f t="array" aca="1" ref="E3949" ca="1">IF(OR(C3948=0,AND(B3950=0,C3950=0)),"",IFERROR(INDEX($F$27:$F$36,MATCH(C3949,($F$27:$F$36)*($D$27:$D$36&lt;&gt;0),0)),IF(OR(AND(D3949=0,B3949=0,B3950&lt;&gt;0),AND(D3949*D3948&lt;0,B3949&lt;&gt;0)),IF(D3949=0,C3949,C3949*(1-ABS(D3949)/(ABS(D3949)+ABS(D3948)))+C3948*(1-ABS(D3948)/(ABS(D3949)+ABS(D3948)))),"")))</f>
        <v>#NAME?</v>
      </c>
    </row>
    <row r="3950" spans="2:5" x14ac:dyDescent="0.25">
      <c r="B3950" t="e">
        <f t="shared" ca="1" si="125"/>
        <v>#NAME?</v>
      </c>
      <c r="C3950">
        <v>3907</v>
      </c>
      <c r="D3950" t="e">
        <f t="shared" ca="1" si="124"/>
        <v>#NAME?</v>
      </c>
      <c r="E3950" s="115" t="e">
        <f t="array" aca="1" ref="E3950" ca="1">IF(OR(C3949=0,AND(B3951=0,C3951=0)),"",IFERROR(INDEX($F$27:$F$36,MATCH(C3950,($F$27:$F$36)*($D$27:$D$36&lt;&gt;0),0)),IF(OR(AND(D3950=0,B3950=0,B3951&lt;&gt;0),AND(D3950*D3949&lt;0,B3950&lt;&gt;0)),IF(D3950=0,C3950,C3950*(1-ABS(D3950)/(ABS(D3950)+ABS(D3949)))+C3949*(1-ABS(D3949)/(ABS(D3950)+ABS(D3949)))),"")))</f>
        <v>#NAME?</v>
      </c>
    </row>
    <row r="3951" spans="2:5" x14ac:dyDescent="0.25">
      <c r="B3951" t="e">
        <f t="shared" ca="1" si="125"/>
        <v>#NAME?</v>
      </c>
      <c r="C3951">
        <v>3908</v>
      </c>
      <c r="D3951" t="e">
        <f t="shared" ca="1" si="124"/>
        <v>#NAME?</v>
      </c>
      <c r="E3951" s="115" t="e">
        <f t="array" aca="1" ref="E3951" ca="1">IF(OR(C3950=0,AND(B3952=0,C3952=0)),"",IFERROR(INDEX($F$27:$F$36,MATCH(C3951,($F$27:$F$36)*($D$27:$D$36&lt;&gt;0),0)),IF(OR(AND(D3951=0,B3951=0,B3952&lt;&gt;0),AND(D3951*D3950&lt;0,B3951&lt;&gt;0)),IF(D3951=0,C3951,C3951*(1-ABS(D3951)/(ABS(D3951)+ABS(D3950)))+C3950*(1-ABS(D3950)/(ABS(D3951)+ABS(D3950)))),"")))</f>
        <v>#NAME?</v>
      </c>
    </row>
    <row r="3952" spans="2:5" x14ac:dyDescent="0.25">
      <c r="B3952" t="e">
        <f t="shared" ca="1" si="125"/>
        <v>#NAME?</v>
      </c>
      <c r="C3952">
        <v>3909</v>
      </c>
      <c r="D3952" t="e">
        <f t="shared" ca="1" si="124"/>
        <v>#NAME?</v>
      </c>
      <c r="E3952" s="115" t="e">
        <f t="array" aca="1" ref="E3952" ca="1">IF(OR(C3951=0,AND(B3953=0,C3953=0)),"",IFERROR(INDEX($F$27:$F$36,MATCH(C3952,($F$27:$F$36)*($D$27:$D$36&lt;&gt;0),0)),IF(OR(AND(D3952=0,B3952=0,B3953&lt;&gt;0),AND(D3952*D3951&lt;0,B3952&lt;&gt;0)),IF(D3952=0,C3952,C3952*(1-ABS(D3952)/(ABS(D3952)+ABS(D3951)))+C3951*(1-ABS(D3951)/(ABS(D3952)+ABS(D3951)))),"")))</f>
        <v>#NAME?</v>
      </c>
    </row>
    <row r="3953" spans="2:5" x14ac:dyDescent="0.25">
      <c r="B3953" t="e">
        <f t="shared" ca="1" si="125"/>
        <v>#NAME?</v>
      </c>
      <c r="C3953">
        <v>3910</v>
      </c>
      <c r="D3953" t="e">
        <f t="shared" ca="1" si="124"/>
        <v>#NAME?</v>
      </c>
      <c r="E3953" s="115" t="e">
        <f t="array" aca="1" ref="E3953" ca="1">IF(OR(C3952=0,AND(B3954=0,C3954=0)),"",IFERROR(INDEX($F$27:$F$36,MATCH(C3953,($F$27:$F$36)*($D$27:$D$36&lt;&gt;0),0)),IF(OR(AND(D3953=0,B3953=0,B3954&lt;&gt;0),AND(D3953*D3952&lt;0,B3953&lt;&gt;0)),IF(D3953=0,C3953,C3953*(1-ABS(D3953)/(ABS(D3953)+ABS(D3952)))+C3952*(1-ABS(D3952)/(ABS(D3953)+ABS(D3952)))),"")))</f>
        <v>#NAME?</v>
      </c>
    </row>
    <row r="3954" spans="2:5" x14ac:dyDescent="0.25">
      <c r="B3954" t="e">
        <f t="shared" ca="1" si="125"/>
        <v>#NAME?</v>
      </c>
      <c r="C3954">
        <v>3911</v>
      </c>
      <c r="D3954" t="e">
        <f t="shared" ca="1" si="124"/>
        <v>#NAME?</v>
      </c>
      <c r="E3954" s="115" t="e">
        <f t="array" aca="1" ref="E3954" ca="1">IF(OR(C3953=0,AND(B3955=0,C3955=0)),"",IFERROR(INDEX($F$27:$F$36,MATCH(C3954,($F$27:$F$36)*($D$27:$D$36&lt;&gt;0),0)),IF(OR(AND(D3954=0,B3954=0,B3955&lt;&gt;0),AND(D3954*D3953&lt;0,B3954&lt;&gt;0)),IF(D3954=0,C3954,C3954*(1-ABS(D3954)/(ABS(D3954)+ABS(D3953)))+C3953*(1-ABS(D3953)/(ABS(D3954)+ABS(D3953)))),"")))</f>
        <v>#NAME?</v>
      </c>
    </row>
    <row r="3955" spans="2:5" x14ac:dyDescent="0.25">
      <c r="B3955" t="e">
        <f t="shared" ca="1" si="125"/>
        <v>#NAME?</v>
      </c>
      <c r="C3955">
        <v>3912</v>
      </c>
      <c r="D3955" t="e">
        <f t="shared" ca="1" si="124"/>
        <v>#NAME?</v>
      </c>
      <c r="E3955" s="115" t="e">
        <f t="array" aca="1" ref="E3955" ca="1">IF(OR(C3954=0,AND(B3956=0,C3956=0)),"",IFERROR(INDEX($F$27:$F$36,MATCH(C3955,($F$27:$F$36)*($D$27:$D$36&lt;&gt;0),0)),IF(OR(AND(D3955=0,B3955=0,B3956&lt;&gt;0),AND(D3955*D3954&lt;0,B3955&lt;&gt;0)),IF(D3955=0,C3955,C3955*(1-ABS(D3955)/(ABS(D3955)+ABS(D3954)))+C3954*(1-ABS(D3954)/(ABS(D3955)+ABS(D3954)))),"")))</f>
        <v>#NAME?</v>
      </c>
    </row>
    <row r="3956" spans="2:5" x14ac:dyDescent="0.25">
      <c r="B3956" t="e">
        <f t="shared" ca="1" si="125"/>
        <v>#NAME?</v>
      </c>
      <c r="C3956">
        <v>3913</v>
      </c>
      <c r="D3956" t="e">
        <f t="shared" ca="1" si="124"/>
        <v>#NAME?</v>
      </c>
      <c r="E3956" s="115" t="e">
        <f t="array" aca="1" ref="E3956" ca="1">IF(OR(C3955=0,AND(B3957=0,C3957=0)),"",IFERROR(INDEX($F$27:$F$36,MATCH(C3956,($F$27:$F$36)*($D$27:$D$36&lt;&gt;0),0)),IF(OR(AND(D3956=0,B3956=0,B3957&lt;&gt;0),AND(D3956*D3955&lt;0,B3956&lt;&gt;0)),IF(D3956=0,C3956,C3956*(1-ABS(D3956)/(ABS(D3956)+ABS(D3955)))+C3955*(1-ABS(D3955)/(ABS(D3956)+ABS(D3955)))),"")))</f>
        <v>#NAME?</v>
      </c>
    </row>
    <row r="3957" spans="2:5" x14ac:dyDescent="0.25">
      <c r="B3957" t="e">
        <f t="shared" ca="1" si="125"/>
        <v>#NAME?</v>
      </c>
      <c r="C3957">
        <v>3914</v>
      </c>
      <c r="D3957" t="e">
        <f t="shared" ca="1" si="124"/>
        <v>#NAME?</v>
      </c>
      <c r="E3957" s="115" t="e">
        <f t="array" aca="1" ref="E3957" ca="1">IF(OR(C3956=0,AND(B3958=0,C3958=0)),"",IFERROR(INDEX($F$27:$F$36,MATCH(C3957,($F$27:$F$36)*($D$27:$D$36&lt;&gt;0),0)),IF(OR(AND(D3957=0,B3957=0,B3958&lt;&gt;0),AND(D3957*D3956&lt;0,B3957&lt;&gt;0)),IF(D3957=0,C3957,C3957*(1-ABS(D3957)/(ABS(D3957)+ABS(D3956)))+C3956*(1-ABS(D3956)/(ABS(D3957)+ABS(D3956)))),"")))</f>
        <v>#NAME?</v>
      </c>
    </row>
    <row r="3958" spans="2:5" x14ac:dyDescent="0.25">
      <c r="B3958" t="e">
        <f t="shared" ca="1" si="125"/>
        <v>#NAME?</v>
      </c>
      <c r="C3958">
        <v>3915</v>
      </c>
      <c r="D3958" t="e">
        <f t="shared" ca="1" si="124"/>
        <v>#NAME?</v>
      </c>
      <c r="E3958" s="115" t="e">
        <f t="array" aca="1" ref="E3958" ca="1">IF(OR(C3957=0,AND(B3959=0,C3959=0)),"",IFERROR(INDEX($F$27:$F$36,MATCH(C3958,($F$27:$F$36)*($D$27:$D$36&lt;&gt;0),0)),IF(OR(AND(D3958=0,B3958=0,B3959&lt;&gt;0),AND(D3958*D3957&lt;0,B3958&lt;&gt;0)),IF(D3958=0,C3958,C3958*(1-ABS(D3958)/(ABS(D3958)+ABS(D3957)))+C3957*(1-ABS(D3957)/(ABS(D3958)+ABS(D3957)))),"")))</f>
        <v>#NAME?</v>
      </c>
    </row>
    <row r="3959" spans="2:5" x14ac:dyDescent="0.25">
      <c r="B3959" t="e">
        <f t="shared" ca="1" si="125"/>
        <v>#NAME?</v>
      </c>
      <c r="C3959">
        <v>3916</v>
      </c>
      <c r="D3959" t="e">
        <f t="shared" ca="1" si="124"/>
        <v>#NAME?</v>
      </c>
      <c r="E3959" s="115" t="e">
        <f t="array" aca="1" ref="E3959" ca="1">IF(OR(C3958=0,AND(B3960=0,C3960=0)),"",IFERROR(INDEX($F$27:$F$36,MATCH(C3959,($F$27:$F$36)*($D$27:$D$36&lt;&gt;0),0)),IF(OR(AND(D3959=0,B3959=0,B3960&lt;&gt;0),AND(D3959*D3958&lt;0,B3959&lt;&gt;0)),IF(D3959=0,C3959,C3959*(1-ABS(D3959)/(ABS(D3959)+ABS(D3958)))+C3958*(1-ABS(D3958)/(ABS(D3959)+ABS(D3958)))),"")))</f>
        <v>#NAME?</v>
      </c>
    </row>
    <row r="3960" spans="2:5" x14ac:dyDescent="0.25">
      <c r="B3960" t="e">
        <f t="shared" ca="1" si="125"/>
        <v>#NAME?</v>
      </c>
      <c r="C3960">
        <v>3917</v>
      </c>
      <c r="D3960" t="e">
        <f t="shared" ca="1" si="124"/>
        <v>#NAME?</v>
      </c>
      <c r="E3960" s="115" t="e">
        <f t="array" aca="1" ref="E3960" ca="1">IF(OR(C3959=0,AND(B3961=0,C3961=0)),"",IFERROR(INDEX($F$27:$F$36,MATCH(C3960,($F$27:$F$36)*($D$27:$D$36&lt;&gt;0),0)),IF(OR(AND(D3960=0,B3960=0,B3961&lt;&gt;0),AND(D3960*D3959&lt;0,B3960&lt;&gt;0)),IF(D3960=0,C3960,C3960*(1-ABS(D3960)/(ABS(D3960)+ABS(D3959)))+C3959*(1-ABS(D3959)/(ABS(D3960)+ABS(D3959)))),"")))</f>
        <v>#NAME?</v>
      </c>
    </row>
    <row r="3961" spans="2:5" x14ac:dyDescent="0.25">
      <c r="B3961" t="e">
        <f t="shared" ca="1" si="125"/>
        <v>#NAME?</v>
      </c>
      <c r="C3961">
        <v>3918</v>
      </c>
      <c r="D3961" t="e">
        <f t="shared" ca="1" si="124"/>
        <v>#NAME?</v>
      </c>
      <c r="E3961" s="115" t="e">
        <f t="array" aca="1" ref="E3961" ca="1">IF(OR(C3960=0,AND(B3962=0,C3962=0)),"",IFERROR(INDEX($F$27:$F$36,MATCH(C3961,($F$27:$F$36)*($D$27:$D$36&lt;&gt;0),0)),IF(OR(AND(D3961=0,B3961=0,B3962&lt;&gt;0),AND(D3961*D3960&lt;0,B3961&lt;&gt;0)),IF(D3961=0,C3961,C3961*(1-ABS(D3961)/(ABS(D3961)+ABS(D3960)))+C3960*(1-ABS(D3960)/(ABS(D3961)+ABS(D3960)))),"")))</f>
        <v>#NAME?</v>
      </c>
    </row>
    <row r="3962" spans="2:5" x14ac:dyDescent="0.25">
      <c r="B3962" t="e">
        <f t="shared" ca="1" si="125"/>
        <v>#NAME?</v>
      </c>
      <c r="C3962">
        <v>3919</v>
      </c>
      <c r="D3962" t="e">
        <f t="shared" ca="1" si="124"/>
        <v>#NAME?</v>
      </c>
      <c r="E3962" s="115" t="e">
        <f t="array" aca="1" ref="E3962" ca="1">IF(OR(C3961=0,AND(B3963=0,C3963=0)),"",IFERROR(INDEX($F$27:$F$36,MATCH(C3962,($F$27:$F$36)*($D$27:$D$36&lt;&gt;0),0)),IF(OR(AND(D3962=0,B3962=0,B3963&lt;&gt;0),AND(D3962*D3961&lt;0,B3962&lt;&gt;0)),IF(D3962=0,C3962,C3962*(1-ABS(D3962)/(ABS(D3962)+ABS(D3961)))+C3961*(1-ABS(D3961)/(ABS(D3962)+ABS(D3961)))),"")))</f>
        <v>#NAME?</v>
      </c>
    </row>
    <row r="3963" spans="2:5" x14ac:dyDescent="0.25">
      <c r="B3963" t="e">
        <f t="shared" ca="1" si="125"/>
        <v>#NAME?</v>
      </c>
      <c r="C3963">
        <v>3920</v>
      </c>
      <c r="D3963" t="e">
        <f t="shared" ca="1" si="124"/>
        <v>#NAME?</v>
      </c>
      <c r="E3963" s="115" t="e">
        <f t="array" aca="1" ref="E3963" ca="1">IF(OR(C3962=0,AND(B3964=0,C3964=0)),"",IFERROR(INDEX($F$27:$F$36,MATCH(C3963,($F$27:$F$36)*($D$27:$D$36&lt;&gt;0),0)),IF(OR(AND(D3963=0,B3963=0,B3964&lt;&gt;0),AND(D3963*D3962&lt;0,B3963&lt;&gt;0)),IF(D3963=0,C3963,C3963*(1-ABS(D3963)/(ABS(D3963)+ABS(D3962)))+C3962*(1-ABS(D3962)/(ABS(D3963)+ABS(D3962)))),"")))</f>
        <v>#NAME?</v>
      </c>
    </row>
    <row r="3964" spans="2:5" x14ac:dyDescent="0.25">
      <c r="B3964" t="e">
        <f t="shared" ca="1" si="125"/>
        <v>#NAME?</v>
      </c>
      <c r="C3964">
        <v>3921</v>
      </c>
      <c r="D3964" t="e">
        <f t="shared" ca="1" si="124"/>
        <v>#NAME?</v>
      </c>
      <c r="E3964" s="115" t="e">
        <f t="array" aca="1" ref="E3964" ca="1">IF(OR(C3963=0,AND(B3965=0,C3965=0)),"",IFERROR(INDEX($F$27:$F$36,MATCH(C3964,($F$27:$F$36)*($D$27:$D$36&lt;&gt;0),0)),IF(OR(AND(D3964=0,B3964=0,B3965&lt;&gt;0),AND(D3964*D3963&lt;0,B3964&lt;&gt;0)),IF(D3964=0,C3964,C3964*(1-ABS(D3964)/(ABS(D3964)+ABS(D3963)))+C3963*(1-ABS(D3963)/(ABS(D3964)+ABS(D3963)))),"")))</f>
        <v>#NAME?</v>
      </c>
    </row>
    <row r="3965" spans="2:5" x14ac:dyDescent="0.25">
      <c r="B3965" t="e">
        <f t="shared" ca="1" si="125"/>
        <v>#NAME?</v>
      </c>
      <c r="C3965">
        <v>3922</v>
      </c>
      <c r="D3965" t="e">
        <f t="shared" ca="1" si="124"/>
        <v>#NAME?</v>
      </c>
      <c r="E3965" s="115" t="e">
        <f t="array" aca="1" ref="E3965" ca="1">IF(OR(C3964=0,AND(B3966=0,C3966=0)),"",IFERROR(INDEX($F$27:$F$36,MATCH(C3965,($F$27:$F$36)*($D$27:$D$36&lt;&gt;0),0)),IF(OR(AND(D3965=0,B3965=0,B3966&lt;&gt;0),AND(D3965*D3964&lt;0,B3965&lt;&gt;0)),IF(D3965=0,C3965,C3965*(1-ABS(D3965)/(ABS(D3965)+ABS(D3964)))+C3964*(1-ABS(D3964)/(ABS(D3965)+ABS(D3964)))),"")))</f>
        <v>#NAME?</v>
      </c>
    </row>
    <row r="3966" spans="2:5" x14ac:dyDescent="0.25">
      <c r="B3966" t="e">
        <f t="shared" ca="1" si="125"/>
        <v>#NAME?</v>
      </c>
      <c r="C3966">
        <v>3923</v>
      </c>
      <c r="D3966" t="e">
        <f t="shared" ca="1" si="124"/>
        <v>#NAME?</v>
      </c>
      <c r="E3966" s="115" t="e">
        <f t="array" aca="1" ref="E3966" ca="1">IF(OR(C3965=0,AND(B3967=0,C3967=0)),"",IFERROR(INDEX($F$27:$F$36,MATCH(C3966,($F$27:$F$36)*($D$27:$D$36&lt;&gt;0),0)),IF(OR(AND(D3966=0,B3966=0,B3967&lt;&gt;0),AND(D3966*D3965&lt;0,B3966&lt;&gt;0)),IF(D3966=0,C3966,C3966*(1-ABS(D3966)/(ABS(D3966)+ABS(D3965)))+C3965*(1-ABS(D3965)/(ABS(D3966)+ABS(D3965)))),"")))</f>
        <v>#NAME?</v>
      </c>
    </row>
    <row r="3967" spans="2:5" x14ac:dyDescent="0.25">
      <c r="B3967" t="e">
        <f t="shared" ca="1" si="125"/>
        <v>#NAME?</v>
      </c>
      <c r="C3967">
        <v>3924</v>
      </c>
      <c r="D3967" t="e">
        <f t="shared" ca="1" si="124"/>
        <v>#NAME?</v>
      </c>
      <c r="E3967" s="115" t="e">
        <f t="array" aca="1" ref="E3967" ca="1">IF(OR(C3966=0,AND(B3968=0,C3968=0)),"",IFERROR(INDEX($F$27:$F$36,MATCH(C3967,($F$27:$F$36)*($D$27:$D$36&lt;&gt;0),0)),IF(OR(AND(D3967=0,B3967=0,B3968&lt;&gt;0),AND(D3967*D3966&lt;0,B3967&lt;&gt;0)),IF(D3967=0,C3967,C3967*(1-ABS(D3967)/(ABS(D3967)+ABS(D3966)))+C3966*(1-ABS(D3966)/(ABS(D3967)+ABS(D3966)))),"")))</f>
        <v>#NAME?</v>
      </c>
    </row>
    <row r="3968" spans="2:5" x14ac:dyDescent="0.25">
      <c r="B3968" t="e">
        <f t="shared" ca="1" si="125"/>
        <v>#NAME?</v>
      </c>
      <c r="C3968">
        <v>3925</v>
      </c>
      <c r="D3968" t="e">
        <f t="shared" ca="1" si="124"/>
        <v>#NAME?</v>
      </c>
      <c r="E3968" s="115" t="e">
        <f t="array" aca="1" ref="E3968" ca="1">IF(OR(C3967=0,AND(B3969=0,C3969=0)),"",IFERROR(INDEX($F$27:$F$36,MATCH(C3968,($F$27:$F$36)*($D$27:$D$36&lt;&gt;0),0)),IF(OR(AND(D3968=0,B3968=0,B3969&lt;&gt;0),AND(D3968*D3967&lt;0,B3968&lt;&gt;0)),IF(D3968=0,C3968,C3968*(1-ABS(D3968)/(ABS(D3968)+ABS(D3967)))+C3967*(1-ABS(D3967)/(ABS(D3968)+ABS(D3967)))),"")))</f>
        <v>#NAME?</v>
      </c>
    </row>
    <row r="3969" spans="2:5" x14ac:dyDescent="0.25">
      <c r="B3969" t="e">
        <f t="shared" ca="1" si="125"/>
        <v>#NAME?</v>
      </c>
      <c r="C3969">
        <v>3926</v>
      </c>
      <c r="D3969" t="e">
        <f t="shared" ca="1" si="124"/>
        <v>#NAME?</v>
      </c>
      <c r="E3969" s="115" t="e">
        <f t="array" aca="1" ref="E3969" ca="1">IF(OR(C3968=0,AND(B3970=0,C3970=0)),"",IFERROR(INDEX($F$27:$F$36,MATCH(C3969,($F$27:$F$36)*($D$27:$D$36&lt;&gt;0),0)),IF(OR(AND(D3969=0,B3969=0,B3970&lt;&gt;0),AND(D3969*D3968&lt;0,B3969&lt;&gt;0)),IF(D3969=0,C3969,C3969*(1-ABS(D3969)/(ABS(D3969)+ABS(D3968)))+C3968*(1-ABS(D3968)/(ABS(D3969)+ABS(D3968)))),"")))</f>
        <v>#NAME?</v>
      </c>
    </row>
    <row r="3970" spans="2:5" x14ac:dyDescent="0.25">
      <c r="B3970" t="e">
        <f t="shared" ca="1" si="125"/>
        <v>#NAME?</v>
      </c>
      <c r="C3970">
        <v>3927</v>
      </c>
      <c r="D3970" t="e">
        <f t="shared" ca="1" si="124"/>
        <v>#NAME?</v>
      </c>
      <c r="E3970" s="115" t="e">
        <f t="array" aca="1" ref="E3970" ca="1">IF(OR(C3969=0,AND(B3971=0,C3971=0)),"",IFERROR(INDEX($F$27:$F$36,MATCH(C3970,($F$27:$F$36)*($D$27:$D$36&lt;&gt;0),0)),IF(OR(AND(D3970=0,B3970=0,B3971&lt;&gt;0),AND(D3970*D3969&lt;0,B3970&lt;&gt;0)),IF(D3970=0,C3970,C3970*(1-ABS(D3970)/(ABS(D3970)+ABS(D3969)))+C3969*(1-ABS(D3969)/(ABS(D3970)+ABS(D3969)))),"")))</f>
        <v>#NAME?</v>
      </c>
    </row>
    <row r="3971" spans="2:5" x14ac:dyDescent="0.25">
      <c r="B3971" t="e">
        <f t="shared" ca="1" si="125"/>
        <v>#NAME?</v>
      </c>
      <c r="C3971">
        <v>3928</v>
      </c>
      <c r="D3971" t="e">
        <f t="shared" ca="1" si="124"/>
        <v>#NAME?</v>
      </c>
      <c r="E3971" s="115" t="e">
        <f t="array" aca="1" ref="E3971" ca="1">IF(OR(C3970=0,AND(B3972=0,C3972=0)),"",IFERROR(INDEX($F$27:$F$36,MATCH(C3971,($F$27:$F$36)*($D$27:$D$36&lt;&gt;0),0)),IF(OR(AND(D3971=0,B3971=0,B3972&lt;&gt;0),AND(D3971*D3970&lt;0,B3971&lt;&gt;0)),IF(D3971=0,C3971,C3971*(1-ABS(D3971)/(ABS(D3971)+ABS(D3970)))+C3970*(1-ABS(D3970)/(ABS(D3971)+ABS(D3970)))),"")))</f>
        <v>#NAME?</v>
      </c>
    </row>
    <row r="3972" spans="2:5" x14ac:dyDescent="0.25">
      <c r="B3972" t="e">
        <f t="shared" ca="1" si="125"/>
        <v>#NAME?</v>
      </c>
      <c r="C3972">
        <v>3929</v>
      </c>
      <c r="D3972" t="e">
        <f t="shared" ca="1" si="124"/>
        <v>#NAME?</v>
      </c>
      <c r="E3972" s="115" t="e">
        <f t="array" aca="1" ref="E3972" ca="1">IF(OR(C3971=0,AND(B3973=0,C3973=0)),"",IFERROR(INDEX($F$27:$F$36,MATCH(C3972,($F$27:$F$36)*($D$27:$D$36&lt;&gt;0),0)),IF(OR(AND(D3972=0,B3972=0,B3973&lt;&gt;0),AND(D3972*D3971&lt;0,B3972&lt;&gt;0)),IF(D3972=0,C3972,C3972*(1-ABS(D3972)/(ABS(D3972)+ABS(D3971)))+C3971*(1-ABS(D3971)/(ABS(D3972)+ABS(D3971)))),"")))</f>
        <v>#NAME?</v>
      </c>
    </row>
    <row r="3973" spans="2:5" x14ac:dyDescent="0.25">
      <c r="B3973" t="e">
        <f t="shared" ca="1" si="125"/>
        <v>#NAME?</v>
      </c>
      <c r="C3973">
        <v>3930</v>
      </c>
      <c r="D3973" t="e">
        <f t="shared" ca="1" si="124"/>
        <v>#NAME?</v>
      </c>
      <c r="E3973" s="115" t="e">
        <f t="array" aca="1" ref="E3973" ca="1">IF(OR(C3972=0,AND(B3974=0,C3974=0)),"",IFERROR(INDEX($F$27:$F$36,MATCH(C3973,($F$27:$F$36)*($D$27:$D$36&lt;&gt;0),0)),IF(OR(AND(D3973=0,B3973=0,B3974&lt;&gt;0),AND(D3973*D3972&lt;0,B3973&lt;&gt;0)),IF(D3973=0,C3973,C3973*(1-ABS(D3973)/(ABS(D3973)+ABS(D3972)))+C3972*(1-ABS(D3972)/(ABS(D3973)+ABS(D3972)))),"")))</f>
        <v>#NAME?</v>
      </c>
    </row>
    <row r="3974" spans="2:5" x14ac:dyDescent="0.25">
      <c r="B3974" t="e">
        <f t="shared" ca="1" si="125"/>
        <v>#NAME?</v>
      </c>
      <c r="C3974">
        <v>3931</v>
      </c>
      <c r="D3974" t="e">
        <f t="shared" ca="1" si="124"/>
        <v>#NAME?</v>
      </c>
      <c r="E3974" s="115" t="e">
        <f t="array" aca="1" ref="E3974" ca="1">IF(OR(C3973=0,AND(B3975=0,C3975=0)),"",IFERROR(INDEX($F$27:$F$36,MATCH(C3974,($F$27:$F$36)*($D$27:$D$36&lt;&gt;0),0)),IF(OR(AND(D3974=0,B3974=0,B3975&lt;&gt;0),AND(D3974*D3973&lt;0,B3974&lt;&gt;0)),IF(D3974=0,C3974,C3974*(1-ABS(D3974)/(ABS(D3974)+ABS(D3973)))+C3973*(1-ABS(D3973)/(ABS(D3974)+ABS(D3973)))),"")))</f>
        <v>#NAME?</v>
      </c>
    </row>
    <row r="3975" spans="2:5" x14ac:dyDescent="0.25">
      <c r="B3975" t="e">
        <f t="shared" ca="1" si="125"/>
        <v>#NAME?</v>
      </c>
      <c r="C3975">
        <v>3932</v>
      </c>
      <c r="D3975" t="e">
        <f t="shared" ca="1" si="124"/>
        <v>#NAME?</v>
      </c>
      <c r="E3975" s="115" t="e">
        <f t="array" aca="1" ref="E3975" ca="1">IF(OR(C3974=0,AND(B3976=0,C3976=0)),"",IFERROR(INDEX($F$27:$F$36,MATCH(C3975,($F$27:$F$36)*($D$27:$D$36&lt;&gt;0),0)),IF(OR(AND(D3975=0,B3975=0,B3976&lt;&gt;0),AND(D3975*D3974&lt;0,B3975&lt;&gt;0)),IF(D3975=0,C3975,C3975*(1-ABS(D3975)/(ABS(D3975)+ABS(D3974)))+C3974*(1-ABS(D3974)/(ABS(D3975)+ABS(D3974)))),"")))</f>
        <v>#NAME?</v>
      </c>
    </row>
    <row r="3976" spans="2:5" x14ac:dyDescent="0.25">
      <c r="B3976" t="e">
        <f t="shared" ca="1" si="125"/>
        <v>#NAME?</v>
      </c>
      <c r="C3976">
        <v>3933</v>
      </c>
      <c r="D3976" t="e">
        <f t="shared" ca="1" si="124"/>
        <v>#NAME?</v>
      </c>
      <c r="E3976" s="115" t="e">
        <f t="array" aca="1" ref="E3976" ca="1">IF(OR(C3975=0,AND(B3977=0,C3977=0)),"",IFERROR(INDEX($F$27:$F$36,MATCH(C3976,($F$27:$F$36)*($D$27:$D$36&lt;&gt;0),0)),IF(OR(AND(D3976=0,B3976=0,B3977&lt;&gt;0),AND(D3976*D3975&lt;0,B3976&lt;&gt;0)),IF(D3976=0,C3976,C3976*(1-ABS(D3976)/(ABS(D3976)+ABS(D3975)))+C3975*(1-ABS(D3975)/(ABS(D3976)+ABS(D3975)))),"")))</f>
        <v>#NAME?</v>
      </c>
    </row>
    <row r="3977" spans="2:5" x14ac:dyDescent="0.25">
      <c r="B3977" t="e">
        <f t="shared" ca="1" si="125"/>
        <v>#NAME?</v>
      </c>
      <c r="C3977">
        <v>3934</v>
      </c>
      <c r="D3977" t="e">
        <f t="shared" ca="1" si="124"/>
        <v>#NAME?</v>
      </c>
      <c r="E3977" s="115" t="e">
        <f t="array" aca="1" ref="E3977" ca="1">IF(OR(C3976=0,AND(B3978=0,C3978=0)),"",IFERROR(INDEX($F$27:$F$36,MATCH(C3977,($F$27:$F$36)*($D$27:$D$36&lt;&gt;0),0)),IF(OR(AND(D3977=0,B3977=0,B3978&lt;&gt;0),AND(D3977*D3976&lt;0,B3977&lt;&gt;0)),IF(D3977=0,C3977,C3977*(1-ABS(D3977)/(ABS(D3977)+ABS(D3976)))+C3976*(1-ABS(D3976)/(ABS(D3977)+ABS(D3976)))),"")))</f>
        <v>#NAME?</v>
      </c>
    </row>
    <row r="3978" spans="2:5" x14ac:dyDescent="0.25">
      <c r="B3978" t="e">
        <f t="shared" ca="1" si="125"/>
        <v>#NAME?</v>
      </c>
      <c r="C3978">
        <v>3935</v>
      </c>
      <c r="D3978" t="e">
        <f t="shared" ca="1" si="124"/>
        <v>#NAME?</v>
      </c>
      <c r="E3978" s="115" t="e">
        <f t="array" aca="1" ref="E3978" ca="1">IF(OR(C3977=0,AND(B3979=0,C3979=0)),"",IFERROR(INDEX($F$27:$F$36,MATCH(C3978,($F$27:$F$36)*($D$27:$D$36&lt;&gt;0),0)),IF(OR(AND(D3978=0,B3978=0,B3979&lt;&gt;0),AND(D3978*D3977&lt;0,B3978&lt;&gt;0)),IF(D3978=0,C3978,C3978*(1-ABS(D3978)/(ABS(D3978)+ABS(D3977)))+C3977*(1-ABS(D3977)/(ABS(D3978)+ABS(D3977)))),"")))</f>
        <v>#NAME?</v>
      </c>
    </row>
    <row r="3979" spans="2:5" x14ac:dyDescent="0.25">
      <c r="B3979" t="e">
        <f t="shared" ca="1" si="125"/>
        <v>#NAME?</v>
      </c>
      <c r="C3979">
        <v>3936</v>
      </c>
      <c r="D3979" t="e">
        <f t="shared" ca="1" si="124"/>
        <v>#NAME?</v>
      </c>
      <c r="E3979" s="115" t="e">
        <f t="array" aca="1" ref="E3979" ca="1">IF(OR(C3978=0,AND(B3980=0,C3980=0)),"",IFERROR(INDEX($F$27:$F$36,MATCH(C3979,($F$27:$F$36)*($D$27:$D$36&lt;&gt;0),0)),IF(OR(AND(D3979=0,B3979=0,B3980&lt;&gt;0),AND(D3979*D3978&lt;0,B3979&lt;&gt;0)),IF(D3979=0,C3979,C3979*(1-ABS(D3979)/(ABS(D3979)+ABS(D3978)))+C3978*(1-ABS(D3978)/(ABS(D3979)+ABS(D3978)))),"")))</f>
        <v>#NAME?</v>
      </c>
    </row>
    <row r="3980" spans="2:5" x14ac:dyDescent="0.25">
      <c r="B3980" t="e">
        <f t="shared" ca="1" si="125"/>
        <v>#NAME?</v>
      </c>
      <c r="C3980">
        <v>3937</v>
      </c>
      <c r="D3980" t="e">
        <f t="shared" ca="1" si="124"/>
        <v>#NAME?</v>
      </c>
      <c r="E3980" s="115" t="e">
        <f t="array" aca="1" ref="E3980" ca="1">IF(OR(C3979=0,AND(B3981=0,C3981=0)),"",IFERROR(INDEX($F$27:$F$36,MATCH(C3980,($F$27:$F$36)*($D$27:$D$36&lt;&gt;0),0)),IF(OR(AND(D3980=0,B3980=0,B3981&lt;&gt;0),AND(D3980*D3979&lt;0,B3980&lt;&gt;0)),IF(D3980=0,C3980,C3980*(1-ABS(D3980)/(ABS(D3980)+ABS(D3979)))+C3979*(1-ABS(D3979)/(ABS(D3980)+ABS(D3979)))),"")))</f>
        <v>#NAME?</v>
      </c>
    </row>
    <row r="3981" spans="2:5" x14ac:dyDescent="0.25">
      <c r="B3981" t="e">
        <f t="shared" ca="1" si="125"/>
        <v>#NAME?</v>
      </c>
      <c r="C3981">
        <v>3938</v>
      </c>
      <c r="D3981" t="e">
        <f t="shared" ca="1" si="124"/>
        <v>#NAME?</v>
      </c>
      <c r="E3981" s="115" t="e">
        <f t="array" aca="1" ref="E3981" ca="1">IF(OR(C3980=0,AND(B3982=0,C3982=0)),"",IFERROR(INDEX($F$27:$F$36,MATCH(C3981,($F$27:$F$36)*($D$27:$D$36&lt;&gt;0),0)),IF(OR(AND(D3981=0,B3981=0,B3982&lt;&gt;0),AND(D3981*D3980&lt;0,B3981&lt;&gt;0)),IF(D3981=0,C3981,C3981*(1-ABS(D3981)/(ABS(D3981)+ABS(D3980)))+C3980*(1-ABS(D3980)/(ABS(D3981)+ABS(D3980)))),"")))</f>
        <v>#NAME?</v>
      </c>
    </row>
    <row r="3982" spans="2:5" x14ac:dyDescent="0.25">
      <c r="B3982" t="e">
        <f t="shared" ca="1" si="125"/>
        <v>#NAME?</v>
      </c>
      <c r="C3982">
        <v>3939</v>
      </c>
      <c r="D3982" t="e">
        <f t="shared" ca="1" si="124"/>
        <v>#NAME?</v>
      </c>
      <c r="E3982" s="115" t="e">
        <f t="array" aca="1" ref="E3982" ca="1">IF(OR(C3981=0,AND(B3983=0,C3983=0)),"",IFERROR(INDEX($F$27:$F$36,MATCH(C3982,($F$27:$F$36)*($D$27:$D$36&lt;&gt;0),0)),IF(OR(AND(D3982=0,B3982=0,B3983&lt;&gt;0),AND(D3982*D3981&lt;0,B3982&lt;&gt;0)),IF(D3982=0,C3982,C3982*(1-ABS(D3982)/(ABS(D3982)+ABS(D3981)))+C3981*(1-ABS(D3981)/(ABS(D3982)+ABS(D3981)))),"")))</f>
        <v>#NAME?</v>
      </c>
    </row>
    <row r="3983" spans="2:5" x14ac:dyDescent="0.25">
      <c r="B3983" t="e">
        <f t="shared" ca="1" si="125"/>
        <v>#NAME?</v>
      </c>
      <c r="C3983">
        <v>3940</v>
      </c>
      <c r="D3983" t="e">
        <f t="shared" ca="1" si="124"/>
        <v>#NAME?</v>
      </c>
      <c r="E3983" s="115" t="e">
        <f t="array" aca="1" ref="E3983" ca="1">IF(OR(C3982=0,AND(B3984=0,C3984=0)),"",IFERROR(INDEX($F$27:$F$36,MATCH(C3983,($F$27:$F$36)*($D$27:$D$36&lt;&gt;0),0)),IF(OR(AND(D3983=0,B3983=0,B3984&lt;&gt;0),AND(D3983*D3982&lt;0,B3983&lt;&gt;0)),IF(D3983=0,C3983,C3983*(1-ABS(D3983)/(ABS(D3983)+ABS(D3982)))+C3982*(1-ABS(D3982)/(ABS(D3983)+ABS(D3982)))),"")))</f>
        <v>#NAME?</v>
      </c>
    </row>
    <row r="3984" spans="2:5" x14ac:dyDescent="0.25">
      <c r="B3984" t="e">
        <f t="shared" ca="1" si="125"/>
        <v>#NAME?</v>
      </c>
      <c r="C3984">
        <v>3941</v>
      </c>
      <c r="D3984" t="e">
        <f t="shared" ca="1" si="124"/>
        <v>#NAME?</v>
      </c>
      <c r="E3984" s="115" t="e">
        <f t="array" aca="1" ref="E3984" ca="1">IF(OR(C3983=0,AND(B3985=0,C3985=0)),"",IFERROR(INDEX($F$27:$F$36,MATCH(C3984,($F$27:$F$36)*($D$27:$D$36&lt;&gt;0),0)),IF(OR(AND(D3984=0,B3984=0,B3985&lt;&gt;0),AND(D3984*D3983&lt;0,B3984&lt;&gt;0)),IF(D3984=0,C3984,C3984*(1-ABS(D3984)/(ABS(D3984)+ABS(D3983)))+C3983*(1-ABS(D3983)/(ABS(D3984)+ABS(D3983)))),"")))</f>
        <v>#NAME?</v>
      </c>
    </row>
    <row r="3985" spans="2:5" x14ac:dyDescent="0.25">
      <c r="B3985" t="e">
        <f t="shared" ca="1" si="125"/>
        <v>#NAME?</v>
      </c>
      <c r="C3985">
        <v>3942</v>
      </c>
      <c r="D3985" t="e">
        <f t="shared" ca="1" si="124"/>
        <v>#NAME?</v>
      </c>
      <c r="E3985" s="115" t="e">
        <f t="array" aca="1" ref="E3985" ca="1">IF(OR(C3984=0,AND(B3986=0,C3986=0)),"",IFERROR(INDEX($F$27:$F$36,MATCH(C3985,($F$27:$F$36)*($D$27:$D$36&lt;&gt;0),0)),IF(OR(AND(D3985=0,B3985=0,B3986&lt;&gt;0),AND(D3985*D3984&lt;0,B3985&lt;&gt;0)),IF(D3985=0,C3985,C3985*(1-ABS(D3985)/(ABS(D3985)+ABS(D3984)))+C3984*(1-ABS(D3984)/(ABS(D3985)+ABS(D3984)))),"")))</f>
        <v>#NAME?</v>
      </c>
    </row>
    <row r="3986" spans="2:5" x14ac:dyDescent="0.25">
      <c r="B3986" t="e">
        <f t="shared" ca="1" si="125"/>
        <v>#NAME?</v>
      </c>
      <c r="C3986">
        <v>3943</v>
      </c>
      <c r="D3986" t="e">
        <f t="shared" ca="1" si="124"/>
        <v>#NAME?</v>
      </c>
      <c r="E3986" s="115" t="e">
        <f t="array" aca="1" ref="E3986" ca="1">IF(OR(C3985=0,AND(B3987=0,C3987=0)),"",IFERROR(INDEX($F$27:$F$36,MATCH(C3986,($F$27:$F$36)*($D$27:$D$36&lt;&gt;0),0)),IF(OR(AND(D3986=0,B3986=0,B3987&lt;&gt;0),AND(D3986*D3985&lt;0,B3986&lt;&gt;0)),IF(D3986=0,C3986,C3986*(1-ABS(D3986)/(ABS(D3986)+ABS(D3985)))+C3985*(1-ABS(D3985)/(ABS(D3986)+ABS(D3985)))),"")))</f>
        <v>#NAME?</v>
      </c>
    </row>
    <row r="3987" spans="2:5" x14ac:dyDescent="0.25">
      <c r="B3987" t="e">
        <f t="shared" ca="1" si="125"/>
        <v>#NAME?</v>
      </c>
      <c r="C3987">
        <v>3944</v>
      </c>
      <c r="D3987" t="e">
        <f t="shared" ca="1" si="124"/>
        <v>#NAME?</v>
      </c>
      <c r="E3987" s="115" t="e">
        <f t="array" aca="1" ref="E3987" ca="1">IF(OR(C3986=0,AND(B3988=0,C3988=0)),"",IFERROR(INDEX($F$27:$F$36,MATCH(C3987,($F$27:$F$36)*($D$27:$D$36&lt;&gt;0),0)),IF(OR(AND(D3987=0,B3987=0,B3988&lt;&gt;0),AND(D3987*D3986&lt;0,B3987&lt;&gt;0)),IF(D3987=0,C3987,C3987*(1-ABS(D3987)/(ABS(D3987)+ABS(D3986)))+C3986*(1-ABS(D3986)/(ABS(D3987)+ABS(D3986)))),"")))</f>
        <v>#NAME?</v>
      </c>
    </row>
    <row r="3988" spans="2:5" x14ac:dyDescent="0.25">
      <c r="B3988" t="e">
        <f t="shared" ca="1" si="125"/>
        <v>#NAME?</v>
      </c>
      <c r="C3988">
        <v>3945</v>
      </c>
      <c r="D3988" t="e">
        <f t="shared" ca="1" si="124"/>
        <v>#NAME?</v>
      </c>
      <c r="E3988" s="115" t="e">
        <f t="array" aca="1" ref="E3988" ca="1">IF(OR(C3987=0,AND(B3989=0,C3989=0)),"",IFERROR(INDEX($F$27:$F$36,MATCH(C3988,($F$27:$F$36)*($D$27:$D$36&lt;&gt;0),0)),IF(OR(AND(D3988=0,B3988=0,B3989&lt;&gt;0),AND(D3988*D3987&lt;0,B3988&lt;&gt;0)),IF(D3988=0,C3988,C3988*(1-ABS(D3988)/(ABS(D3988)+ABS(D3987)))+C3987*(1-ABS(D3987)/(ABS(D3988)+ABS(D3987)))),"")))</f>
        <v>#NAME?</v>
      </c>
    </row>
    <row r="3989" spans="2:5" x14ac:dyDescent="0.25">
      <c r="B3989" t="e">
        <f t="shared" ca="1" si="125"/>
        <v>#NAME?</v>
      </c>
      <c r="C3989">
        <v>3946</v>
      </c>
      <c r="D3989" t="e">
        <f t="shared" ca="1" si="124"/>
        <v>#NAME?</v>
      </c>
      <c r="E3989" s="115" t="e">
        <f t="array" aca="1" ref="E3989" ca="1">IF(OR(C3988=0,AND(B3990=0,C3990=0)),"",IFERROR(INDEX($F$27:$F$36,MATCH(C3989,($F$27:$F$36)*($D$27:$D$36&lt;&gt;0),0)),IF(OR(AND(D3989=0,B3989=0,B3990&lt;&gt;0),AND(D3989*D3988&lt;0,B3989&lt;&gt;0)),IF(D3989=0,C3989,C3989*(1-ABS(D3989)/(ABS(D3989)+ABS(D3988)))+C3988*(1-ABS(D3988)/(ABS(D3989)+ABS(D3988)))),"")))</f>
        <v>#NAME?</v>
      </c>
    </row>
    <row r="3990" spans="2:5" x14ac:dyDescent="0.25">
      <c r="B3990" t="e">
        <f t="shared" ca="1" si="125"/>
        <v>#NAME?</v>
      </c>
      <c r="C3990">
        <v>3947</v>
      </c>
      <c r="D3990" t="e">
        <f t="shared" ca="1" si="124"/>
        <v>#NAME?</v>
      </c>
      <c r="E3990" s="115" t="e">
        <f t="array" aca="1" ref="E3990" ca="1">IF(OR(C3989=0,AND(B3991=0,C3991=0)),"",IFERROR(INDEX($F$27:$F$36,MATCH(C3990,($F$27:$F$36)*($D$27:$D$36&lt;&gt;0),0)),IF(OR(AND(D3990=0,B3990=0,B3991&lt;&gt;0),AND(D3990*D3989&lt;0,B3990&lt;&gt;0)),IF(D3990=0,C3990,C3990*(1-ABS(D3990)/(ABS(D3990)+ABS(D3989)))+C3989*(1-ABS(D3989)/(ABS(D3990)+ABS(D3989)))),"")))</f>
        <v>#NAME?</v>
      </c>
    </row>
    <row r="3991" spans="2:5" x14ac:dyDescent="0.25">
      <c r="B3991" t="e">
        <f t="shared" ca="1" si="125"/>
        <v>#NAME?</v>
      </c>
      <c r="C3991">
        <v>3948</v>
      </c>
      <c r="D3991" t="e">
        <f t="shared" ca="1" si="124"/>
        <v>#NAME?</v>
      </c>
      <c r="E3991" s="115" t="e">
        <f t="array" aca="1" ref="E3991" ca="1">IF(OR(C3990=0,AND(B3992=0,C3992=0)),"",IFERROR(INDEX($F$27:$F$36,MATCH(C3991,($F$27:$F$36)*($D$27:$D$36&lt;&gt;0),0)),IF(OR(AND(D3991=0,B3991=0,B3992&lt;&gt;0),AND(D3991*D3990&lt;0,B3991&lt;&gt;0)),IF(D3991=0,C3991,C3991*(1-ABS(D3991)/(ABS(D3991)+ABS(D3990)))+C3990*(1-ABS(D3990)/(ABS(D3991)+ABS(D3990)))),"")))</f>
        <v>#NAME?</v>
      </c>
    </row>
    <row r="3992" spans="2:5" x14ac:dyDescent="0.25">
      <c r="B3992" t="e">
        <f t="shared" ca="1" si="125"/>
        <v>#NAME?</v>
      </c>
      <c r="C3992">
        <v>3949</v>
      </c>
      <c r="D3992" t="e">
        <f t="shared" ca="1" si="124"/>
        <v>#NAME?</v>
      </c>
      <c r="E3992" s="115" t="e">
        <f t="array" aca="1" ref="E3992" ca="1">IF(OR(C3991=0,AND(B3993=0,C3993=0)),"",IFERROR(INDEX($F$27:$F$36,MATCH(C3992,($F$27:$F$36)*($D$27:$D$36&lt;&gt;0),0)),IF(OR(AND(D3992=0,B3992=0,B3993&lt;&gt;0),AND(D3992*D3991&lt;0,B3992&lt;&gt;0)),IF(D3992=0,C3992,C3992*(1-ABS(D3992)/(ABS(D3992)+ABS(D3991)))+C3991*(1-ABS(D3991)/(ABS(D3992)+ABS(D3991)))),"")))</f>
        <v>#NAME?</v>
      </c>
    </row>
    <row r="3993" spans="2:5" x14ac:dyDescent="0.25">
      <c r="B3993" t="e">
        <f t="shared" ca="1" si="125"/>
        <v>#NAME?</v>
      </c>
      <c r="C3993">
        <v>3950</v>
      </c>
      <c r="D3993" t="e">
        <f t="shared" ca="1" si="124"/>
        <v>#NAME?</v>
      </c>
      <c r="E3993" s="115" t="e">
        <f t="array" aca="1" ref="E3993" ca="1">IF(OR(C3992=0,AND(B3994=0,C3994=0)),"",IFERROR(INDEX($F$27:$F$36,MATCH(C3993,($F$27:$F$36)*($D$27:$D$36&lt;&gt;0),0)),IF(OR(AND(D3993=0,B3993=0,B3994&lt;&gt;0),AND(D3993*D3992&lt;0,B3993&lt;&gt;0)),IF(D3993=0,C3993,C3993*(1-ABS(D3993)/(ABS(D3993)+ABS(D3992)))+C3992*(1-ABS(D3992)/(ABS(D3993)+ABS(D3992)))),"")))</f>
        <v>#NAME?</v>
      </c>
    </row>
    <row r="3994" spans="2:5" x14ac:dyDescent="0.25">
      <c r="B3994" t="e">
        <f t="shared" ca="1" si="125"/>
        <v>#NAME?</v>
      </c>
      <c r="C3994">
        <v>3951</v>
      </c>
      <c r="D3994" t="e">
        <f t="shared" ca="1" si="124"/>
        <v>#NAME?</v>
      </c>
      <c r="E3994" s="115" t="e">
        <f t="array" aca="1" ref="E3994" ca="1">IF(OR(C3993=0,AND(B3995=0,C3995=0)),"",IFERROR(INDEX($F$27:$F$36,MATCH(C3994,($F$27:$F$36)*($D$27:$D$36&lt;&gt;0),0)),IF(OR(AND(D3994=0,B3994=0,B3995&lt;&gt;0),AND(D3994*D3993&lt;0,B3994&lt;&gt;0)),IF(D3994=0,C3994,C3994*(1-ABS(D3994)/(ABS(D3994)+ABS(D3993)))+C3993*(1-ABS(D3993)/(ABS(D3994)+ABS(D3993)))),"")))</f>
        <v>#NAME?</v>
      </c>
    </row>
    <row r="3995" spans="2:5" x14ac:dyDescent="0.25">
      <c r="B3995" t="e">
        <f t="shared" ca="1" si="125"/>
        <v>#NAME?</v>
      </c>
      <c r="C3995">
        <v>3952</v>
      </c>
      <c r="D3995" t="e">
        <f t="shared" ca="1" si="124"/>
        <v>#NAME?</v>
      </c>
      <c r="E3995" s="115" t="e">
        <f t="array" aca="1" ref="E3995" ca="1">IF(OR(C3994=0,AND(B3996=0,C3996=0)),"",IFERROR(INDEX($F$27:$F$36,MATCH(C3995,($F$27:$F$36)*($D$27:$D$36&lt;&gt;0),0)),IF(OR(AND(D3995=0,B3995=0,B3996&lt;&gt;0),AND(D3995*D3994&lt;0,B3995&lt;&gt;0)),IF(D3995=0,C3995,C3995*(1-ABS(D3995)/(ABS(D3995)+ABS(D3994)))+C3994*(1-ABS(D3994)/(ABS(D3995)+ABS(D3994)))),"")))</f>
        <v>#NAME?</v>
      </c>
    </row>
    <row r="3996" spans="2:5" x14ac:dyDescent="0.25">
      <c r="B3996" t="e">
        <f t="shared" ca="1" si="125"/>
        <v>#NAME?</v>
      </c>
      <c r="C3996">
        <v>3953</v>
      </c>
      <c r="D3996" t="e">
        <f t="shared" ca="1" si="124"/>
        <v>#NAME?</v>
      </c>
      <c r="E3996" s="115" t="e">
        <f t="array" aca="1" ref="E3996" ca="1">IF(OR(C3995=0,AND(B3997=0,C3997=0)),"",IFERROR(INDEX($F$27:$F$36,MATCH(C3996,($F$27:$F$36)*($D$27:$D$36&lt;&gt;0),0)),IF(OR(AND(D3996=0,B3996=0,B3997&lt;&gt;0),AND(D3996*D3995&lt;0,B3996&lt;&gt;0)),IF(D3996=0,C3996,C3996*(1-ABS(D3996)/(ABS(D3996)+ABS(D3995)))+C3995*(1-ABS(D3995)/(ABS(D3996)+ABS(D3995)))),"")))</f>
        <v>#NAME?</v>
      </c>
    </row>
    <row r="3997" spans="2:5" x14ac:dyDescent="0.25">
      <c r="B3997" t="e">
        <f t="shared" ca="1" si="125"/>
        <v>#NAME?</v>
      </c>
      <c r="C3997">
        <v>3954</v>
      </c>
      <c r="D3997" t="e">
        <f t="shared" ca="1" si="124"/>
        <v>#NAME?</v>
      </c>
      <c r="E3997" s="115" t="e">
        <f t="array" aca="1" ref="E3997" ca="1">IF(OR(C3996=0,AND(B3998=0,C3998=0)),"",IFERROR(INDEX($F$27:$F$36,MATCH(C3997,($F$27:$F$36)*($D$27:$D$36&lt;&gt;0),0)),IF(OR(AND(D3997=0,B3997=0,B3998&lt;&gt;0),AND(D3997*D3996&lt;0,B3997&lt;&gt;0)),IF(D3997=0,C3997,C3997*(1-ABS(D3997)/(ABS(D3997)+ABS(D3996)))+C3996*(1-ABS(D3996)/(ABS(D3997)+ABS(D3996)))),"")))</f>
        <v>#NAME?</v>
      </c>
    </row>
    <row r="3998" spans="2:5" x14ac:dyDescent="0.25">
      <c r="B3998" t="e">
        <f t="shared" ca="1" si="125"/>
        <v>#NAME?</v>
      </c>
      <c r="C3998">
        <v>3955</v>
      </c>
      <c r="D3998" t="e">
        <f t="shared" ca="1" si="124"/>
        <v>#NAME?</v>
      </c>
      <c r="E3998" s="115" t="e">
        <f t="array" aca="1" ref="E3998" ca="1">IF(OR(C3997=0,AND(B3999=0,C3999=0)),"",IFERROR(INDEX($F$27:$F$36,MATCH(C3998,($F$27:$F$36)*($D$27:$D$36&lt;&gt;0),0)),IF(OR(AND(D3998=0,B3998=0,B3999&lt;&gt;0),AND(D3998*D3997&lt;0,B3998&lt;&gt;0)),IF(D3998=0,C3998,C3998*(1-ABS(D3998)/(ABS(D3998)+ABS(D3997)))+C3997*(1-ABS(D3997)/(ABS(D3998)+ABS(D3997)))),"")))</f>
        <v>#NAME?</v>
      </c>
    </row>
    <row r="3999" spans="2:5" x14ac:dyDescent="0.25">
      <c r="B3999" t="e">
        <f t="shared" ca="1" si="125"/>
        <v>#NAME?</v>
      </c>
      <c r="C3999">
        <v>3956</v>
      </c>
      <c r="D3999" t="e">
        <f t="shared" ca="1" si="124"/>
        <v>#NAME?</v>
      </c>
      <c r="E3999" s="115" t="e">
        <f t="array" aca="1" ref="E3999" ca="1">IF(OR(C3998=0,AND(B4000=0,C4000=0)),"",IFERROR(INDEX($F$27:$F$36,MATCH(C3999,($F$27:$F$36)*($D$27:$D$36&lt;&gt;0),0)),IF(OR(AND(D3999=0,B3999=0,B4000&lt;&gt;0),AND(D3999*D3998&lt;0,B3999&lt;&gt;0)),IF(D3999=0,C3999,C3999*(1-ABS(D3999)/(ABS(D3999)+ABS(D3998)))+C3998*(1-ABS(D3998)/(ABS(D3999)+ABS(D3998)))),"")))</f>
        <v>#NAME?</v>
      </c>
    </row>
    <row r="4000" spans="2:5" x14ac:dyDescent="0.25">
      <c r="B4000" t="e">
        <f t="shared" ca="1" si="125"/>
        <v>#NAME?</v>
      </c>
      <c r="C4000">
        <v>3957</v>
      </c>
      <c r="D4000" t="e">
        <f t="shared" ca="1" si="124"/>
        <v>#NAME?</v>
      </c>
      <c r="E4000" s="115" t="e">
        <f t="array" aca="1" ref="E4000" ca="1">IF(OR(C3999=0,AND(B4001=0,C4001=0)),"",IFERROR(INDEX($F$27:$F$36,MATCH(C4000,($F$27:$F$36)*($D$27:$D$36&lt;&gt;0),0)),IF(OR(AND(D4000=0,B4000=0,B4001&lt;&gt;0),AND(D4000*D3999&lt;0,B4000&lt;&gt;0)),IF(D4000=0,C4000,C4000*(1-ABS(D4000)/(ABS(D4000)+ABS(D3999)))+C3999*(1-ABS(D3999)/(ABS(D4000)+ABS(D3999)))),"")))</f>
        <v>#NAME?</v>
      </c>
    </row>
    <row r="4001" spans="2:5" x14ac:dyDescent="0.25">
      <c r="B4001" t="e">
        <f t="shared" ca="1" si="125"/>
        <v>#NAME?</v>
      </c>
      <c r="C4001">
        <v>3958</v>
      </c>
      <c r="D4001" t="e">
        <f t="shared" ca="1" si="124"/>
        <v>#NAME?</v>
      </c>
      <c r="E4001" s="115" t="e">
        <f t="array" aca="1" ref="E4001" ca="1">IF(OR(C4000=0,AND(B4002=0,C4002=0)),"",IFERROR(INDEX($F$27:$F$36,MATCH(C4001,($F$27:$F$36)*($D$27:$D$36&lt;&gt;0),0)),IF(OR(AND(D4001=0,B4001=0,B4002&lt;&gt;0),AND(D4001*D4000&lt;0,B4001&lt;&gt;0)),IF(D4001=0,C4001,C4001*(1-ABS(D4001)/(ABS(D4001)+ABS(D4000)))+C4000*(1-ABS(D4000)/(ABS(D4001)+ABS(D4000)))),"")))</f>
        <v>#NAME?</v>
      </c>
    </row>
    <row r="4002" spans="2:5" x14ac:dyDescent="0.25">
      <c r="B4002" t="e">
        <f t="shared" ca="1" si="125"/>
        <v>#NAME?</v>
      </c>
      <c r="C4002">
        <v>3959</v>
      </c>
      <c r="D4002" t="e">
        <f t="shared" ca="1" si="124"/>
        <v>#NAME?</v>
      </c>
      <c r="E4002" s="115" t="e">
        <f t="array" aca="1" ref="E4002" ca="1">IF(OR(C4001=0,AND(B4003=0,C4003=0)),"",IFERROR(INDEX($F$27:$F$36,MATCH(C4002,($F$27:$F$36)*($D$27:$D$36&lt;&gt;0),0)),IF(OR(AND(D4002=0,B4002=0,B4003&lt;&gt;0),AND(D4002*D4001&lt;0,B4002&lt;&gt;0)),IF(D4002=0,C4002,C4002*(1-ABS(D4002)/(ABS(D4002)+ABS(D4001)))+C4001*(1-ABS(D4001)/(ABS(D4002)+ABS(D4001)))),"")))</f>
        <v>#NAME?</v>
      </c>
    </row>
    <row r="4003" spans="2:5" x14ac:dyDescent="0.25">
      <c r="B4003" t="e">
        <f t="shared" ca="1" si="125"/>
        <v>#NAME?</v>
      </c>
      <c r="C4003">
        <v>3960</v>
      </c>
      <c r="D4003" t="e">
        <f t="shared" ca="1" si="124"/>
        <v>#NAME?</v>
      </c>
      <c r="E4003" s="115" t="e">
        <f t="array" aca="1" ref="E4003" ca="1">IF(OR(C4002=0,AND(B4004=0,C4004=0)),"",IFERROR(INDEX($F$27:$F$36,MATCH(C4003,($F$27:$F$36)*($D$27:$D$36&lt;&gt;0),0)),IF(OR(AND(D4003=0,B4003=0,B4004&lt;&gt;0),AND(D4003*D4002&lt;0,B4003&lt;&gt;0)),IF(D4003=0,C4003,C4003*(1-ABS(D4003)/(ABS(D4003)+ABS(D4002)))+C4002*(1-ABS(D4002)/(ABS(D4003)+ABS(D4002)))),"")))</f>
        <v>#NAME?</v>
      </c>
    </row>
    <row r="4004" spans="2:5" x14ac:dyDescent="0.25">
      <c r="B4004" t="e">
        <f t="shared" ca="1" si="125"/>
        <v>#NAME?</v>
      </c>
      <c r="C4004">
        <v>3961</v>
      </c>
      <c r="D4004" t="e">
        <f t="shared" ca="1" si="124"/>
        <v>#NAME?</v>
      </c>
      <c r="E4004" s="115" t="e">
        <f t="array" aca="1" ref="E4004" ca="1">IF(OR(C4003=0,AND(B4005=0,C4005=0)),"",IFERROR(INDEX($F$27:$F$36,MATCH(C4004,($F$27:$F$36)*($D$27:$D$36&lt;&gt;0),0)),IF(OR(AND(D4004=0,B4004=0,B4005&lt;&gt;0),AND(D4004*D4003&lt;0,B4004&lt;&gt;0)),IF(D4004=0,C4004,C4004*(1-ABS(D4004)/(ABS(D4004)+ABS(D4003)))+C4003*(1-ABS(D4003)/(ABS(D4004)+ABS(D4003)))),"")))</f>
        <v>#NAME?</v>
      </c>
    </row>
    <row r="4005" spans="2:5" x14ac:dyDescent="0.25">
      <c r="B4005" t="e">
        <f t="shared" ca="1" si="125"/>
        <v>#NAME?</v>
      </c>
      <c r="C4005">
        <v>3962</v>
      </c>
      <c r="D4005" t="e">
        <f t="shared" ca="1" si="124"/>
        <v>#NAME?</v>
      </c>
      <c r="E4005" s="115" t="e">
        <f t="array" aca="1" ref="E4005" ca="1">IF(OR(C4004=0,AND(B4006=0,C4006=0)),"",IFERROR(INDEX($F$27:$F$36,MATCH(C4005,($F$27:$F$36)*($D$27:$D$36&lt;&gt;0),0)),IF(OR(AND(D4005=0,B4005=0,B4006&lt;&gt;0),AND(D4005*D4004&lt;0,B4005&lt;&gt;0)),IF(D4005=0,C4005,C4005*(1-ABS(D4005)/(ABS(D4005)+ABS(D4004)))+C4004*(1-ABS(D4004)/(ABS(D4005)+ABS(D4004)))),"")))</f>
        <v>#NAME?</v>
      </c>
    </row>
    <row r="4006" spans="2:5" x14ac:dyDescent="0.25">
      <c r="B4006" t="e">
        <f t="shared" ca="1" si="125"/>
        <v>#NAME?</v>
      </c>
      <c r="C4006">
        <v>3963</v>
      </c>
      <c r="D4006" t="e">
        <f t="shared" ca="1" si="124"/>
        <v>#NAME?</v>
      </c>
      <c r="E4006" s="115" t="e">
        <f t="array" aca="1" ref="E4006" ca="1">IF(OR(C4005=0,AND(B4007=0,C4007=0)),"",IFERROR(INDEX($F$27:$F$36,MATCH(C4006,($F$27:$F$36)*($D$27:$D$36&lt;&gt;0),0)),IF(OR(AND(D4006=0,B4006=0,B4007&lt;&gt;0),AND(D4006*D4005&lt;0,B4006&lt;&gt;0)),IF(D4006=0,C4006,C4006*(1-ABS(D4006)/(ABS(D4006)+ABS(D4005)))+C4005*(1-ABS(D4005)/(ABS(D4006)+ABS(D4005)))),"")))</f>
        <v>#NAME?</v>
      </c>
    </row>
    <row r="4007" spans="2:5" x14ac:dyDescent="0.25">
      <c r="B4007" t="e">
        <f t="shared" ca="1" si="125"/>
        <v>#NAME?</v>
      </c>
      <c r="C4007">
        <v>3964</v>
      </c>
      <c r="D4007" t="e">
        <f t="shared" ca="1" si="124"/>
        <v>#NAME?</v>
      </c>
      <c r="E4007" s="115" t="e">
        <f t="array" aca="1" ref="E4007" ca="1">IF(OR(C4006=0,AND(B4008=0,C4008=0)),"",IFERROR(INDEX($F$27:$F$36,MATCH(C4007,($F$27:$F$36)*($D$27:$D$36&lt;&gt;0),0)),IF(OR(AND(D4007=0,B4007=0,B4008&lt;&gt;0),AND(D4007*D4006&lt;0,B4007&lt;&gt;0)),IF(D4007=0,C4007,C4007*(1-ABS(D4007)/(ABS(D4007)+ABS(D4006)))+C4006*(1-ABS(D4006)/(ABS(D4007)+ABS(D4006)))),"")))</f>
        <v>#NAME?</v>
      </c>
    </row>
    <row r="4008" spans="2:5" x14ac:dyDescent="0.25">
      <c r="B4008" t="e">
        <f t="shared" ca="1" si="125"/>
        <v>#NAME?</v>
      </c>
      <c r="C4008">
        <v>3965</v>
      </c>
      <c r="D4008" t="e">
        <f t="shared" ca="1" si="124"/>
        <v>#NAME?</v>
      </c>
      <c r="E4008" s="115" t="e">
        <f t="array" aca="1" ref="E4008" ca="1">IF(OR(C4007=0,AND(B4009=0,C4009=0)),"",IFERROR(INDEX($F$27:$F$36,MATCH(C4008,($F$27:$F$36)*($D$27:$D$36&lt;&gt;0),0)),IF(OR(AND(D4008=0,B4008=0,B4009&lt;&gt;0),AND(D4008*D4007&lt;0,B4008&lt;&gt;0)),IF(D4008=0,C4008,C4008*(1-ABS(D4008)/(ABS(D4008)+ABS(D4007)))+C4007*(1-ABS(D4007)/(ABS(D4008)+ABS(D4007)))),"")))</f>
        <v>#NAME?</v>
      </c>
    </row>
    <row r="4009" spans="2:5" x14ac:dyDescent="0.25">
      <c r="B4009" t="e">
        <f t="shared" ca="1" si="125"/>
        <v>#NAME?</v>
      </c>
      <c r="C4009">
        <v>3966</v>
      </c>
      <c r="D4009" t="e">
        <f t="shared" ca="1" si="124"/>
        <v>#NAME?</v>
      </c>
      <c r="E4009" s="115" t="e">
        <f t="array" aca="1" ref="E4009" ca="1">IF(OR(C4008=0,AND(B4010=0,C4010=0)),"",IFERROR(INDEX($F$27:$F$36,MATCH(C4009,($F$27:$F$36)*($D$27:$D$36&lt;&gt;0),0)),IF(OR(AND(D4009=0,B4009=0,B4010&lt;&gt;0),AND(D4009*D4008&lt;0,B4009&lt;&gt;0)),IF(D4009=0,C4009,C4009*(1-ABS(D4009)/(ABS(D4009)+ABS(D4008)))+C4008*(1-ABS(D4008)/(ABS(D4009)+ABS(D4008)))),"")))</f>
        <v>#NAME?</v>
      </c>
    </row>
    <row r="4010" spans="2:5" x14ac:dyDescent="0.25">
      <c r="B4010" t="e">
        <f t="shared" ca="1" si="125"/>
        <v>#NAME?</v>
      </c>
      <c r="C4010">
        <v>3967</v>
      </c>
      <c r="D4010" t="e">
        <f t="shared" ca="1" si="124"/>
        <v>#NAME?</v>
      </c>
      <c r="E4010" s="115" t="e">
        <f t="array" aca="1" ref="E4010" ca="1">IF(OR(C4009=0,AND(B4011=0,C4011=0)),"",IFERROR(INDEX($F$27:$F$36,MATCH(C4010,($F$27:$F$36)*($D$27:$D$36&lt;&gt;0),0)),IF(OR(AND(D4010=0,B4010=0,B4011&lt;&gt;0),AND(D4010*D4009&lt;0,B4010&lt;&gt;0)),IF(D4010=0,C4010,C4010*(1-ABS(D4010)/(ABS(D4010)+ABS(D4009)))+C4009*(1-ABS(D4009)/(ABS(D4010)+ABS(D4009)))),"")))</f>
        <v>#NAME?</v>
      </c>
    </row>
    <row r="4011" spans="2:5" x14ac:dyDescent="0.25">
      <c r="B4011" t="e">
        <f t="shared" ca="1" si="125"/>
        <v>#NAME?</v>
      </c>
      <c r="C4011">
        <v>3968</v>
      </c>
      <c r="D4011" t="e">
        <f t="shared" ref="D4011:D4074" ca="1" si="126">SUMPRODUCT(--($J$27:$J$37&gt;0),--($C4011-$F$27:$F$37&gt;0),($D$27:$D$37),($C4011-$F$27:$F$37))+SUMPRODUCT(--($J$27:$J$37&lt;0),--($F$27:$F$37-$C4011&gt;0),($D$27:$D$37),($F$27:$F$37-$C4011))-SUMPRODUCT($D$27:$D$37,$E$27:$E$37)</f>
        <v>#NAME?</v>
      </c>
      <c r="E4011" s="115" t="e">
        <f t="array" aca="1" ref="E4011" ca="1">IF(OR(C4010=0,AND(B4012=0,C4012=0)),"",IFERROR(INDEX($F$27:$F$36,MATCH(C4011,($F$27:$F$36)*($D$27:$D$36&lt;&gt;0),0)),IF(OR(AND(D4011=0,B4011=0,B4012&lt;&gt;0),AND(D4011*D4010&lt;0,B4011&lt;&gt;0)),IF(D4011=0,C4011,C4011*(1-ABS(D4011)/(ABS(D4011)+ABS(D4010)))+C4010*(1-ABS(D4010)/(ABS(D4011)+ABS(D4010)))),"")))</f>
        <v>#NAME?</v>
      </c>
    </row>
    <row r="4012" spans="2:5" x14ac:dyDescent="0.25">
      <c r="B4012" t="e">
        <f t="shared" ref="B4012:B4075" ca="1" si="127">ROUND((D4012-D4011)/(C4012-C4011),12)</f>
        <v>#NAME?</v>
      </c>
      <c r="C4012">
        <v>3969</v>
      </c>
      <c r="D4012" t="e">
        <f t="shared" ca="1" si="126"/>
        <v>#NAME?</v>
      </c>
      <c r="E4012" s="115" t="e">
        <f t="array" aca="1" ref="E4012" ca="1">IF(OR(C4011=0,AND(B4013=0,C4013=0)),"",IFERROR(INDEX($F$27:$F$36,MATCH(C4012,($F$27:$F$36)*($D$27:$D$36&lt;&gt;0),0)),IF(OR(AND(D4012=0,B4012=0,B4013&lt;&gt;0),AND(D4012*D4011&lt;0,B4012&lt;&gt;0)),IF(D4012=0,C4012,C4012*(1-ABS(D4012)/(ABS(D4012)+ABS(D4011)))+C4011*(1-ABS(D4011)/(ABS(D4012)+ABS(D4011)))),"")))</f>
        <v>#NAME?</v>
      </c>
    </row>
    <row r="4013" spans="2:5" x14ac:dyDescent="0.25">
      <c r="B4013" t="e">
        <f t="shared" ca="1" si="127"/>
        <v>#NAME?</v>
      </c>
      <c r="C4013">
        <v>3970</v>
      </c>
      <c r="D4013" t="e">
        <f t="shared" ca="1" si="126"/>
        <v>#NAME?</v>
      </c>
      <c r="E4013" s="115" t="e">
        <f t="array" aca="1" ref="E4013" ca="1">IF(OR(C4012=0,AND(B4014=0,C4014=0)),"",IFERROR(INDEX($F$27:$F$36,MATCH(C4013,($F$27:$F$36)*($D$27:$D$36&lt;&gt;0),0)),IF(OR(AND(D4013=0,B4013=0,B4014&lt;&gt;0),AND(D4013*D4012&lt;0,B4013&lt;&gt;0)),IF(D4013=0,C4013,C4013*(1-ABS(D4013)/(ABS(D4013)+ABS(D4012)))+C4012*(1-ABS(D4012)/(ABS(D4013)+ABS(D4012)))),"")))</f>
        <v>#NAME?</v>
      </c>
    </row>
    <row r="4014" spans="2:5" x14ac:dyDescent="0.25">
      <c r="B4014" t="e">
        <f t="shared" ca="1" si="127"/>
        <v>#NAME?</v>
      </c>
      <c r="C4014">
        <v>3971</v>
      </c>
      <c r="D4014" t="e">
        <f t="shared" ca="1" si="126"/>
        <v>#NAME?</v>
      </c>
      <c r="E4014" s="115" t="e">
        <f t="array" aca="1" ref="E4014" ca="1">IF(OR(C4013=0,AND(B4015=0,C4015=0)),"",IFERROR(INDEX($F$27:$F$36,MATCH(C4014,($F$27:$F$36)*($D$27:$D$36&lt;&gt;0),0)),IF(OR(AND(D4014=0,B4014=0,B4015&lt;&gt;0),AND(D4014*D4013&lt;0,B4014&lt;&gt;0)),IF(D4014=0,C4014,C4014*(1-ABS(D4014)/(ABS(D4014)+ABS(D4013)))+C4013*(1-ABS(D4013)/(ABS(D4014)+ABS(D4013)))),"")))</f>
        <v>#NAME?</v>
      </c>
    </row>
    <row r="4015" spans="2:5" x14ac:dyDescent="0.25">
      <c r="B4015" t="e">
        <f t="shared" ca="1" si="127"/>
        <v>#NAME?</v>
      </c>
      <c r="C4015">
        <v>3972</v>
      </c>
      <c r="D4015" t="e">
        <f t="shared" ca="1" si="126"/>
        <v>#NAME?</v>
      </c>
      <c r="E4015" s="115" t="e">
        <f t="array" aca="1" ref="E4015" ca="1">IF(OR(C4014=0,AND(B4016=0,C4016=0)),"",IFERROR(INDEX($F$27:$F$36,MATCH(C4015,($F$27:$F$36)*($D$27:$D$36&lt;&gt;0),0)),IF(OR(AND(D4015=0,B4015=0,B4016&lt;&gt;0),AND(D4015*D4014&lt;0,B4015&lt;&gt;0)),IF(D4015=0,C4015,C4015*(1-ABS(D4015)/(ABS(D4015)+ABS(D4014)))+C4014*(1-ABS(D4014)/(ABS(D4015)+ABS(D4014)))),"")))</f>
        <v>#NAME?</v>
      </c>
    </row>
    <row r="4016" spans="2:5" x14ac:dyDescent="0.25">
      <c r="B4016" t="e">
        <f t="shared" ca="1" si="127"/>
        <v>#NAME?</v>
      </c>
      <c r="C4016">
        <v>3973</v>
      </c>
      <c r="D4016" t="e">
        <f t="shared" ca="1" si="126"/>
        <v>#NAME?</v>
      </c>
      <c r="E4016" s="115" t="e">
        <f t="array" aca="1" ref="E4016" ca="1">IF(OR(C4015=0,AND(B4017=0,C4017=0)),"",IFERROR(INDEX($F$27:$F$36,MATCH(C4016,($F$27:$F$36)*($D$27:$D$36&lt;&gt;0),0)),IF(OR(AND(D4016=0,B4016=0,B4017&lt;&gt;0),AND(D4016*D4015&lt;0,B4016&lt;&gt;0)),IF(D4016=0,C4016,C4016*(1-ABS(D4016)/(ABS(D4016)+ABS(D4015)))+C4015*(1-ABS(D4015)/(ABS(D4016)+ABS(D4015)))),"")))</f>
        <v>#NAME?</v>
      </c>
    </row>
    <row r="4017" spans="2:5" x14ac:dyDescent="0.25">
      <c r="B4017" t="e">
        <f t="shared" ca="1" si="127"/>
        <v>#NAME?</v>
      </c>
      <c r="C4017">
        <v>3974</v>
      </c>
      <c r="D4017" t="e">
        <f t="shared" ca="1" si="126"/>
        <v>#NAME?</v>
      </c>
      <c r="E4017" s="115" t="e">
        <f t="array" aca="1" ref="E4017" ca="1">IF(OR(C4016=0,AND(B4018=0,C4018=0)),"",IFERROR(INDEX($F$27:$F$36,MATCH(C4017,($F$27:$F$36)*($D$27:$D$36&lt;&gt;0),0)),IF(OR(AND(D4017=0,B4017=0,B4018&lt;&gt;0),AND(D4017*D4016&lt;0,B4017&lt;&gt;0)),IF(D4017=0,C4017,C4017*(1-ABS(D4017)/(ABS(D4017)+ABS(D4016)))+C4016*(1-ABS(D4016)/(ABS(D4017)+ABS(D4016)))),"")))</f>
        <v>#NAME?</v>
      </c>
    </row>
    <row r="4018" spans="2:5" x14ac:dyDescent="0.25">
      <c r="B4018" t="e">
        <f t="shared" ca="1" si="127"/>
        <v>#NAME?</v>
      </c>
      <c r="C4018">
        <v>3975</v>
      </c>
      <c r="D4018" t="e">
        <f t="shared" ca="1" si="126"/>
        <v>#NAME?</v>
      </c>
      <c r="E4018" s="115" t="e">
        <f t="array" aca="1" ref="E4018" ca="1">IF(OR(C4017=0,AND(B4019=0,C4019=0)),"",IFERROR(INDEX($F$27:$F$36,MATCH(C4018,($F$27:$F$36)*($D$27:$D$36&lt;&gt;0),0)),IF(OR(AND(D4018=0,B4018=0,B4019&lt;&gt;0),AND(D4018*D4017&lt;0,B4018&lt;&gt;0)),IF(D4018=0,C4018,C4018*(1-ABS(D4018)/(ABS(D4018)+ABS(D4017)))+C4017*(1-ABS(D4017)/(ABS(D4018)+ABS(D4017)))),"")))</f>
        <v>#NAME?</v>
      </c>
    </row>
    <row r="4019" spans="2:5" x14ac:dyDescent="0.25">
      <c r="B4019" t="e">
        <f t="shared" ca="1" si="127"/>
        <v>#NAME?</v>
      </c>
      <c r="C4019">
        <v>3976</v>
      </c>
      <c r="D4019" t="e">
        <f t="shared" ca="1" si="126"/>
        <v>#NAME?</v>
      </c>
      <c r="E4019" s="115" t="e">
        <f t="array" aca="1" ref="E4019" ca="1">IF(OR(C4018=0,AND(B4020=0,C4020=0)),"",IFERROR(INDEX($F$27:$F$36,MATCH(C4019,($F$27:$F$36)*($D$27:$D$36&lt;&gt;0),0)),IF(OR(AND(D4019=0,B4019=0,B4020&lt;&gt;0),AND(D4019*D4018&lt;0,B4019&lt;&gt;0)),IF(D4019=0,C4019,C4019*(1-ABS(D4019)/(ABS(D4019)+ABS(D4018)))+C4018*(1-ABS(D4018)/(ABS(D4019)+ABS(D4018)))),"")))</f>
        <v>#NAME?</v>
      </c>
    </row>
    <row r="4020" spans="2:5" x14ac:dyDescent="0.25">
      <c r="B4020" t="e">
        <f t="shared" ca="1" si="127"/>
        <v>#NAME?</v>
      </c>
      <c r="C4020">
        <v>3977</v>
      </c>
      <c r="D4020" t="e">
        <f t="shared" ca="1" si="126"/>
        <v>#NAME?</v>
      </c>
      <c r="E4020" s="115" t="e">
        <f t="array" aca="1" ref="E4020" ca="1">IF(OR(C4019=0,AND(B4021=0,C4021=0)),"",IFERROR(INDEX($F$27:$F$36,MATCH(C4020,($F$27:$F$36)*($D$27:$D$36&lt;&gt;0),0)),IF(OR(AND(D4020=0,B4020=0,B4021&lt;&gt;0),AND(D4020*D4019&lt;0,B4020&lt;&gt;0)),IF(D4020=0,C4020,C4020*(1-ABS(D4020)/(ABS(D4020)+ABS(D4019)))+C4019*(1-ABS(D4019)/(ABS(D4020)+ABS(D4019)))),"")))</f>
        <v>#NAME?</v>
      </c>
    </row>
    <row r="4021" spans="2:5" x14ac:dyDescent="0.25">
      <c r="B4021" t="e">
        <f t="shared" ca="1" si="127"/>
        <v>#NAME?</v>
      </c>
      <c r="C4021">
        <v>3978</v>
      </c>
      <c r="D4021" t="e">
        <f t="shared" ca="1" si="126"/>
        <v>#NAME?</v>
      </c>
      <c r="E4021" s="115" t="e">
        <f t="array" aca="1" ref="E4021" ca="1">IF(OR(C4020=0,AND(B4022=0,C4022=0)),"",IFERROR(INDEX($F$27:$F$36,MATCH(C4021,($F$27:$F$36)*($D$27:$D$36&lt;&gt;0),0)),IF(OR(AND(D4021=0,B4021=0,B4022&lt;&gt;0),AND(D4021*D4020&lt;0,B4021&lt;&gt;0)),IF(D4021=0,C4021,C4021*(1-ABS(D4021)/(ABS(D4021)+ABS(D4020)))+C4020*(1-ABS(D4020)/(ABS(D4021)+ABS(D4020)))),"")))</f>
        <v>#NAME?</v>
      </c>
    </row>
    <row r="4022" spans="2:5" x14ac:dyDescent="0.25">
      <c r="B4022" t="e">
        <f t="shared" ca="1" si="127"/>
        <v>#NAME?</v>
      </c>
      <c r="C4022">
        <v>3979</v>
      </c>
      <c r="D4022" t="e">
        <f t="shared" ca="1" si="126"/>
        <v>#NAME?</v>
      </c>
      <c r="E4022" s="115" t="e">
        <f t="array" aca="1" ref="E4022" ca="1">IF(OR(C4021=0,AND(B4023=0,C4023=0)),"",IFERROR(INDEX($F$27:$F$36,MATCH(C4022,($F$27:$F$36)*($D$27:$D$36&lt;&gt;0),0)),IF(OR(AND(D4022=0,B4022=0,B4023&lt;&gt;0),AND(D4022*D4021&lt;0,B4022&lt;&gt;0)),IF(D4022=0,C4022,C4022*(1-ABS(D4022)/(ABS(D4022)+ABS(D4021)))+C4021*(1-ABS(D4021)/(ABS(D4022)+ABS(D4021)))),"")))</f>
        <v>#NAME?</v>
      </c>
    </row>
    <row r="4023" spans="2:5" x14ac:dyDescent="0.25">
      <c r="B4023" t="e">
        <f t="shared" ca="1" si="127"/>
        <v>#NAME?</v>
      </c>
      <c r="C4023">
        <v>3980</v>
      </c>
      <c r="D4023" t="e">
        <f t="shared" ca="1" si="126"/>
        <v>#NAME?</v>
      </c>
      <c r="E4023" s="115" t="e">
        <f t="array" aca="1" ref="E4023" ca="1">IF(OR(C4022=0,AND(B4024=0,C4024=0)),"",IFERROR(INDEX($F$27:$F$36,MATCH(C4023,($F$27:$F$36)*($D$27:$D$36&lt;&gt;0),0)),IF(OR(AND(D4023=0,B4023=0,B4024&lt;&gt;0),AND(D4023*D4022&lt;0,B4023&lt;&gt;0)),IF(D4023=0,C4023,C4023*(1-ABS(D4023)/(ABS(D4023)+ABS(D4022)))+C4022*(1-ABS(D4022)/(ABS(D4023)+ABS(D4022)))),"")))</f>
        <v>#NAME?</v>
      </c>
    </row>
    <row r="4024" spans="2:5" x14ac:dyDescent="0.25">
      <c r="B4024" t="e">
        <f t="shared" ca="1" si="127"/>
        <v>#NAME?</v>
      </c>
      <c r="C4024">
        <v>3981</v>
      </c>
      <c r="D4024" t="e">
        <f t="shared" ca="1" si="126"/>
        <v>#NAME?</v>
      </c>
      <c r="E4024" s="115" t="e">
        <f t="array" aca="1" ref="E4024" ca="1">IF(OR(C4023=0,AND(B4025=0,C4025=0)),"",IFERROR(INDEX($F$27:$F$36,MATCH(C4024,($F$27:$F$36)*($D$27:$D$36&lt;&gt;0),0)),IF(OR(AND(D4024=0,B4024=0,B4025&lt;&gt;0),AND(D4024*D4023&lt;0,B4024&lt;&gt;0)),IF(D4024=0,C4024,C4024*(1-ABS(D4024)/(ABS(D4024)+ABS(D4023)))+C4023*(1-ABS(D4023)/(ABS(D4024)+ABS(D4023)))),"")))</f>
        <v>#NAME?</v>
      </c>
    </row>
    <row r="4025" spans="2:5" x14ac:dyDescent="0.25">
      <c r="B4025" t="e">
        <f t="shared" ca="1" si="127"/>
        <v>#NAME?</v>
      </c>
      <c r="C4025">
        <v>3982</v>
      </c>
      <c r="D4025" t="e">
        <f t="shared" ca="1" si="126"/>
        <v>#NAME?</v>
      </c>
      <c r="E4025" s="115" t="e">
        <f t="array" aca="1" ref="E4025" ca="1">IF(OR(C4024=0,AND(B4026=0,C4026=0)),"",IFERROR(INDEX($F$27:$F$36,MATCH(C4025,($F$27:$F$36)*($D$27:$D$36&lt;&gt;0),0)),IF(OR(AND(D4025=0,B4025=0,B4026&lt;&gt;0),AND(D4025*D4024&lt;0,B4025&lt;&gt;0)),IF(D4025=0,C4025,C4025*(1-ABS(D4025)/(ABS(D4025)+ABS(D4024)))+C4024*(1-ABS(D4024)/(ABS(D4025)+ABS(D4024)))),"")))</f>
        <v>#NAME?</v>
      </c>
    </row>
    <row r="4026" spans="2:5" x14ac:dyDescent="0.25">
      <c r="B4026" t="e">
        <f t="shared" ca="1" si="127"/>
        <v>#NAME?</v>
      </c>
      <c r="C4026">
        <v>3983</v>
      </c>
      <c r="D4026" t="e">
        <f t="shared" ca="1" si="126"/>
        <v>#NAME?</v>
      </c>
      <c r="E4026" s="115" t="e">
        <f t="array" aca="1" ref="E4026" ca="1">IF(OR(C4025=0,AND(B4027=0,C4027=0)),"",IFERROR(INDEX($F$27:$F$36,MATCH(C4026,($F$27:$F$36)*($D$27:$D$36&lt;&gt;0),0)),IF(OR(AND(D4026=0,B4026=0,B4027&lt;&gt;0),AND(D4026*D4025&lt;0,B4026&lt;&gt;0)),IF(D4026=0,C4026,C4026*(1-ABS(D4026)/(ABS(D4026)+ABS(D4025)))+C4025*(1-ABS(D4025)/(ABS(D4026)+ABS(D4025)))),"")))</f>
        <v>#NAME?</v>
      </c>
    </row>
    <row r="4027" spans="2:5" x14ac:dyDescent="0.25">
      <c r="B4027" t="e">
        <f t="shared" ca="1" si="127"/>
        <v>#NAME?</v>
      </c>
      <c r="C4027">
        <v>3984</v>
      </c>
      <c r="D4027" t="e">
        <f t="shared" ca="1" si="126"/>
        <v>#NAME?</v>
      </c>
      <c r="E4027" s="115" t="e">
        <f t="array" aca="1" ref="E4027" ca="1">IF(OR(C4026=0,AND(B4028=0,C4028=0)),"",IFERROR(INDEX($F$27:$F$36,MATCH(C4027,($F$27:$F$36)*($D$27:$D$36&lt;&gt;0),0)),IF(OR(AND(D4027=0,B4027=0,B4028&lt;&gt;0),AND(D4027*D4026&lt;0,B4027&lt;&gt;0)),IF(D4027=0,C4027,C4027*(1-ABS(D4027)/(ABS(D4027)+ABS(D4026)))+C4026*(1-ABS(D4026)/(ABS(D4027)+ABS(D4026)))),"")))</f>
        <v>#NAME?</v>
      </c>
    </row>
    <row r="4028" spans="2:5" x14ac:dyDescent="0.25">
      <c r="B4028" t="e">
        <f t="shared" ca="1" si="127"/>
        <v>#NAME?</v>
      </c>
      <c r="C4028">
        <v>3985</v>
      </c>
      <c r="D4028" t="e">
        <f t="shared" ca="1" si="126"/>
        <v>#NAME?</v>
      </c>
      <c r="E4028" s="115" t="e">
        <f t="array" aca="1" ref="E4028" ca="1">IF(OR(C4027=0,AND(B4029=0,C4029=0)),"",IFERROR(INDEX($F$27:$F$36,MATCH(C4028,($F$27:$F$36)*($D$27:$D$36&lt;&gt;0),0)),IF(OR(AND(D4028=0,B4028=0,B4029&lt;&gt;0),AND(D4028*D4027&lt;0,B4028&lt;&gt;0)),IF(D4028=0,C4028,C4028*(1-ABS(D4028)/(ABS(D4028)+ABS(D4027)))+C4027*(1-ABS(D4027)/(ABS(D4028)+ABS(D4027)))),"")))</f>
        <v>#NAME?</v>
      </c>
    </row>
    <row r="4029" spans="2:5" x14ac:dyDescent="0.25">
      <c r="B4029" t="e">
        <f t="shared" ca="1" si="127"/>
        <v>#NAME?</v>
      </c>
      <c r="C4029">
        <v>3986</v>
      </c>
      <c r="D4029" t="e">
        <f t="shared" ca="1" si="126"/>
        <v>#NAME?</v>
      </c>
      <c r="E4029" s="115" t="e">
        <f t="array" aca="1" ref="E4029" ca="1">IF(OR(C4028=0,AND(B4030=0,C4030=0)),"",IFERROR(INDEX($F$27:$F$36,MATCH(C4029,($F$27:$F$36)*($D$27:$D$36&lt;&gt;0),0)),IF(OR(AND(D4029=0,B4029=0,B4030&lt;&gt;0),AND(D4029*D4028&lt;0,B4029&lt;&gt;0)),IF(D4029=0,C4029,C4029*(1-ABS(D4029)/(ABS(D4029)+ABS(D4028)))+C4028*(1-ABS(D4028)/(ABS(D4029)+ABS(D4028)))),"")))</f>
        <v>#NAME?</v>
      </c>
    </row>
    <row r="4030" spans="2:5" x14ac:dyDescent="0.25">
      <c r="B4030" t="e">
        <f t="shared" ca="1" si="127"/>
        <v>#NAME?</v>
      </c>
      <c r="C4030">
        <v>3987</v>
      </c>
      <c r="D4030" t="e">
        <f t="shared" ca="1" si="126"/>
        <v>#NAME?</v>
      </c>
      <c r="E4030" s="115" t="e">
        <f t="array" aca="1" ref="E4030" ca="1">IF(OR(C4029=0,AND(B4031=0,C4031=0)),"",IFERROR(INDEX($F$27:$F$36,MATCH(C4030,($F$27:$F$36)*($D$27:$D$36&lt;&gt;0),0)),IF(OR(AND(D4030=0,B4030=0,B4031&lt;&gt;0),AND(D4030*D4029&lt;0,B4030&lt;&gt;0)),IF(D4030=0,C4030,C4030*(1-ABS(D4030)/(ABS(D4030)+ABS(D4029)))+C4029*(1-ABS(D4029)/(ABS(D4030)+ABS(D4029)))),"")))</f>
        <v>#NAME?</v>
      </c>
    </row>
    <row r="4031" spans="2:5" x14ac:dyDescent="0.25">
      <c r="B4031" t="e">
        <f t="shared" ca="1" si="127"/>
        <v>#NAME?</v>
      </c>
      <c r="C4031">
        <v>3988</v>
      </c>
      <c r="D4031" t="e">
        <f t="shared" ca="1" si="126"/>
        <v>#NAME?</v>
      </c>
      <c r="E4031" s="115" t="e">
        <f t="array" aca="1" ref="E4031" ca="1">IF(OR(C4030=0,AND(B4032=0,C4032=0)),"",IFERROR(INDEX($F$27:$F$36,MATCH(C4031,($F$27:$F$36)*($D$27:$D$36&lt;&gt;0),0)),IF(OR(AND(D4031=0,B4031=0,B4032&lt;&gt;0),AND(D4031*D4030&lt;0,B4031&lt;&gt;0)),IF(D4031=0,C4031,C4031*(1-ABS(D4031)/(ABS(D4031)+ABS(D4030)))+C4030*(1-ABS(D4030)/(ABS(D4031)+ABS(D4030)))),"")))</f>
        <v>#NAME?</v>
      </c>
    </row>
    <row r="4032" spans="2:5" x14ac:dyDescent="0.25">
      <c r="B4032" t="e">
        <f t="shared" ca="1" si="127"/>
        <v>#NAME?</v>
      </c>
      <c r="C4032">
        <v>3989</v>
      </c>
      <c r="D4032" t="e">
        <f t="shared" ca="1" si="126"/>
        <v>#NAME?</v>
      </c>
      <c r="E4032" s="115" t="e">
        <f t="array" aca="1" ref="E4032" ca="1">IF(OR(C4031=0,AND(B4033=0,C4033=0)),"",IFERROR(INDEX($F$27:$F$36,MATCH(C4032,($F$27:$F$36)*($D$27:$D$36&lt;&gt;0),0)),IF(OR(AND(D4032=0,B4032=0,B4033&lt;&gt;0),AND(D4032*D4031&lt;0,B4032&lt;&gt;0)),IF(D4032=0,C4032,C4032*(1-ABS(D4032)/(ABS(D4032)+ABS(D4031)))+C4031*(1-ABS(D4031)/(ABS(D4032)+ABS(D4031)))),"")))</f>
        <v>#NAME?</v>
      </c>
    </row>
    <row r="4033" spans="2:5" x14ac:dyDescent="0.25">
      <c r="B4033" t="e">
        <f t="shared" ca="1" si="127"/>
        <v>#NAME?</v>
      </c>
      <c r="C4033">
        <v>3990</v>
      </c>
      <c r="D4033" t="e">
        <f t="shared" ca="1" si="126"/>
        <v>#NAME?</v>
      </c>
      <c r="E4033" s="115" t="e">
        <f t="array" aca="1" ref="E4033" ca="1">IF(OR(C4032=0,AND(B4034=0,C4034=0)),"",IFERROR(INDEX($F$27:$F$36,MATCH(C4033,($F$27:$F$36)*($D$27:$D$36&lt;&gt;0),0)),IF(OR(AND(D4033=0,B4033=0,B4034&lt;&gt;0),AND(D4033*D4032&lt;0,B4033&lt;&gt;0)),IF(D4033=0,C4033,C4033*(1-ABS(D4033)/(ABS(D4033)+ABS(D4032)))+C4032*(1-ABS(D4032)/(ABS(D4033)+ABS(D4032)))),"")))</f>
        <v>#NAME?</v>
      </c>
    </row>
    <row r="4034" spans="2:5" x14ac:dyDescent="0.25">
      <c r="B4034" t="e">
        <f t="shared" ca="1" si="127"/>
        <v>#NAME?</v>
      </c>
      <c r="C4034">
        <v>3991</v>
      </c>
      <c r="D4034" t="e">
        <f t="shared" ca="1" si="126"/>
        <v>#NAME?</v>
      </c>
      <c r="E4034" s="115" t="e">
        <f t="array" aca="1" ref="E4034" ca="1">IF(OR(C4033=0,AND(B4035=0,C4035=0)),"",IFERROR(INDEX($F$27:$F$36,MATCH(C4034,($F$27:$F$36)*($D$27:$D$36&lt;&gt;0),0)),IF(OR(AND(D4034=0,B4034=0,B4035&lt;&gt;0),AND(D4034*D4033&lt;0,B4034&lt;&gt;0)),IF(D4034=0,C4034,C4034*(1-ABS(D4034)/(ABS(D4034)+ABS(D4033)))+C4033*(1-ABS(D4033)/(ABS(D4034)+ABS(D4033)))),"")))</f>
        <v>#NAME?</v>
      </c>
    </row>
    <row r="4035" spans="2:5" x14ac:dyDescent="0.25">
      <c r="B4035" t="e">
        <f t="shared" ca="1" si="127"/>
        <v>#NAME?</v>
      </c>
      <c r="C4035">
        <v>3992</v>
      </c>
      <c r="D4035" t="e">
        <f t="shared" ca="1" si="126"/>
        <v>#NAME?</v>
      </c>
      <c r="E4035" s="115" t="e">
        <f t="array" aca="1" ref="E4035" ca="1">IF(OR(C4034=0,AND(B4036=0,C4036=0)),"",IFERROR(INDEX($F$27:$F$36,MATCH(C4035,($F$27:$F$36)*($D$27:$D$36&lt;&gt;0),0)),IF(OR(AND(D4035=0,B4035=0,B4036&lt;&gt;0),AND(D4035*D4034&lt;0,B4035&lt;&gt;0)),IF(D4035=0,C4035,C4035*(1-ABS(D4035)/(ABS(D4035)+ABS(D4034)))+C4034*(1-ABS(D4034)/(ABS(D4035)+ABS(D4034)))),"")))</f>
        <v>#NAME?</v>
      </c>
    </row>
    <row r="4036" spans="2:5" x14ac:dyDescent="0.25">
      <c r="B4036" t="e">
        <f t="shared" ca="1" si="127"/>
        <v>#NAME?</v>
      </c>
      <c r="C4036">
        <v>3993</v>
      </c>
      <c r="D4036" t="e">
        <f t="shared" ca="1" si="126"/>
        <v>#NAME?</v>
      </c>
      <c r="E4036" s="115" t="e">
        <f t="array" aca="1" ref="E4036" ca="1">IF(OR(C4035=0,AND(B4037=0,C4037=0)),"",IFERROR(INDEX($F$27:$F$36,MATCH(C4036,($F$27:$F$36)*($D$27:$D$36&lt;&gt;0),0)),IF(OR(AND(D4036=0,B4036=0,B4037&lt;&gt;0),AND(D4036*D4035&lt;0,B4036&lt;&gt;0)),IF(D4036=0,C4036,C4036*(1-ABS(D4036)/(ABS(D4036)+ABS(D4035)))+C4035*(1-ABS(D4035)/(ABS(D4036)+ABS(D4035)))),"")))</f>
        <v>#NAME?</v>
      </c>
    </row>
    <row r="4037" spans="2:5" x14ac:dyDescent="0.25">
      <c r="B4037" t="e">
        <f t="shared" ca="1" si="127"/>
        <v>#NAME?</v>
      </c>
      <c r="C4037">
        <v>3994</v>
      </c>
      <c r="D4037" t="e">
        <f t="shared" ca="1" si="126"/>
        <v>#NAME?</v>
      </c>
      <c r="E4037" s="115" t="e">
        <f t="array" aca="1" ref="E4037" ca="1">IF(OR(C4036=0,AND(B4038=0,C4038=0)),"",IFERROR(INDEX($F$27:$F$36,MATCH(C4037,($F$27:$F$36)*($D$27:$D$36&lt;&gt;0),0)),IF(OR(AND(D4037=0,B4037=0,B4038&lt;&gt;0),AND(D4037*D4036&lt;0,B4037&lt;&gt;0)),IF(D4037=0,C4037,C4037*(1-ABS(D4037)/(ABS(D4037)+ABS(D4036)))+C4036*(1-ABS(D4036)/(ABS(D4037)+ABS(D4036)))),"")))</f>
        <v>#NAME?</v>
      </c>
    </row>
    <row r="4038" spans="2:5" x14ac:dyDescent="0.25">
      <c r="B4038" t="e">
        <f t="shared" ca="1" si="127"/>
        <v>#NAME?</v>
      </c>
      <c r="C4038">
        <v>3995</v>
      </c>
      <c r="D4038" t="e">
        <f t="shared" ca="1" si="126"/>
        <v>#NAME?</v>
      </c>
      <c r="E4038" s="115" t="e">
        <f t="array" aca="1" ref="E4038" ca="1">IF(OR(C4037=0,AND(B4039=0,C4039=0)),"",IFERROR(INDEX($F$27:$F$36,MATCH(C4038,($F$27:$F$36)*($D$27:$D$36&lt;&gt;0),0)),IF(OR(AND(D4038=0,B4038=0,B4039&lt;&gt;0),AND(D4038*D4037&lt;0,B4038&lt;&gt;0)),IF(D4038=0,C4038,C4038*(1-ABS(D4038)/(ABS(D4038)+ABS(D4037)))+C4037*(1-ABS(D4037)/(ABS(D4038)+ABS(D4037)))),"")))</f>
        <v>#NAME?</v>
      </c>
    </row>
    <row r="4039" spans="2:5" x14ac:dyDescent="0.25">
      <c r="B4039" t="e">
        <f t="shared" ca="1" si="127"/>
        <v>#NAME?</v>
      </c>
      <c r="C4039">
        <v>3996</v>
      </c>
      <c r="D4039" t="e">
        <f t="shared" ca="1" si="126"/>
        <v>#NAME?</v>
      </c>
      <c r="E4039" s="115" t="e">
        <f t="array" aca="1" ref="E4039" ca="1">IF(OR(C4038=0,AND(B4040=0,C4040=0)),"",IFERROR(INDEX($F$27:$F$36,MATCH(C4039,($F$27:$F$36)*($D$27:$D$36&lt;&gt;0),0)),IF(OR(AND(D4039=0,B4039=0,B4040&lt;&gt;0),AND(D4039*D4038&lt;0,B4039&lt;&gt;0)),IF(D4039=0,C4039,C4039*(1-ABS(D4039)/(ABS(D4039)+ABS(D4038)))+C4038*(1-ABS(D4038)/(ABS(D4039)+ABS(D4038)))),"")))</f>
        <v>#NAME?</v>
      </c>
    </row>
    <row r="4040" spans="2:5" x14ac:dyDescent="0.25">
      <c r="B4040" t="e">
        <f t="shared" ca="1" si="127"/>
        <v>#NAME?</v>
      </c>
      <c r="C4040">
        <v>3997</v>
      </c>
      <c r="D4040" t="e">
        <f t="shared" ca="1" si="126"/>
        <v>#NAME?</v>
      </c>
      <c r="E4040" s="115" t="e">
        <f t="array" aca="1" ref="E4040" ca="1">IF(OR(C4039=0,AND(B4041=0,C4041=0)),"",IFERROR(INDEX($F$27:$F$36,MATCH(C4040,($F$27:$F$36)*($D$27:$D$36&lt;&gt;0),0)),IF(OR(AND(D4040=0,B4040=0,B4041&lt;&gt;0),AND(D4040*D4039&lt;0,B4040&lt;&gt;0)),IF(D4040=0,C4040,C4040*(1-ABS(D4040)/(ABS(D4040)+ABS(D4039)))+C4039*(1-ABS(D4039)/(ABS(D4040)+ABS(D4039)))),"")))</f>
        <v>#NAME?</v>
      </c>
    </row>
    <row r="4041" spans="2:5" x14ac:dyDescent="0.25">
      <c r="B4041" t="e">
        <f t="shared" ca="1" si="127"/>
        <v>#NAME?</v>
      </c>
      <c r="C4041">
        <v>3998</v>
      </c>
      <c r="D4041" t="e">
        <f t="shared" ca="1" si="126"/>
        <v>#NAME?</v>
      </c>
      <c r="E4041" s="115" t="e">
        <f t="array" aca="1" ref="E4041" ca="1">IF(OR(C4040=0,AND(B4042=0,C4042=0)),"",IFERROR(INDEX($F$27:$F$36,MATCH(C4041,($F$27:$F$36)*($D$27:$D$36&lt;&gt;0),0)),IF(OR(AND(D4041=0,B4041=0,B4042&lt;&gt;0),AND(D4041*D4040&lt;0,B4041&lt;&gt;0)),IF(D4041=0,C4041,C4041*(1-ABS(D4041)/(ABS(D4041)+ABS(D4040)))+C4040*(1-ABS(D4040)/(ABS(D4041)+ABS(D4040)))),"")))</f>
        <v>#NAME?</v>
      </c>
    </row>
    <row r="4042" spans="2:5" x14ac:dyDescent="0.25">
      <c r="B4042" t="e">
        <f t="shared" ca="1" si="127"/>
        <v>#NAME?</v>
      </c>
      <c r="C4042">
        <v>3999</v>
      </c>
      <c r="D4042" t="e">
        <f t="shared" ca="1" si="126"/>
        <v>#NAME?</v>
      </c>
      <c r="E4042" s="115" t="e">
        <f t="array" aca="1" ref="E4042" ca="1">IF(OR(C4041=0,AND(B4043=0,C4043=0)),"",IFERROR(INDEX($F$27:$F$36,MATCH(C4042,($F$27:$F$36)*($D$27:$D$36&lt;&gt;0),0)),IF(OR(AND(D4042=0,B4042=0,B4043&lt;&gt;0),AND(D4042*D4041&lt;0,B4042&lt;&gt;0)),IF(D4042=0,C4042,C4042*(1-ABS(D4042)/(ABS(D4042)+ABS(D4041)))+C4041*(1-ABS(D4041)/(ABS(D4042)+ABS(D4041)))),"")))</f>
        <v>#NAME?</v>
      </c>
    </row>
    <row r="4043" spans="2:5" x14ac:dyDescent="0.25">
      <c r="B4043" t="e">
        <f t="shared" ca="1" si="127"/>
        <v>#NAME?</v>
      </c>
      <c r="C4043">
        <v>4000</v>
      </c>
      <c r="D4043" t="e">
        <f t="shared" ca="1" si="126"/>
        <v>#NAME?</v>
      </c>
      <c r="E4043" s="115" t="e">
        <f t="array" aca="1" ref="E4043" ca="1">IF(OR(C4042=0,AND(B4044=0,C4044=0)),"",IFERROR(INDEX($F$27:$F$36,MATCH(C4043,($F$27:$F$36)*($D$27:$D$36&lt;&gt;0),0)),IF(OR(AND(D4043=0,B4043=0,B4044&lt;&gt;0),AND(D4043*D4042&lt;0,B4043&lt;&gt;0)),IF(D4043=0,C4043,C4043*(1-ABS(D4043)/(ABS(D4043)+ABS(D4042)))+C4042*(1-ABS(D4042)/(ABS(D4043)+ABS(D4042)))),"")))</f>
        <v>#NAME?</v>
      </c>
    </row>
    <row r="4044" spans="2:5" x14ac:dyDescent="0.25">
      <c r="B4044" t="e">
        <f t="shared" ca="1" si="127"/>
        <v>#NAME?</v>
      </c>
      <c r="C4044">
        <v>4001</v>
      </c>
      <c r="D4044" t="e">
        <f t="shared" ca="1" si="126"/>
        <v>#NAME?</v>
      </c>
      <c r="E4044" s="115" t="e">
        <f t="array" aca="1" ref="E4044" ca="1">IF(OR(C4043=0,AND(B4045=0,C4045=0)),"",IFERROR(INDEX($F$27:$F$36,MATCH(C4044,($F$27:$F$36)*($D$27:$D$36&lt;&gt;0),0)),IF(OR(AND(D4044=0,B4044=0,B4045&lt;&gt;0),AND(D4044*D4043&lt;0,B4044&lt;&gt;0)),IF(D4044=0,C4044,C4044*(1-ABS(D4044)/(ABS(D4044)+ABS(D4043)))+C4043*(1-ABS(D4043)/(ABS(D4044)+ABS(D4043)))),"")))</f>
        <v>#NAME?</v>
      </c>
    </row>
    <row r="4045" spans="2:5" x14ac:dyDescent="0.25">
      <c r="B4045" t="e">
        <f t="shared" ca="1" si="127"/>
        <v>#NAME?</v>
      </c>
      <c r="C4045">
        <v>4002</v>
      </c>
      <c r="D4045" t="e">
        <f t="shared" ca="1" si="126"/>
        <v>#NAME?</v>
      </c>
      <c r="E4045" s="115" t="e">
        <f t="array" aca="1" ref="E4045" ca="1">IF(OR(C4044=0,AND(B4046=0,C4046=0)),"",IFERROR(INDEX($F$27:$F$36,MATCH(C4045,($F$27:$F$36)*($D$27:$D$36&lt;&gt;0),0)),IF(OR(AND(D4045=0,B4045=0,B4046&lt;&gt;0),AND(D4045*D4044&lt;0,B4045&lt;&gt;0)),IF(D4045=0,C4045,C4045*(1-ABS(D4045)/(ABS(D4045)+ABS(D4044)))+C4044*(1-ABS(D4044)/(ABS(D4045)+ABS(D4044)))),"")))</f>
        <v>#NAME?</v>
      </c>
    </row>
    <row r="4046" spans="2:5" x14ac:dyDescent="0.25">
      <c r="B4046" t="e">
        <f t="shared" ca="1" si="127"/>
        <v>#NAME?</v>
      </c>
      <c r="C4046">
        <v>4003</v>
      </c>
      <c r="D4046" t="e">
        <f t="shared" ca="1" si="126"/>
        <v>#NAME?</v>
      </c>
      <c r="E4046" s="115" t="e">
        <f t="array" aca="1" ref="E4046" ca="1">IF(OR(C4045=0,AND(B4047=0,C4047=0)),"",IFERROR(INDEX($F$27:$F$36,MATCH(C4046,($F$27:$F$36)*($D$27:$D$36&lt;&gt;0),0)),IF(OR(AND(D4046=0,B4046=0,B4047&lt;&gt;0),AND(D4046*D4045&lt;0,B4046&lt;&gt;0)),IF(D4046=0,C4046,C4046*(1-ABS(D4046)/(ABS(D4046)+ABS(D4045)))+C4045*(1-ABS(D4045)/(ABS(D4046)+ABS(D4045)))),"")))</f>
        <v>#NAME?</v>
      </c>
    </row>
    <row r="4047" spans="2:5" x14ac:dyDescent="0.25">
      <c r="B4047" t="e">
        <f t="shared" ca="1" si="127"/>
        <v>#NAME?</v>
      </c>
      <c r="C4047">
        <v>4004</v>
      </c>
      <c r="D4047" t="e">
        <f t="shared" ca="1" si="126"/>
        <v>#NAME?</v>
      </c>
      <c r="E4047" s="115" t="e">
        <f t="array" aca="1" ref="E4047" ca="1">IF(OR(C4046=0,AND(B4048=0,C4048=0)),"",IFERROR(INDEX($F$27:$F$36,MATCH(C4047,($F$27:$F$36)*($D$27:$D$36&lt;&gt;0),0)),IF(OR(AND(D4047=0,B4047=0,B4048&lt;&gt;0),AND(D4047*D4046&lt;0,B4047&lt;&gt;0)),IF(D4047=0,C4047,C4047*(1-ABS(D4047)/(ABS(D4047)+ABS(D4046)))+C4046*(1-ABS(D4046)/(ABS(D4047)+ABS(D4046)))),"")))</f>
        <v>#NAME?</v>
      </c>
    </row>
    <row r="4048" spans="2:5" x14ac:dyDescent="0.25">
      <c r="B4048" t="e">
        <f t="shared" ca="1" si="127"/>
        <v>#NAME?</v>
      </c>
      <c r="C4048">
        <v>4005</v>
      </c>
      <c r="D4048" t="e">
        <f t="shared" ca="1" si="126"/>
        <v>#NAME?</v>
      </c>
      <c r="E4048" s="115" t="e">
        <f t="array" aca="1" ref="E4048" ca="1">IF(OR(C4047=0,AND(B4049=0,C4049=0)),"",IFERROR(INDEX($F$27:$F$36,MATCH(C4048,($F$27:$F$36)*($D$27:$D$36&lt;&gt;0),0)),IF(OR(AND(D4048=0,B4048=0,B4049&lt;&gt;0),AND(D4048*D4047&lt;0,B4048&lt;&gt;0)),IF(D4048=0,C4048,C4048*(1-ABS(D4048)/(ABS(D4048)+ABS(D4047)))+C4047*(1-ABS(D4047)/(ABS(D4048)+ABS(D4047)))),"")))</f>
        <v>#NAME?</v>
      </c>
    </row>
    <row r="4049" spans="2:5" x14ac:dyDescent="0.25">
      <c r="B4049" t="e">
        <f t="shared" ca="1" si="127"/>
        <v>#NAME?</v>
      </c>
      <c r="C4049">
        <v>4006</v>
      </c>
      <c r="D4049" t="e">
        <f t="shared" ca="1" si="126"/>
        <v>#NAME?</v>
      </c>
      <c r="E4049" s="115" t="e">
        <f t="array" aca="1" ref="E4049" ca="1">IF(OR(C4048=0,AND(B4050=0,C4050=0)),"",IFERROR(INDEX($F$27:$F$36,MATCH(C4049,($F$27:$F$36)*($D$27:$D$36&lt;&gt;0),0)),IF(OR(AND(D4049=0,B4049=0,B4050&lt;&gt;0),AND(D4049*D4048&lt;0,B4049&lt;&gt;0)),IF(D4049=0,C4049,C4049*(1-ABS(D4049)/(ABS(D4049)+ABS(D4048)))+C4048*(1-ABS(D4048)/(ABS(D4049)+ABS(D4048)))),"")))</f>
        <v>#NAME?</v>
      </c>
    </row>
    <row r="4050" spans="2:5" x14ac:dyDescent="0.25">
      <c r="B4050" t="e">
        <f t="shared" ca="1" si="127"/>
        <v>#NAME?</v>
      </c>
      <c r="C4050">
        <v>4007</v>
      </c>
      <c r="D4050" t="e">
        <f t="shared" ca="1" si="126"/>
        <v>#NAME?</v>
      </c>
      <c r="E4050" s="115" t="e">
        <f t="array" aca="1" ref="E4050" ca="1">IF(OR(C4049=0,AND(B4051=0,C4051=0)),"",IFERROR(INDEX($F$27:$F$36,MATCH(C4050,($F$27:$F$36)*($D$27:$D$36&lt;&gt;0),0)),IF(OR(AND(D4050=0,B4050=0,B4051&lt;&gt;0),AND(D4050*D4049&lt;0,B4050&lt;&gt;0)),IF(D4050=0,C4050,C4050*(1-ABS(D4050)/(ABS(D4050)+ABS(D4049)))+C4049*(1-ABS(D4049)/(ABS(D4050)+ABS(D4049)))),"")))</f>
        <v>#NAME?</v>
      </c>
    </row>
    <row r="4051" spans="2:5" x14ac:dyDescent="0.25">
      <c r="B4051" t="e">
        <f t="shared" ca="1" si="127"/>
        <v>#NAME?</v>
      </c>
      <c r="C4051">
        <v>4008</v>
      </c>
      <c r="D4051" t="e">
        <f t="shared" ca="1" si="126"/>
        <v>#NAME?</v>
      </c>
      <c r="E4051" s="115" t="e">
        <f t="array" aca="1" ref="E4051" ca="1">IF(OR(C4050=0,AND(B4052=0,C4052=0)),"",IFERROR(INDEX($F$27:$F$36,MATCH(C4051,($F$27:$F$36)*($D$27:$D$36&lt;&gt;0),0)),IF(OR(AND(D4051=0,B4051=0,B4052&lt;&gt;0),AND(D4051*D4050&lt;0,B4051&lt;&gt;0)),IF(D4051=0,C4051,C4051*(1-ABS(D4051)/(ABS(D4051)+ABS(D4050)))+C4050*(1-ABS(D4050)/(ABS(D4051)+ABS(D4050)))),"")))</f>
        <v>#NAME?</v>
      </c>
    </row>
    <row r="4052" spans="2:5" x14ac:dyDescent="0.25">
      <c r="B4052" t="e">
        <f t="shared" ca="1" si="127"/>
        <v>#NAME?</v>
      </c>
      <c r="C4052">
        <v>4009</v>
      </c>
      <c r="D4052" t="e">
        <f t="shared" ca="1" si="126"/>
        <v>#NAME?</v>
      </c>
      <c r="E4052" s="115" t="e">
        <f t="array" aca="1" ref="E4052" ca="1">IF(OR(C4051=0,AND(B4053=0,C4053=0)),"",IFERROR(INDEX($F$27:$F$36,MATCH(C4052,($F$27:$F$36)*($D$27:$D$36&lt;&gt;0),0)),IF(OR(AND(D4052=0,B4052=0,B4053&lt;&gt;0),AND(D4052*D4051&lt;0,B4052&lt;&gt;0)),IF(D4052=0,C4052,C4052*(1-ABS(D4052)/(ABS(D4052)+ABS(D4051)))+C4051*(1-ABS(D4051)/(ABS(D4052)+ABS(D4051)))),"")))</f>
        <v>#NAME?</v>
      </c>
    </row>
    <row r="4053" spans="2:5" x14ac:dyDescent="0.25">
      <c r="B4053" t="e">
        <f t="shared" ca="1" si="127"/>
        <v>#NAME?</v>
      </c>
      <c r="C4053">
        <v>4010</v>
      </c>
      <c r="D4053" t="e">
        <f t="shared" ca="1" si="126"/>
        <v>#NAME?</v>
      </c>
      <c r="E4053" s="115" t="e">
        <f t="array" aca="1" ref="E4053" ca="1">IF(OR(C4052=0,AND(B4054=0,C4054=0)),"",IFERROR(INDEX($F$27:$F$36,MATCH(C4053,($F$27:$F$36)*($D$27:$D$36&lt;&gt;0),0)),IF(OR(AND(D4053=0,B4053=0,B4054&lt;&gt;0),AND(D4053*D4052&lt;0,B4053&lt;&gt;0)),IF(D4053=0,C4053,C4053*(1-ABS(D4053)/(ABS(D4053)+ABS(D4052)))+C4052*(1-ABS(D4052)/(ABS(D4053)+ABS(D4052)))),"")))</f>
        <v>#NAME?</v>
      </c>
    </row>
    <row r="4054" spans="2:5" x14ac:dyDescent="0.25">
      <c r="B4054" t="e">
        <f t="shared" ca="1" si="127"/>
        <v>#NAME?</v>
      </c>
      <c r="C4054">
        <v>4011</v>
      </c>
      <c r="D4054" t="e">
        <f t="shared" ca="1" si="126"/>
        <v>#NAME?</v>
      </c>
      <c r="E4054" s="115" t="e">
        <f t="array" aca="1" ref="E4054" ca="1">IF(OR(C4053=0,AND(B4055=0,C4055=0)),"",IFERROR(INDEX($F$27:$F$36,MATCH(C4054,($F$27:$F$36)*($D$27:$D$36&lt;&gt;0),0)),IF(OR(AND(D4054=0,B4054=0,B4055&lt;&gt;0),AND(D4054*D4053&lt;0,B4054&lt;&gt;0)),IF(D4054=0,C4054,C4054*(1-ABS(D4054)/(ABS(D4054)+ABS(D4053)))+C4053*(1-ABS(D4053)/(ABS(D4054)+ABS(D4053)))),"")))</f>
        <v>#NAME?</v>
      </c>
    </row>
    <row r="4055" spans="2:5" x14ac:dyDescent="0.25">
      <c r="B4055" t="e">
        <f t="shared" ca="1" si="127"/>
        <v>#NAME?</v>
      </c>
      <c r="C4055">
        <v>4012</v>
      </c>
      <c r="D4055" t="e">
        <f t="shared" ca="1" si="126"/>
        <v>#NAME?</v>
      </c>
      <c r="E4055" s="115" t="e">
        <f t="array" aca="1" ref="E4055" ca="1">IF(OR(C4054=0,AND(B4056=0,C4056=0)),"",IFERROR(INDEX($F$27:$F$36,MATCH(C4055,($F$27:$F$36)*($D$27:$D$36&lt;&gt;0),0)),IF(OR(AND(D4055=0,B4055=0,B4056&lt;&gt;0),AND(D4055*D4054&lt;0,B4055&lt;&gt;0)),IF(D4055=0,C4055,C4055*(1-ABS(D4055)/(ABS(D4055)+ABS(D4054)))+C4054*(1-ABS(D4054)/(ABS(D4055)+ABS(D4054)))),"")))</f>
        <v>#NAME?</v>
      </c>
    </row>
    <row r="4056" spans="2:5" x14ac:dyDescent="0.25">
      <c r="B4056" t="e">
        <f t="shared" ca="1" si="127"/>
        <v>#NAME?</v>
      </c>
      <c r="C4056">
        <v>4013</v>
      </c>
      <c r="D4056" t="e">
        <f t="shared" ca="1" si="126"/>
        <v>#NAME?</v>
      </c>
      <c r="E4056" s="115" t="e">
        <f t="array" aca="1" ref="E4056" ca="1">IF(OR(C4055=0,AND(B4057=0,C4057=0)),"",IFERROR(INDEX($F$27:$F$36,MATCH(C4056,($F$27:$F$36)*($D$27:$D$36&lt;&gt;0),0)),IF(OR(AND(D4056=0,B4056=0,B4057&lt;&gt;0),AND(D4056*D4055&lt;0,B4056&lt;&gt;0)),IF(D4056=0,C4056,C4056*(1-ABS(D4056)/(ABS(D4056)+ABS(D4055)))+C4055*(1-ABS(D4055)/(ABS(D4056)+ABS(D4055)))),"")))</f>
        <v>#NAME?</v>
      </c>
    </row>
    <row r="4057" spans="2:5" x14ac:dyDescent="0.25">
      <c r="B4057" t="e">
        <f t="shared" ca="1" si="127"/>
        <v>#NAME?</v>
      </c>
      <c r="C4057">
        <v>4014</v>
      </c>
      <c r="D4057" t="e">
        <f t="shared" ca="1" si="126"/>
        <v>#NAME?</v>
      </c>
      <c r="E4057" s="115" t="e">
        <f t="array" aca="1" ref="E4057" ca="1">IF(OR(C4056=0,AND(B4058=0,C4058=0)),"",IFERROR(INDEX($F$27:$F$36,MATCH(C4057,($F$27:$F$36)*($D$27:$D$36&lt;&gt;0),0)),IF(OR(AND(D4057=0,B4057=0,B4058&lt;&gt;0),AND(D4057*D4056&lt;0,B4057&lt;&gt;0)),IF(D4057=0,C4057,C4057*(1-ABS(D4057)/(ABS(D4057)+ABS(D4056)))+C4056*(1-ABS(D4056)/(ABS(D4057)+ABS(D4056)))),"")))</f>
        <v>#NAME?</v>
      </c>
    </row>
    <row r="4058" spans="2:5" x14ac:dyDescent="0.25">
      <c r="B4058" t="e">
        <f t="shared" ca="1" si="127"/>
        <v>#NAME?</v>
      </c>
      <c r="C4058">
        <v>4015</v>
      </c>
      <c r="D4058" t="e">
        <f t="shared" ca="1" si="126"/>
        <v>#NAME?</v>
      </c>
      <c r="E4058" s="115" t="e">
        <f t="array" aca="1" ref="E4058" ca="1">IF(OR(C4057=0,AND(B4059=0,C4059=0)),"",IFERROR(INDEX($F$27:$F$36,MATCH(C4058,($F$27:$F$36)*($D$27:$D$36&lt;&gt;0),0)),IF(OR(AND(D4058=0,B4058=0,B4059&lt;&gt;0),AND(D4058*D4057&lt;0,B4058&lt;&gt;0)),IF(D4058=0,C4058,C4058*(1-ABS(D4058)/(ABS(D4058)+ABS(D4057)))+C4057*(1-ABS(D4057)/(ABS(D4058)+ABS(D4057)))),"")))</f>
        <v>#NAME?</v>
      </c>
    </row>
    <row r="4059" spans="2:5" x14ac:dyDescent="0.25">
      <c r="B4059" t="e">
        <f t="shared" ca="1" si="127"/>
        <v>#NAME?</v>
      </c>
      <c r="C4059">
        <v>4016</v>
      </c>
      <c r="D4059" t="e">
        <f t="shared" ca="1" si="126"/>
        <v>#NAME?</v>
      </c>
      <c r="E4059" s="115" t="e">
        <f t="array" aca="1" ref="E4059" ca="1">IF(OR(C4058=0,AND(B4060=0,C4060=0)),"",IFERROR(INDEX($F$27:$F$36,MATCH(C4059,($F$27:$F$36)*($D$27:$D$36&lt;&gt;0),0)),IF(OR(AND(D4059=0,B4059=0,B4060&lt;&gt;0),AND(D4059*D4058&lt;0,B4059&lt;&gt;0)),IF(D4059=0,C4059,C4059*(1-ABS(D4059)/(ABS(D4059)+ABS(D4058)))+C4058*(1-ABS(D4058)/(ABS(D4059)+ABS(D4058)))),"")))</f>
        <v>#NAME?</v>
      </c>
    </row>
    <row r="4060" spans="2:5" x14ac:dyDescent="0.25">
      <c r="B4060" t="e">
        <f t="shared" ca="1" si="127"/>
        <v>#NAME?</v>
      </c>
      <c r="C4060">
        <v>4017</v>
      </c>
      <c r="D4060" t="e">
        <f t="shared" ca="1" si="126"/>
        <v>#NAME?</v>
      </c>
      <c r="E4060" s="115" t="e">
        <f t="array" aca="1" ref="E4060" ca="1">IF(OR(C4059=0,AND(B4061=0,C4061=0)),"",IFERROR(INDEX($F$27:$F$36,MATCH(C4060,($F$27:$F$36)*($D$27:$D$36&lt;&gt;0),0)),IF(OR(AND(D4060=0,B4060=0,B4061&lt;&gt;0),AND(D4060*D4059&lt;0,B4060&lt;&gt;0)),IF(D4060=0,C4060,C4060*(1-ABS(D4060)/(ABS(D4060)+ABS(D4059)))+C4059*(1-ABS(D4059)/(ABS(D4060)+ABS(D4059)))),"")))</f>
        <v>#NAME?</v>
      </c>
    </row>
    <row r="4061" spans="2:5" x14ac:dyDescent="0.25">
      <c r="B4061" t="e">
        <f t="shared" ca="1" si="127"/>
        <v>#NAME?</v>
      </c>
      <c r="C4061">
        <v>4018</v>
      </c>
      <c r="D4061" t="e">
        <f t="shared" ca="1" si="126"/>
        <v>#NAME?</v>
      </c>
      <c r="E4061" s="115" t="e">
        <f t="array" aca="1" ref="E4061" ca="1">IF(OR(C4060=0,AND(B4062=0,C4062=0)),"",IFERROR(INDEX($F$27:$F$36,MATCH(C4061,($F$27:$F$36)*($D$27:$D$36&lt;&gt;0),0)),IF(OR(AND(D4061=0,B4061=0,B4062&lt;&gt;0),AND(D4061*D4060&lt;0,B4061&lt;&gt;0)),IF(D4061=0,C4061,C4061*(1-ABS(D4061)/(ABS(D4061)+ABS(D4060)))+C4060*(1-ABS(D4060)/(ABS(D4061)+ABS(D4060)))),"")))</f>
        <v>#NAME?</v>
      </c>
    </row>
    <row r="4062" spans="2:5" x14ac:dyDescent="0.25">
      <c r="B4062" t="e">
        <f t="shared" ca="1" si="127"/>
        <v>#NAME?</v>
      </c>
      <c r="C4062">
        <v>4019</v>
      </c>
      <c r="D4062" t="e">
        <f t="shared" ca="1" si="126"/>
        <v>#NAME?</v>
      </c>
      <c r="E4062" s="115" t="e">
        <f t="array" aca="1" ref="E4062" ca="1">IF(OR(C4061=0,AND(B4063=0,C4063=0)),"",IFERROR(INDEX($F$27:$F$36,MATCH(C4062,($F$27:$F$36)*($D$27:$D$36&lt;&gt;0),0)),IF(OR(AND(D4062=0,B4062=0,B4063&lt;&gt;0),AND(D4062*D4061&lt;0,B4062&lt;&gt;0)),IF(D4062=0,C4062,C4062*(1-ABS(D4062)/(ABS(D4062)+ABS(D4061)))+C4061*(1-ABS(D4061)/(ABS(D4062)+ABS(D4061)))),"")))</f>
        <v>#NAME?</v>
      </c>
    </row>
    <row r="4063" spans="2:5" x14ac:dyDescent="0.25">
      <c r="B4063" t="e">
        <f t="shared" ca="1" si="127"/>
        <v>#NAME?</v>
      </c>
      <c r="C4063">
        <v>4020</v>
      </c>
      <c r="D4063" t="e">
        <f t="shared" ca="1" si="126"/>
        <v>#NAME?</v>
      </c>
      <c r="E4063" s="115" t="e">
        <f t="array" aca="1" ref="E4063" ca="1">IF(OR(C4062=0,AND(B4064=0,C4064=0)),"",IFERROR(INDEX($F$27:$F$36,MATCH(C4063,($F$27:$F$36)*($D$27:$D$36&lt;&gt;0),0)),IF(OR(AND(D4063=0,B4063=0,B4064&lt;&gt;0),AND(D4063*D4062&lt;0,B4063&lt;&gt;0)),IF(D4063=0,C4063,C4063*(1-ABS(D4063)/(ABS(D4063)+ABS(D4062)))+C4062*(1-ABS(D4062)/(ABS(D4063)+ABS(D4062)))),"")))</f>
        <v>#NAME?</v>
      </c>
    </row>
    <row r="4064" spans="2:5" x14ac:dyDescent="0.25">
      <c r="B4064" t="e">
        <f t="shared" ca="1" si="127"/>
        <v>#NAME?</v>
      </c>
      <c r="C4064">
        <v>4021</v>
      </c>
      <c r="D4064" t="e">
        <f t="shared" ca="1" si="126"/>
        <v>#NAME?</v>
      </c>
      <c r="E4064" s="115" t="e">
        <f t="array" aca="1" ref="E4064" ca="1">IF(OR(C4063=0,AND(B4065=0,C4065=0)),"",IFERROR(INDEX($F$27:$F$36,MATCH(C4064,($F$27:$F$36)*($D$27:$D$36&lt;&gt;0),0)),IF(OR(AND(D4064=0,B4064=0,B4065&lt;&gt;0),AND(D4064*D4063&lt;0,B4064&lt;&gt;0)),IF(D4064=0,C4064,C4064*(1-ABS(D4064)/(ABS(D4064)+ABS(D4063)))+C4063*(1-ABS(D4063)/(ABS(D4064)+ABS(D4063)))),"")))</f>
        <v>#NAME?</v>
      </c>
    </row>
    <row r="4065" spans="2:5" x14ac:dyDescent="0.25">
      <c r="B4065" t="e">
        <f t="shared" ca="1" si="127"/>
        <v>#NAME?</v>
      </c>
      <c r="C4065">
        <v>4022</v>
      </c>
      <c r="D4065" t="e">
        <f t="shared" ca="1" si="126"/>
        <v>#NAME?</v>
      </c>
      <c r="E4065" s="115" t="e">
        <f t="array" aca="1" ref="E4065" ca="1">IF(OR(C4064=0,AND(B4066=0,C4066=0)),"",IFERROR(INDEX($F$27:$F$36,MATCH(C4065,($F$27:$F$36)*($D$27:$D$36&lt;&gt;0),0)),IF(OR(AND(D4065=0,B4065=0,B4066&lt;&gt;0),AND(D4065*D4064&lt;0,B4065&lt;&gt;0)),IF(D4065=0,C4065,C4065*(1-ABS(D4065)/(ABS(D4065)+ABS(D4064)))+C4064*(1-ABS(D4064)/(ABS(D4065)+ABS(D4064)))),"")))</f>
        <v>#NAME?</v>
      </c>
    </row>
    <row r="4066" spans="2:5" x14ac:dyDescent="0.25">
      <c r="B4066" t="e">
        <f t="shared" ca="1" si="127"/>
        <v>#NAME?</v>
      </c>
      <c r="C4066">
        <v>4023</v>
      </c>
      <c r="D4066" t="e">
        <f t="shared" ca="1" si="126"/>
        <v>#NAME?</v>
      </c>
      <c r="E4066" s="115" t="e">
        <f t="array" aca="1" ref="E4066" ca="1">IF(OR(C4065=0,AND(B4067=0,C4067=0)),"",IFERROR(INDEX($F$27:$F$36,MATCH(C4066,($F$27:$F$36)*($D$27:$D$36&lt;&gt;0),0)),IF(OR(AND(D4066=0,B4066=0,B4067&lt;&gt;0),AND(D4066*D4065&lt;0,B4066&lt;&gt;0)),IF(D4066=0,C4066,C4066*(1-ABS(D4066)/(ABS(D4066)+ABS(D4065)))+C4065*(1-ABS(D4065)/(ABS(D4066)+ABS(D4065)))),"")))</f>
        <v>#NAME?</v>
      </c>
    </row>
    <row r="4067" spans="2:5" x14ac:dyDescent="0.25">
      <c r="B4067" t="e">
        <f t="shared" ca="1" si="127"/>
        <v>#NAME?</v>
      </c>
      <c r="C4067">
        <v>4024</v>
      </c>
      <c r="D4067" t="e">
        <f t="shared" ca="1" si="126"/>
        <v>#NAME?</v>
      </c>
      <c r="E4067" s="115" t="e">
        <f t="array" aca="1" ref="E4067" ca="1">IF(OR(C4066=0,AND(B4068=0,C4068=0)),"",IFERROR(INDEX($F$27:$F$36,MATCH(C4067,($F$27:$F$36)*($D$27:$D$36&lt;&gt;0),0)),IF(OR(AND(D4067=0,B4067=0,B4068&lt;&gt;0),AND(D4067*D4066&lt;0,B4067&lt;&gt;0)),IF(D4067=0,C4067,C4067*(1-ABS(D4067)/(ABS(D4067)+ABS(D4066)))+C4066*(1-ABS(D4066)/(ABS(D4067)+ABS(D4066)))),"")))</f>
        <v>#NAME?</v>
      </c>
    </row>
    <row r="4068" spans="2:5" x14ac:dyDescent="0.25">
      <c r="B4068" t="e">
        <f t="shared" ca="1" si="127"/>
        <v>#NAME?</v>
      </c>
      <c r="C4068">
        <v>4025</v>
      </c>
      <c r="D4068" t="e">
        <f t="shared" ca="1" si="126"/>
        <v>#NAME?</v>
      </c>
      <c r="E4068" s="115" t="e">
        <f t="array" aca="1" ref="E4068" ca="1">IF(OR(C4067=0,AND(B4069=0,C4069=0)),"",IFERROR(INDEX($F$27:$F$36,MATCH(C4068,($F$27:$F$36)*($D$27:$D$36&lt;&gt;0),0)),IF(OR(AND(D4068=0,B4068=0,B4069&lt;&gt;0),AND(D4068*D4067&lt;0,B4068&lt;&gt;0)),IF(D4068=0,C4068,C4068*(1-ABS(D4068)/(ABS(D4068)+ABS(D4067)))+C4067*(1-ABS(D4067)/(ABS(D4068)+ABS(D4067)))),"")))</f>
        <v>#NAME?</v>
      </c>
    </row>
    <row r="4069" spans="2:5" x14ac:dyDescent="0.25">
      <c r="B4069" t="e">
        <f t="shared" ca="1" si="127"/>
        <v>#NAME?</v>
      </c>
      <c r="C4069">
        <v>4026</v>
      </c>
      <c r="D4069" t="e">
        <f t="shared" ca="1" si="126"/>
        <v>#NAME?</v>
      </c>
      <c r="E4069" s="115" t="e">
        <f t="array" aca="1" ref="E4069" ca="1">IF(OR(C4068=0,AND(B4070=0,C4070=0)),"",IFERROR(INDEX($F$27:$F$36,MATCH(C4069,($F$27:$F$36)*($D$27:$D$36&lt;&gt;0),0)),IF(OR(AND(D4069=0,B4069=0,B4070&lt;&gt;0),AND(D4069*D4068&lt;0,B4069&lt;&gt;0)),IF(D4069=0,C4069,C4069*(1-ABS(D4069)/(ABS(D4069)+ABS(D4068)))+C4068*(1-ABS(D4068)/(ABS(D4069)+ABS(D4068)))),"")))</f>
        <v>#NAME?</v>
      </c>
    </row>
    <row r="4070" spans="2:5" x14ac:dyDescent="0.25">
      <c r="B4070" t="e">
        <f t="shared" ca="1" si="127"/>
        <v>#NAME?</v>
      </c>
      <c r="C4070">
        <v>4027</v>
      </c>
      <c r="D4070" t="e">
        <f t="shared" ca="1" si="126"/>
        <v>#NAME?</v>
      </c>
      <c r="E4070" s="115" t="e">
        <f t="array" aca="1" ref="E4070" ca="1">IF(OR(C4069=0,AND(B4071=0,C4071=0)),"",IFERROR(INDEX($F$27:$F$36,MATCH(C4070,($F$27:$F$36)*($D$27:$D$36&lt;&gt;0),0)),IF(OR(AND(D4070=0,B4070=0,B4071&lt;&gt;0),AND(D4070*D4069&lt;0,B4070&lt;&gt;0)),IF(D4070=0,C4070,C4070*(1-ABS(D4070)/(ABS(D4070)+ABS(D4069)))+C4069*(1-ABS(D4069)/(ABS(D4070)+ABS(D4069)))),"")))</f>
        <v>#NAME?</v>
      </c>
    </row>
    <row r="4071" spans="2:5" x14ac:dyDescent="0.25">
      <c r="B4071" t="e">
        <f t="shared" ca="1" si="127"/>
        <v>#NAME?</v>
      </c>
      <c r="C4071">
        <v>4028</v>
      </c>
      <c r="D4071" t="e">
        <f t="shared" ca="1" si="126"/>
        <v>#NAME?</v>
      </c>
      <c r="E4071" s="115" t="e">
        <f t="array" aca="1" ref="E4071" ca="1">IF(OR(C4070=0,AND(B4072=0,C4072=0)),"",IFERROR(INDEX($F$27:$F$36,MATCH(C4071,($F$27:$F$36)*($D$27:$D$36&lt;&gt;0),0)),IF(OR(AND(D4071=0,B4071=0,B4072&lt;&gt;0),AND(D4071*D4070&lt;0,B4071&lt;&gt;0)),IF(D4071=0,C4071,C4071*(1-ABS(D4071)/(ABS(D4071)+ABS(D4070)))+C4070*(1-ABS(D4070)/(ABS(D4071)+ABS(D4070)))),"")))</f>
        <v>#NAME?</v>
      </c>
    </row>
    <row r="4072" spans="2:5" x14ac:dyDescent="0.25">
      <c r="B4072" t="e">
        <f t="shared" ca="1" si="127"/>
        <v>#NAME?</v>
      </c>
      <c r="C4072">
        <v>4029</v>
      </c>
      <c r="D4072" t="e">
        <f t="shared" ca="1" si="126"/>
        <v>#NAME?</v>
      </c>
      <c r="E4072" s="115" t="e">
        <f t="array" aca="1" ref="E4072" ca="1">IF(OR(C4071=0,AND(B4073=0,C4073=0)),"",IFERROR(INDEX($F$27:$F$36,MATCH(C4072,($F$27:$F$36)*($D$27:$D$36&lt;&gt;0),0)),IF(OR(AND(D4072=0,B4072=0,B4073&lt;&gt;0),AND(D4072*D4071&lt;0,B4072&lt;&gt;0)),IF(D4072=0,C4072,C4072*(1-ABS(D4072)/(ABS(D4072)+ABS(D4071)))+C4071*(1-ABS(D4071)/(ABS(D4072)+ABS(D4071)))),"")))</f>
        <v>#NAME?</v>
      </c>
    </row>
    <row r="4073" spans="2:5" x14ac:dyDescent="0.25">
      <c r="B4073" t="e">
        <f t="shared" ca="1" si="127"/>
        <v>#NAME?</v>
      </c>
      <c r="C4073">
        <v>4030</v>
      </c>
      <c r="D4073" t="e">
        <f t="shared" ca="1" si="126"/>
        <v>#NAME?</v>
      </c>
      <c r="E4073" s="115" t="e">
        <f t="array" aca="1" ref="E4073" ca="1">IF(OR(C4072=0,AND(B4074=0,C4074=0)),"",IFERROR(INDEX($F$27:$F$36,MATCH(C4073,($F$27:$F$36)*($D$27:$D$36&lt;&gt;0),0)),IF(OR(AND(D4073=0,B4073=0,B4074&lt;&gt;0),AND(D4073*D4072&lt;0,B4073&lt;&gt;0)),IF(D4073=0,C4073,C4073*(1-ABS(D4073)/(ABS(D4073)+ABS(D4072)))+C4072*(1-ABS(D4072)/(ABS(D4073)+ABS(D4072)))),"")))</f>
        <v>#NAME?</v>
      </c>
    </row>
    <row r="4074" spans="2:5" x14ac:dyDescent="0.25">
      <c r="B4074" t="e">
        <f t="shared" ca="1" si="127"/>
        <v>#NAME?</v>
      </c>
      <c r="C4074">
        <v>4031</v>
      </c>
      <c r="D4074" t="e">
        <f t="shared" ca="1" si="126"/>
        <v>#NAME?</v>
      </c>
      <c r="E4074" s="115" t="e">
        <f t="array" aca="1" ref="E4074" ca="1">IF(OR(C4073=0,AND(B4075=0,C4075=0)),"",IFERROR(INDEX($F$27:$F$36,MATCH(C4074,($F$27:$F$36)*($D$27:$D$36&lt;&gt;0),0)),IF(OR(AND(D4074=0,B4074=0,B4075&lt;&gt;0),AND(D4074*D4073&lt;0,B4074&lt;&gt;0)),IF(D4074=0,C4074,C4074*(1-ABS(D4074)/(ABS(D4074)+ABS(D4073)))+C4073*(1-ABS(D4073)/(ABS(D4074)+ABS(D4073)))),"")))</f>
        <v>#NAME?</v>
      </c>
    </row>
    <row r="4075" spans="2:5" x14ac:dyDescent="0.25">
      <c r="B4075" t="e">
        <f t="shared" ca="1" si="127"/>
        <v>#NAME?</v>
      </c>
      <c r="C4075">
        <v>4032</v>
      </c>
      <c r="D4075" t="e">
        <f t="shared" ref="D4075:D4138" ca="1" si="128">SUMPRODUCT(--($J$27:$J$37&gt;0),--($C4075-$F$27:$F$37&gt;0),($D$27:$D$37),($C4075-$F$27:$F$37))+SUMPRODUCT(--($J$27:$J$37&lt;0),--($F$27:$F$37-$C4075&gt;0),($D$27:$D$37),($F$27:$F$37-$C4075))-SUMPRODUCT($D$27:$D$37,$E$27:$E$37)</f>
        <v>#NAME?</v>
      </c>
      <c r="E4075" s="115" t="e">
        <f t="array" aca="1" ref="E4075" ca="1">IF(OR(C4074=0,AND(B4076=0,C4076=0)),"",IFERROR(INDEX($F$27:$F$36,MATCH(C4075,($F$27:$F$36)*($D$27:$D$36&lt;&gt;0),0)),IF(OR(AND(D4075=0,B4075=0,B4076&lt;&gt;0),AND(D4075*D4074&lt;0,B4075&lt;&gt;0)),IF(D4075=0,C4075,C4075*(1-ABS(D4075)/(ABS(D4075)+ABS(D4074)))+C4074*(1-ABS(D4074)/(ABS(D4075)+ABS(D4074)))),"")))</f>
        <v>#NAME?</v>
      </c>
    </row>
    <row r="4076" spans="2:5" x14ac:dyDescent="0.25">
      <c r="B4076" t="e">
        <f t="shared" ref="B4076:B4139" ca="1" si="129">ROUND((D4076-D4075)/(C4076-C4075),12)</f>
        <v>#NAME?</v>
      </c>
      <c r="C4076">
        <v>4033</v>
      </c>
      <c r="D4076" t="e">
        <f t="shared" ca="1" si="128"/>
        <v>#NAME?</v>
      </c>
      <c r="E4076" s="115" t="e">
        <f t="array" aca="1" ref="E4076" ca="1">IF(OR(C4075=0,AND(B4077=0,C4077=0)),"",IFERROR(INDEX($F$27:$F$36,MATCH(C4076,($F$27:$F$36)*($D$27:$D$36&lt;&gt;0),0)),IF(OR(AND(D4076=0,B4076=0,B4077&lt;&gt;0),AND(D4076*D4075&lt;0,B4076&lt;&gt;0)),IF(D4076=0,C4076,C4076*(1-ABS(D4076)/(ABS(D4076)+ABS(D4075)))+C4075*(1-ABS(D4075)/(ABS(D4076)+ABS(D4075)))),"")))</f>
        <v>#NAME?</v>
      </c>
    </row>
    <row r="4077" spans="2:5" x14ac:dyDescent="0.25">
      <c r="B4077" t="e">
        <f t="shared" ca="1" si="129"/>
        <v>#NAME?</v>
      </c>
      <c r="C4077">
        <v>4034</v>
      </c>
      <c r="D4077" t="e">
        <f t="shared" ca="1" si="128"/>
        <v>#NAME?</v>
      </c>
      <c r="E4077" s="115" t="e">
        <f t="array" aca="1" ref="E4077" ca="1">IF(OR(C4076=0,AND(B4078=0,C4078=0)),"",IFERROR(INDEX($F$27:$F$36,MATCH(C4077,($F$27:$F$36)*($D$27:$D$36&lt;&gt;0),0)),IF(OR(AND(D4077=0,B4077=0,B4078&lt;&gt;0),AND(D4077*D4076&lt;0,B4077&lt;&gt;0)),IF(D4077=0,C4077,C4077*(1-ABS(D4077)/(ABS(D4077)+ABS(D4076)))+C4076*(1-ABS(D4076)/(ABS(D4077)+ABS(D4076)))),"")))</f>
        <v>#NAME?</v>
      </c>
    </row>
    <row r="4078" spans="2:5" x14ac:dyDescent="0.25">
      <c r="B4078" t="e">
        <f t="shared" ca="1" si="129"/>
        <v>#NAME?</v>
      </c>
      <c r="C4078">
        <v>4035</v>
      </c>
      <c r="D4078" t="e">
        <f t="shared" ca="1" si="128"/>
        <v>#NAME?</v>
      </c>
      <c r="E4078" s="115" t="e">
        <f t="array" aca="1" ref="E4078" ca="1">IF(OR(C4077=0,AND(B4079=0,C4079=0)),"",IFERROR(INDEX($F$27:$F$36,MATCH(C4078,($F$27:$F$36)*($D$27:$D$36&lt;&gt;0),0)),IF(OR(AND(D4078=0,B4078=0,B4079&lt;&gt;0),AND(D4078*D4077&lt;0,B4078&lt;&gt;0)),IF(D4078=0,C4078,C4078*(1-ABS(D4078)/(ABS(D4078)+ABS(D4077)))+C4077*(1-ABS(D4077)/(ABS(D4078)+ABS(D4077)))),"")))</f>
        <v>#NAME?</v>
      </c>
    </row>
    <row r="4079" spans="2:5" x14ac:dyDescent="0.25">
      <c r="B4079" t="e">
        <f t="shared" ca="1" si="129"/>
        <v>#NAME?</v>
      </c>
      <c r="C4079">
        <v>4036</v>
      </c>
      <c r="D4079" t="e">
        <f t="shared" ca="1" si="128"/>
        <v>#NAME?</v>
      </c>
      <c r="E4079" s="115" t="e">
        <f t="array" aca="1" ref="E4079" ca="1">IF(OR(C4078=0,AND(B4080=0,C4080=0)),"",IFERROR(INDEX($F$27:$F$36,MATCH(C4079,($F$27:$F$36)*($D$27:$D$36&lt;&gt;0),0)),IF(OR(AND(D4079=0,B4079=0,B4080&lt;&gt;0),AND(D4079*D4078&lt;0,B4079&lt;&gt;0)),IF(D4079=0,C4079,C4079*(1-ABS(D4079)/(ABS(D4079)+ABS(D4078)))+C4078*(1-ABS(D4078)/(ABS(D4079)+ABS(D4078)))),"")))</f>
        <v>#NAME?</v>
      </c>
    </row>
    <row r="4080" spans="2:5" x14ac:dyDescent="0.25">
      <c r="B4080" t="e">
        <f t="shared" ca="1" si="129"/>
        <v>#NAME?</v>
      </c>
      <c r="C4080">
        <v>4037</v>
      </c>
      <c r="D4080" t="e">
        <f t="shared" ca="1" si="128"/>
        <v>#NAME?</v>
      </c>
      <c r="E4080" s="115" t="e">
        <f t="array" aca="1" ref="E4080" ca="1">IF(OR(C4079=0,AND(B4081=0,C4081=0)),"",IFERROR(INDEX($F$27:$F$36,MATCH(C4080,($F$27:$F$36)*($D$27:$D$36&lt;&gt;0),0)),IF(OR(AND(D4080=0,B4080=0,B4081&lt;&gt;0),AND(D4080*D4079&lt;0,B4080&lt;&gt;0)),IF(D4080=0,C4080,C4080*(1-ABS(D4080)/(ABS(D4080)+ABS(D4079)))+C4079*(1-ABS(D4079)/(ABS(D4080)+ABS(D4079)))),"")))</f>
        <v>#NAME?</v>
      </c>
    </row>
    <row r="4081" spans="2:5" x14ac:dyDescent="0.25">
      <c r="B4081" t="e">
        <f t="shared" ca="1" si="129"/>
        <v>#NAME?</v>
      </c>
      <c r="C4081">
        <v>4038</v>
      </c>
      <c r="D4081" t="e">
        <f t="shared" ca="1" si="128"/>
        <v>#NAME?</v>
      </c>
      <c r="E4081" s="115" t="e">
        <f t="array" aca="1" ref="E4081" ca="1">IF(OR(C4080=0,AND(B4082=0,C4082=0)),"",IFERROR(INDEX($F$27:$F$36,MATCH(C4081,($F$27:$F$36)*($D$27:$D$36&lt;&gt;0),0)),IF(OR(AND(D4081=0,B4081=0,B4082&lt;&gt;0),AND(D4081*D4080&lt;0,B4081&lt;&gt;0)),IF(D4081=0,C4081,C4081*(1-ABS(D4081)/(ABS(D4081)+ABS(D4080)))+C4080*(1-ABS(D4080)/(ABS(D4081)+ABS(D4080)))),"")))</f>
        <v>#NAME?</v>
      </c>
    </row>
    <row r="4082" spans="2:5" x14ac:dyDescent="0.25">
      <c r="B4082" t="e">
        <f t="shared" ca="1" si="129"/>
        <v>#NAME?</v>
      </c>
      <c r="C4082">
        <v>4039</v>
      </c>
      <c r="D4082" t="e">
        <f t="shared" ca="1" si="128"/>
        <v>#NAME?</v>
      </c>
      <c r="E4082" s="115" t="e">
        <f t="array" aca="1" ref="E4082" ca="1">IF(OR(C4081=0,AND(B4083=0,C4083=0)),"",IFERROR(INDEX($F$27:$F$36,MATCH(C4082,($F$27:$F$36)*($D$27:$D$36&lt;&gt;0),0)),IF(OR(AND(D4082=0,B4082=0,B4083&lt;&gt;0),AND(D4082*D4081&lt;0,B4082&lt;&gt;0)),IF(D4082=0,C4082,C4082*(1-ABS(D4082)/(ABS(D4082)+ABS(D4081)))+C4081*(1-ABS(D4081)/(ABS(D4082)+ABS(D4081)))),"")))</f>
        <v>#NAME?</v>
      </c>
    </row>
    <row r="4083" spans="2:5" x14ac:dyDescent="0.25">
      <c r="B4083" t="e">
        <f t="shared" ca="1" si="129"/>
        <v>#NAME?</v>
      </c>
      <c r="C4083">
        <v>4040</v>
      </c>
      <c r="D4083" t="e">
        <f t="shared" ca="1" si="128"/>
        <v>#NAME?</v>
      </c>
      <c r="E4083" s="115" t="e">
        <f t="array" aca="1" ref="E4083" ca="1">IF(OR(C4082=0,AND(B4084=0,C4084=0)),"",IFERROR(INDEX($F$27:$F$36,MATCH(C4083,($F$27:$F$36)*($D$27:$D$36&lt;&gt;0),0)),IF(OR(AND(D4083=0,B4083=0,B4084&lt;&gt;0),AND(D4083*D4082&lt;0,B4083&lt;&gt;0)),IF(D4083=0,C4083,C4083*(1-ABS(D4083)/(ABS(D4083)+ABS(D4082)))+C4082*(1-ABS(D4082)/(ABS(D4083)+ABS(D4082)))),"")))</f>
        <v>#NAME?</v>
      </c>
    </row>
    <row r="4084" spans="2:5" x14ac:dyDescent="0.25">
      <c r="B4084" t="e">
        <f t="shared" ca="1" si="129"/>
        <v>#NAME?</v>
      </c>
      <c r="C4084">
        <v>4041</v>
      </c>
      <c r="D4084" t="e">
        <f t="shared" ca="1" si="128"/>
        <v>#NAME?</v>
      </c>
      <c r="E4084" s="115" t="e">
        <f t="array" aca="1" ref="E4084" ca="1">IF(OR(C4083=0,AND(B4085=0,C4085=0)),"",IFERROR(INDEX($F$27:$F$36,MATCH(C4084,($F$27:$F$36)*($D$27:$D$36&lt;&gt;0),0)),IF(OR(AND(D4084=0,B4084=0,B4085&lt;&gt;0),AND(D4084*D4083&lt;0,B4084&lt;&gt;0)),IF(D4084=0,C4084,C4084*(1-ABS(D4084)/(ABS(D4084)+ABS(D4083)))+C4083*(1-ABS(D4083)/(ABS(D4084)+ABS(D4083)))),"")))</f>
        <v>#NAME?</v>
      </c>
    </row>
    <row r="4085" spans="2:5" x14ac:dyDescent="0.25">
      <c r="B4085" t="e">
        <f t="shared" ca="1" si="129"/>
        <v>#NAME?</v>
      </c>
      <c r="C4085">
        <v>4042</v>
      </c>
      <c r="D4085" t="e">
        <f t="shared" ca="1" si="128"/>
        <v>#NAME?</v>
      </c>
      <c r="E4085" s="115" t="e">
        <f t="array" aca="1" ref="E4085" ca="1">IF(OR(C4084=0,AND(B4086=0,C4086=0)),"",IFERROR(INDEX($F$27:$F$36,MATCH(C4085,($F$27:$F$36)*($D$27:$D$36&lt;&gt;0),0)),IF(OR(AND(D4085=0,B4085=0,B4086&lt;&gt;0),AND(D4085*D4084&lt;0,B4085&lt;&gt;0)),IF(D4085=0,C4085,C4085*(1-ABS(D4085)/(ABS(D4085)+ABS(D4084)))+C4084*(1-ABS(D4084)/(ABS(D4085)+ABS(D4084)))),"")))</f>
        <v>#NAME?</v>
      </c>
    </row>
    <row r="4086" spans="2:5" x14ac:dyDescent="0.25">
      <c r="B4086" t="e">
        <f t="shared" ca="1" si="129"/>
        <v>#NAME?</v>
      </c>
      <c r="C4086">
        <v>4043</v>
      </c>
      <c r="D4086" t="e">
        <f t="shared" ca="1" si="128"/>
        <v>#NAME?</v>
      </c>
      <c r="E4086" s="115" t="e">
        <f t="array" aca="1" ref="E4086" ca="1">IF(OR(C4085=0,AND(B4087=0,C4087=0)),"",IFERROR(INDEX($F$27:$F$36,MATCH(C4086,($F$27:$F$36)*($D$27:$D$36&lt;&gt;0),0)),IF(OR(AND(D4086=0,B4086=0,B4087&lt;&gt;0),AND(D4086*D4085&lt;0,B4086&lt;&gt;0)),IF(D4086=0,C4086,C4086*(1-ABS(D4086)/(ABS(D4086)+ABS(D4085)))+C4085*(1-ABS(D4085)/(ABS(D4086)+ABS(D4085)))),"")))</f>
        <v>#NAME?</v>
      </c>
    </row>
    <row r="4087" spans="2:5" x14ac:dyDescent="0.25">
      <c r="B4087" t="e">
        <f t="shared" ca="1" si="129"/>
        <v>#NAME?</v>
      </c>
      <c r="C4087">
        <v>4044</v>
      </c>
      <c r="D4087" t="e">
        <f t="shared" ca="1" si="128"/>
        <v>#NAME?</v>
      </c>
      <c r="E4087" s="115" t="e">
        <f t="array" aca="1" ref="E4087" ca="1">IF(OR(C4086=0,AND(B4088=0,C4088=0)),"",IFERROR(INDEX($F$27:$F$36,MATCH(C4087,($F$27:$F$36)*($D$27:$D$36&lt;&gt;0),0)),IF(OR(AND(D4087=0,B4087=0,B4088&lt;&gt;0),AND(D4087*D4086&lt;0,B4087&lt;&gt;0)),IF(D4087=0,C4087,C4087*(1-ABS(D4087)/(ABS(D4087)+ABS(D4086)))+C4086*(1-ABS(D4086)/(ABS(D4087)+ABS(D4086)))),"")))</f>
        <v>#NAME?</v>
      </c>
    </row>
    <row r="4088" spans="2:5" x14ac:dyDescent="0.25">
      <c r="B4088" t="e">
        <f t="shared" ca="1" si="129"/>
        <v>#NAME?</v>
      </c>
      <c r="C4088">
        <v>4045</v>
      </c>
      <c r="D4088" t="e">
        <f t="shared" ca="1" si="128"/>
        <v>#NAME?</v>
      </c>
      <c r="E4088" s="115" t="e">
        <f t="array" aca="1" ref="E4088" ca="1">IF(OR(C4087=0,AND(B4089=0,C4089=0)),"",IFERROR(INDEX($F$27:$F$36,MATCH(C4088,($F$27:$F$36)*($D$27:$D$36&lt;&gt;0),0)),IF(OR(AND(D4088=0,B4088=0,B4089&lt;&gt;0),AND(D4088*D4087&lt;0,B4088&lt;&gt;0)),IF(D4088=0,C4088,C4088*(1-ABS(D4088)/(ABS(D4088)+ABS(D4087)))+C4087*(1-ABS(D4087)/(ABS(D4088)+ABS(D4087)))),"")))</f>
        <v>#NAME?</v>
      </c>
    </row>
    <row r="4089" spans="2:5" x14ac:dyDescent="0.25">
      <c r="B4089" t="e">
        <f t="shared" ca="1" si="129"/>
        <v>#NAME?</v>
      </c>
      <c r="C4089">
        <v>4046</v>
      </c>
      <c r="D4089" t="e">
        <f t="shared" ca="1" si="128"/>
        <v>#NAME?</v>
      </c>
      <c r="E4089" s="115" t="e">
        <f t="array" aca="1" ref="E4089" ca="1">IF(OR(C4088=0,AND(B4090=0,C4090=0)),"",IFERROR(INDEX($F$27:$F$36,MATCH(C4089,($F$27:$F$36)*($D$27:$D$36&lt;&gt;0),0)),IF(OR(AND(D4089=0,B4089=0,B4090&lt;&gt;0),AND(D4089*D4088&lt;0,B4089&lt;&gt;0)),IF(D4089=0,C4089,C4089*(1-ABS(D4089)/(ABS(D4089)+ABS(D4088)))+C4088*(1-ABS(D4088)/(ABS(D4089)+ABS(D4088)))),"")))</f>
        <v>#NAME?</v>
      </c>
    </row>
    <row r="4090" spans="2:5" x14ac:dyDescent="0.25">
      <c r="B4090" t="e">
        <f t="shared" ca="1" si="129"/>
        <v>#NAME?</v>
      </c>
      <c r="C4090">
        <v>4047</v>
      </c>
      <c r="D4090" t="e">
        <f t="shared" ca="1" si="128"/>
        <v>#NAME?</v>
      </c>
      <c r="E4090" s="115" t="e">
        <f t="array" aca="1" ref="E4090" ca="1">IF(OR(C4089=0,AND(B4091=0,C4091=0)),"",IFERROR(INDEX($F$27:$F$36,MATCH(C4090,($F$27:$F$36)*($D$27:$D$36&lt;&gt;0),0)),IF(OR(AND(D4090=0,B4090=0,B4091&lt;&gt;0),AND(D4090*D4089&lt;0,B4090&lt;&gt;0)),IF(D4090=0,C4090,C4090*(1-ABS(D4090)/(ABS(D4090)+ABS(D4089)))+C4089*(1-ABS(D4089)/(ABS(D4090)+ABS(D4089)))),"")))</f>
        <v>#NAME?</v>
      </c>
    </row>
    <row r="4091" spans="2:5" x14ac:dyDescent="0.25">
      <c r="B4091" t="e">
        <f t="shared" ca="1" si="129"/>
        <v>#NAME?</v>
      </c>
      <c r="C4091">
        <v>4048</v>
      </c>
      <c r="D4091" t="e">
        <f t="shared" ca="1" si="128"/>
        <v>#NAME?</v>
      </c>
      <c r="E4091" s="115" t="e">
        <f t="array" aca="1" ref="E4091" ca="1">IF(OR(C4090=0,AND(B4092=0,C4092=0)),"",IFERROR(INDEX($F$27:$F$36,MATCH(C4091,($F$27:$F$36)*($D$27:$D$36&lt;&gt;0),0)),IF(OR(AND(D4091=0,B4091=0,B4092&lt;&gt;0),AND(D4091*D4090&lt;0,B4091&lt;&gt;0)),IF(D4091=0,C4091,C4091*(1-ABS(D4091)/(ABS(D4091)+ABS(D4090)))+C4090*(1-ABS(D4090)/(ABS(D4091)+ABS(D4090)))),"")))</f>
        <v>#NAME?</v>
      </c>
    </row>
    <row r="4092" spans="2:5" x14ac:dyDescent="0.25">
      <c r="B4092" t="e">
        <f t="shared" ca="1" si="129"/>
        <v>#NAME?</v>
      </c>
      <c r="C4092">
        <v>4049</v>
      </c>
      <c r="D4092" t="e">
        <f t="shared" ca="1" si="128"/>
        <v>#NAME?</v>
      </c>
      <c r="E4092" s="115" t="e">
        <f t="array" aca="1" ref="E4092" ca="1">IF(OR(C4091=0,AND(B4093=0,C4093=0)),"",IFERROR(INDEX($F$27:$F$36,MATCH(C4092,($F$27:$F$36)*($D$27:$D$36&lt;&gt;0),0)),IF(OR(AND(D4092=0,B4092=0,B4093&lt;&gt;0),AND(D4092*D4091&lt;0,B4092&lt;&gt;0)),IF(D4092=0,C4092,C4092*(1-ABS(D4092)/(ABS(D4092)+ABS(D4091)))+C4091*(1-ABS(D4091)/(ABS(D4092)+ABS(D4091)))),"")))</f>
        <v>#NAME?</v>
      </c>
    </row>
    <row r="4093" spans="2:5" x14ac:dyDescent="0.25">
      <c r="B4093" t="e">
        <f t="shared" ca="1" si="129"/>
        <v>#NAME?</v>
      </c>
      <c r="C4093">
        <v>4050</v>
      </c>
      <c r="D4093" t="e">
        <f t="shared" ca="1" si="128"/>
        <v>#NAME?</v>
      </c>
      <c r="E4093" s="115" t="e">
        <f t="array" aca="1" ref="E4093" ca="1">IF(OR(C4092=0,AND(B4094=0,C4094=0)),"",IFERROR(INDEX($F$27:$F$36,MATCH(C4093,($F$27:$F$36)*($D$27:$D$36&lt;&gt;0),0)),IF(OR(AND(D4093=0,B4093=0,B4094&lt;&gt;0),AND(D4093*D4092&lt;0,B4093&lt;&gt;0)),IF(D4093=0,C4093,C4093*(1-ABS(D4093)/(ABS(D4093)+ABS(D4092)))+C4092*(1-ABS(D4092)/(ABS(D4093)+ABS(D4092)))),"")))</f>
        <v>#NAME?</v>
      </c>
    </row>
    <row r="4094" spans="2:5" x14ac:dyDescent="0.25">
      <c r="B4094" t="e">
        <f t="shared" ca="1" si="129"/>
        <v>#NAME?</v>
      </c>
      <c r="C4094">
        <v>4051</v>
      </c>
      <c r="D4094" t="e">
        <f t="shared" ca="1" si="128"/>
        <v>#NAME?</v>
      </c>
      <c r="E4094" s="115" t="e">
        <f t="array" aca="1" ref="E4094" ca="1">IF(OR(C4093=0,AND(B4095=0,C4095=0)),"",IFERROR(INDEX($F$27:$F$36,MATCH(C4094,($F$27:$F$36)*($D$27:$D$36&lt;&gt;0),0)),IF(OR(AND(D4094=0,B4094=0,B4095&lt;&gt;0),AND(D4094*D4093&lt;0,B4094&lt;&gt;0)),IF(D4094=0,C4094,C4094*(1-ABS(D4094)/(ABS(D4094)+ABS(D4093)))+C4093*(1-ABS(D4093)/(ABS(D4094)+ABS(D4093)))),"")))</f>
        <v>#NAME?</v>
      </c>
    </row>
    <row r="4095" spans="2:5" x14ac:dyDescent="0.25">
      <c r="B4095" t="e">
        <f t="shared" ca="1" si="129"/>
        <v>#NAME?</v>
      </c>
      <c r="C4095">
        <v>4052</v>
      </c>
      <c r="D4095" t="e">
        <f t="shared" ca="1" si="128"/>
        <v>#NAME?</v>
      </c>
      <c r="E4095" s="115" t="e">
        <f t="array" aca="1" ref="E4095" ca="1">IF(OR(C4094=0,AND(B4096=0,C4096=0)),"",IFERROR(INDEX($F$27:$F$36,MATCH(C4095,($F$27:$F$36)*($D$27:$D$36&lt;&gt;0),0)),IF(OR(AND(D4095=0,B4095=0,B4096&lt;&gt;0),AND(D4095*D4094&lt;0,B4095&lt;&gt;0)),IF(D4095=0,C4095,C4095*(1-ABS(D4095)/(ABS(D4095)+ABS(D4094)))+C4094*(1-ABS(D4094)/(ABS(D4095)+ABS(D4094)))),"")))</f>
        <v>#NAME?</v>
      </c>
    </row>
    <row r="4096" spans="2:5" x14ac:dyDescent="0.25">
      <c r="B4096" t="e">
        <f t="shared" ca="1" si="129"/>
        <v>#NAME?</v>
      </c>
      <c r="C4096">
        <v>4053</v>
      </c>
      <c r="D4096" t="e">
        <f t="shared" ca="1" si="128"/>
        <v>#NAME?</v>
      </c>
      <c r="E4096" s="115" t="e">
        <f t="array" aca="1" ref="E4096" ca="1">IF(OR(C4095=0,AND(B4097=0,C4097=0)),"",IFERROR(INDEX($F$27:$F$36,MATCH(C4096,($F$27:$F$36)*($D$27:$D$36&lt;&gt;0),0)),IF(OR(AND(D4096=0,B4096=0,B4097&lt;&gt;0),AND(D4096*D4095&lt;0,B4096&lt;&gt;0)),IF(D4096=0,C4096,C4096*(1-ABS(D4096)/(ABS(D4096)+ABS(D4095)))+C4095*(1-ABS(D4095)/(ABS(D4096)+ABS(D4095)))),"")))</f>
        <v>#NAME?</v>
      </c>
    </row>
    <row r="4097" spans="2:5" x14ac:dyDescent="0.25">
      <c r="B4097" t="e">
        <f t="shared" ca="1" si="129"/>
        <v>#NAME?</v>
      </c>
      <c r="C4097">
        <v>4054</v>
      </c>
      <c r="D4097" t="e">
        <f t="shared" ca="1" si="128"/>
        <v>#NAME?</v>
      </c>
      <c r="E4097" s="115" t="e">
        <f t="array" aca="1" ref="E4097" ca="1">IF(OR(C4096=0,AND(B4098=0,C4098=0)),"",IFERROR(INDEX($F$27:$F$36,MATCH(C4097,($F$27:$F$36)*($D$27:$D$36&lt;&gt;0),0)),IF(OR(AND(D4097=0,B4097=0,B4098&lt;&gt;0),AND(D4097*D4096&lt;0,B4097&lt;&gt;0)),IF(D4097=0,C4097,C4097*(1-ABS(D4097)/(ABS(D4097)+ABS(D4096)))+C4096*(1-ABS(D4096)/(ABS(D4097)+ABS(D4096)))),"")))</f>
        <v>#NAME?</v>
      </c>
    </row>
    <row r="4098" spans="2:5" x14ac:dyDescent="0.25">
      <c r="B4098" t="e">
        <f t="shared" ca="1" si="129"/>
        <v>#NAME?</v>
      </c>
      <c r="C4098">
        <v>4055</v>
      </c>
      <c r="D4098" t="e">
        <f t="shared" ca="1" si="128"/>
        <v>#NAME?</v>
      </c>
      <c r="E4098" s="115" t="e">
        <f t="array" aca="1" ref="E4098" ca="1">IF(OR(C4097=0,AND(B4099=0,C4099=0)),"",IFERROR(INDEX($F$27:$F$36,MATCH(C4098,($F$27:$F$36)*($D$27:$D$36&lt;&gt;0),0)),IF(OR(AND(D4098=0,B4098=0,B4099&lt;&gt;0),AND(D4098*D4097&lt;0,B4098&lt;&gt;0)),IF(D4098=0,C4098,C4098*(1-ABS(D4098)/(ABS(D4098)+ABS(D4097)))+C4097*(1-ABS(D4097)/(ABS(D4098)+ABS(D4097)))),"")))</f>
        <v>#NAME?</v>
      </c>
    </row>
    <row r="4099" spans="2:5" x14ac:dyDescent="0.25">
      <c r="B4099" t="e">
        <f t="shared" ca="1" si="129"/>
        <v>#NAME?</v>
      </c>
      <c r="C4099">
        <v>4056</v>
      </c>
      <c r="D4099" t="e">
        <f t="shared" ca="1" si="128"/>
        <v>#NAME?</v>
      </c>
      <c r="E4099" s="115" t="e">
        <f t="array" aca="1" ref="E4099" ca="1">IF(OR(C4098=0,AND(B4100=0,C4100=0)),"",IFERROR(INDEX($F$27:$F$36,MATCH(C4099,($F$27:$F$36)*($D$27:$D$36&lt;&gt;0),0)),IF(OR(AND(D4099=0,B4099=0,B4100&lt;&gt;0),AND(D4099*D4098&lt;0,B4099&lt;&gt;0)),IF(D4099=0,C4099,C4099*(1-ABS(D4099)/(ABS(D4099)+ABS(D4098)))+C4098*(1-ABS(D4098)/(ABS(D4099)+ABS(D4098)))),"")))</f>
        <v>#NAME?</v>
      </c>
    </row>
    <row r="4100" spans="2:5" x14ac:dyDescent="0.25">
      <c r="B4100" t="e">
        <f t="shared" ca="1" si="129"/>
        <v>#NAME?</v>
      </c>
      <c r="C4100">
        <v>4057</v>
      </c>
      <c r="D4100" t="e">
        <f t="shared" ca="1" si="128"/>
        <v>#NAME?</v>
      </c>
      <c r="E4100" s="115" t="e">
        <f t="array" aca="1" ref="E4100" ca="1">IF(OR(C4099=0,AND(B4101=0,C4101=0)),"",IFERROR(INDEX($F$27:$F$36,MATCH(C4100,($F$27:$F$36)*($D$27:$D$36&lt;&gt;0),0)),IF(OR(AND(D4100=0,B4100=0,B4101&lt;&gt;0),AND(D4100*D4099&lt;0,B4100&lt;&gt;0)),IF(D4100=0,C4100,C4100*(1-ABS(D4100)/(ABS(D4100)+ABS(D4099)))+C4099*(1-ABS(D4099)/(ABS(D4100)+ABS(D4099)))),"")))</f>
        <v>#NAME?</v>
      </c>
    </row>
    <row r="4101" spans="2:5" x14ac:dyDescent="0.25">
      <c r="B4101" t="e">
        <f t="shared" ca="1" si="129"/>
        <v>#NAME?</v>
      </c>
      <c r="C4101">
        <v>4058</v>
      </c>
      <c r="D4101" t="e">
        <f t="shared" ca="1" si="128"/>
        <v>#NAME?</v>
      </c>
      <c r="E4101" s="115" t="e">
        <f t="array" aca="1" ref="E4101" ca="1">IF(OR(C4100=0,AND(B4102=0,C4102=0)),"",IFERROR(INDEX($F$27:$F$36,MATCH(C4101,($F$27:$F$36)*($D$27:$D$36&lt;&gt;0),0)),IF(OR(AND(D4101=0,B4101=0,B4102&lt;&gt;0),AND(D4101*D4100&lt;0,B4101&lt;&gt;0)),IF(D4101=0,C4101,C4101*(1-ABS(D4101)/(ABS(D4101)+ABS(D4100)))+C4100*(1-ABS(D4100)/(ABS(D4101)+ABS(D4100)))),"")))</f>
        <v>#NAME?</v>
      </c>
    </row>
    <row r="4102" spans="2:5" x14ac:dyDescent="0.25">
      <c r="B4102" t="e">
        <f t="shared" ca="1" si="129"/>
        <v>#NAME?</v>
      </c>
      <c r="C4102">
        <v>4059</v>
      </c>
      <c r="D4102" t="e">
        <f t="shared" ca="1" si="128"/>
        <v>#NAME?</v>
      </c>
      <c r="E4102" s="115" t="e">
        <f t="array" aca="1" ref="E4102" ca="1">IF(OR(C4101=0,AND(B4103=0,C4103=0)),"",IFERROR(INDEX($F$27:$F$36,MATCH(C4102,($F$27:$F$36)*($D$27:$D$36&lt;&gt;0),0)),IF(OR(AND(D4102=0,B4102=0,B4103&lt;&gt;0),AND(D4102*D4101&lt;0,B4102&lt;&gt;0)),IF(D4102=0,C4102,C4102*(1-ABS(D4102)/(ABS(D4102)+ABS(D4101)))+C4101*(1-ABS(D4101)/(ABS(D4102)+ABS(D4101)))),"")))</f>
        <v>#NAME?</v>
      </c>
    </row>
    <row r="4103" spans="2:5" x14ac:dyDescent="0.25">
      <c r="B4103" t="e">
        <f t="shared" ca="1" si="129"/>
        <v>#NAME?</v>
      </c>
      <c r="C4103">
        <v>4060</v>
      </c>
      <c r="D4103" t="e">
        <f t="shared" ca="1" si="128"/>
        <v>#NAME?</v>
      </c>
      <c r="E4103" s="115" t="e">
        <f t="array" aca="1" ref="E4103" ca="1">IF(OR(C4102=0,AND(B4104=0,C4104=0)),"",IFERROR(INDEX($F$27:$F$36,MATCH(C4103,($F$27:$F$36)*($D$27:$D$36&lt;&gt;0),0)),IF(OR(AND(D4103=0,B4103=0,B4104&lt;&gt;0),AND(D4103*D4102&lt;0,B4103&lt;&gt;0)),IF(D4103=0,C4103,C4103*(1-ABS(D4103)/(ABS(D4103)+ABS(D4102)))+C4102*(1-ABS(D4102)/(ABS(D4103)+ABS(D4102)))),"")))</f>
        <v>#NAME?</v>
      </c>
    </row>
    <row r="4104" spans="2:5" x14ac:dyDescent="0.25">
      <c r="B4104" t="e">
        <f t="shared" ca="1" si="129"/>
        <v>#NAME?</v>
      </c>
      <c r="C4104">
        <v>4061</v>
      </c>
      <c r="D4104" t="e">
        <f t="shared" ca="1" si="128"/>
        <v>#NAME?</v>
      </c>
      <c r="E4104" s="115" t="e">
        <f t="array" aca="1" ref="E4104" ca="1">IF(OR(C4103=0,AND(B4105=0,C4105=0)),"",IFERROR(INDEX($F$27:$F$36,MATCH(C4104,($F$27:$F$36)*($D$27:$D$36&lt;&gt;0),0)),IF(OR(AND(D4104=0,B4104=0,B4105&lt;&gt;0),AND(D4104*D4103&lt;0,B4104&lt;&gt;0)),IF(D4104=0,C4104,C4104*(1-ABS(D4104)/(ABS(D4104)+ABS(D4103)))+C4103*(1-ABS(D4103)/(ABS(D4104)+ABS(D4103)))),"")))</f>
        <v>#NAME?</v>
      </c>
    </row>
    <row r="4105" spans="2:5" x14ac:dyDescent="0.25">
      <c r="B4105" t="e">
        <f t="shared" ca="1" si="129"/>
        <v>#NAME?</v>
      </c>
      <c r="C4105">
        <v>4062</v>
      </c>
      <c r="D4105" t="e">
        <f t="shared" ca="1" si="128"/>
        <v>#NAME?</v>
      </c>
      <c r="E4105" s="115" t="e">
        <f t="array" aca="1" ref="E4105" ca="1">IF(OR(C4104=0,AND(B4106=0,C4106=0)),"",IFERROR(INDEX($F$27:$F$36,MATCH(C4105,($F$27:$F$36)*($D$27:$D$36&lt;&gt;0),0)),IF(OR(AND(D4105=0,B4105=0,B4106&lt;&gt;0),AND(D4105*D4104&lt;0,B4105&lt;&gt;0)),IF(D4105=0,C4105,C4105*(1-ABS(D4105)/(ABS(D4105)+ABS(D4104)))+C4104*(1-ABS(D4104)/(ABS(D4105)+ABS(D4104)))),"")))</f>
        <v>#NAME?</v>
      </c>
    </row>
    <row r="4106" spans="2:5" x14ac:dyDescent="0.25">
      <c r="B4106" t="e">
        <f t="shared" ca="1" si="129"/>
        <v>#NAME?</v>
      </c>
      <c r="C4106">
        <v>4063</v>
      </c>
      <c r="D4106" t="e">
        <f t="shared" ca="1" si="128"/>
        <v>#NAME?</v>
      </c>
      <c r="E4106" s="115" t="e">
        <f t="array" aca="1" ref="E4106" ca="1">IF(OR(C4105=0,AND(B4107=0,C4107=0)),"",IFERROR(INDEX($F$27:$F$36,MATCH(C4106,($F$27:$F$36)*($D$27:$D$36&lt;&gt;0),0)),IF(OR(AND(D4106=0,B4106=0,B4107&lt;&gt;0),AND(D4106*D4105&lt;0,B4106&lt;&gt;0)),IF(D4106=0,C4106,C4106*(1-ABS(D4106)/(ABS(D4106)+ABS(D4105)))+C4105*(1-ABS(D4105)/(ABS(D4106)+ABS(D4105)))),"")))</f>
        <v>#NAME?</v>
      </c>
    </row>
    <row r="4107" spans="2:5" x14ac:dyDescent="0.25">
      <c r="B4107" t="e">
        <f t="shared" ca="1" si="129"/>
        <v>#NAME?</v>
      </c>
      <c r="C4107">
        <v>4064</v>
      </c>
      <c r="D4107" t="e">
        <f t="shared" ca="1" si="128"/>
        <v>#NAME?</v>
      </c>
      <c r="E4107" s="115" t="e">
        <f t="array" aca="1" ref="E4107" ca="1">IF(OR(C4106=0,AND(B4108=0,C4108=0)),"",IFERROR(INDEX($F$27:$F$36,MATCH(C4107,($F$27:$F$36)*($D$27:$D$36&lt;&gt;0),0)),IF(OR(AND(D4107=0,B4107=0,B4108&lt;&gt;0),AND(D4107*D4106&lt;0,B4107&lt;&gt;0)),IF(D4107=0,C4107,C4107*(1-ABS(D4107)/(ABS(D4107)+ABS(D4106)))+C4106*(1-ABS(D4106)/(ABS(D4107)+ABS(D4106)))),"")))</f>
        <v>#NAME?</v>
      </c>
    </row>
    <row r="4108" spans="2:5" x14ac:dyDescent="0.25">
      <c r="B4108" t="e">
        <f t="shared" ca="1" si="129"/>
        <v>#NAME?</v>
      </c>
      <c r="C4108">
        <v>4065</v>
      </c>
      <c r="D4108" t="e">
        <f t="shared" ca="1" si="128"/>
        <v>#NAME?</v>
      </c>
      <c r="E4108" s="115" t="e">
        <f t="array" aca="1" ref="E4108" ca="1">IF(OR(C4107=0,AND(B4109=0,C4109=0)),"",IFERROR(INDEX($F$27:$F$36,MATCH(C4108,($F$27:$F$36)*($D$27:$D$36&lt;&gt;0),0)),IF(OR(AND(D4108=0,B4108=0,B4109&lt;&gt;0),AND(D4108*D4107&lt;0,B4108&lt;&gt;0)),IF(D4108=0,C4108,C4108*(1-ABS(D4108)/(ABS(D4108)+ABS(D4107)))+C4107*(1-ABS(D4107)/(ABS(D4108)+ABS(D4107)))),"")))</f>
        <v>#NAME?</v>
      </c>
    </row>
    <row r="4109" spans="2:5" x14ac:dyDescent="0.25">
      <c r="B4109" t="e">
        <f t="shared" ca="1" si="129"/>
        <v>#NAME?</v>
      </c>
      <c r="C4109">
        <v>4066</v>
      </c>
      <c r="D4109" t="e">
        <f t="shared" ca="1" si="128"/>
        <v>#NAME?</v>
      </c>
      <c r="E4109" s="115" t="e">
        <f t="array" aca="1" ref="E4109" ca="1">IF(OR(C4108=0,AND(B4110=0,C4110=0)),"",IFERROR(INDEX($F$27:$F$36,MATCH(C4109,($F$27:$F$36)*($D$27:$D$36&lt;&gt;0),0)),IF(OR(AND(D4109=0,B4109=0,B4110&lt;&gt;0),AND(D4109*D4108&lt;0,B4109&lt;&gt;0)),IF(D4109=0,C4109,C4109*(1-ABS(D4109)/(ABS(D4109)+ABS(D4108)))+C4108*(1-ABS(D4108)/(ABS(D4109)+ABS(D4108)))),"")))</f>
        <v>#NAME?</v>
      </c>
    </row>
    <row r="4110" spans="2:5" x14ac:dyDescent="0.25">
      <c r="B4110" t="e">
        <f t="shared" ca="1" si="129"/>
        <v>#NAME?</v>
      </c>
      <c r="C4110">
        <v>4067</v>
      </c>
      <c r="D4110" t="e">
        <f t="shared" ca="1" si="128"/>
        <v>#NAME?</v>
      </c>
      <c r="E4110" s="115" t="e">
        <f t="array" aca="1" ref="E4110" ca="1">IF(OR(C4109=0,AND(B4111=0,C4111=0)),"",IFERROR(INDEX($F$27:$F$36,MATCH(C4110,($F$27:$F$36)*($D$27:$D$36&lt;&gt;0),0)),IF(OR(AND(D4110=0,B4110=0,B4111&lt;&gt;0),AND(D4110*D4109&lt;0,B4110&lt;&gt;0)),IF(D4110=0,C4110,C4110*(1-ABS(D4110)/(ABS(D4110)+ABS(D4109)))+C4109*(1-ABS(D4109)/(ABS(D4110)+ABS(D4109)))),"")))</f>
        <v>#NAME?</v>
      </c>
    </row>
    <row r="4111" spans="2:5" x14ac:dyDescent="0.25">
      <c r="B4111" t="e">
        <f t="shared" ca="1" si="129"/>
        <v>#NAME?</v>
      </c>
      <c r="C4111">
        <v>4068</v>
      </c>
      <c r="D4111" t="e">
        <f t="shared" ca="1" si="128"/>
        <v>#NAME?</v>
      </c>
      <c r="E4111" s="115" t="e">
        <f t="array" aca="1" ref="E4111" ca="1">IF(OR(C4110=0,AND(B4112=0,C4112=0)),"",IFERROR(INDEX($F$27:$F$36,MATCH(C4111,($F$27:$F$36)*($D$27:$D$36&lt;&gt;0),0)),IF(OR(AND(D4111=0,B4111=0,B4112&lt;&gt;0),AND(D4111*D4110&lt;0,B4111&lt;&gt;0)),IF(D4111=0,C4111,C4111*(1-ABS(D4111)/(ABS(D4111)+ABS(D4110)))+C4110*(1-ABS(D4110)/(ABS(D4111)+ABS(D4110)))),"")))</f>
        <v>#NAME?</v>
      </c>
    </row>
    <row r="4112" spans="2:5" x14ac:dyDescent="0.25">
      <c r="B4112" t="e">
        <f t="shared" ca="1" si="129"/>
        <v>#NAME?</v>
      </c>
      <c r="C4112">
        <v>4069</v>
      </c>
      <c r="D4112" t="e">
        <f t="shared" ca="1" si="128"/>
        <v>#NAME?</v>
      </c>
      <c r="E4112" s="115" t="e">
        <f t="array" aca="1" ref="E4112" ca="1">IF(OR(C4111=0,AND(B4113=0,C4113=0)),"",IFERROR(INDEX($F$27:$F$36,MATCH(C4112,($F$27:$F$36)*($D$27:$D$36&lt;&gt;0),0)),IF(OR(AND(D4112=0,B4112=0,B4113&lt;&gt;0),AND(D4112*D4111&lt;0,B4112&lt;&gt;0)),IF(D4112=0,C4112,C4112*(1-ABS(D4112)/(ABS(D4112)+ABS(D4111)))+C4111*(1-ABS(D4111)/(ABS(D4112)+ABS(D4111)))),"")))</f>
        <v>#NAME?</v>
      </c>
    </row>
    <row r="4113" spans="2:5" x14ac:dyDescent="0.25">
      <c r="B4113" t="e">
        <f t="shared" ca="1" si="129"/>
        <v>#NAME?</v>
      </c>
      <c r="C4113">
        <v>4070</v>
      </c>
      <c r="D4113" t="e">
        <f t="shared" ca="1" si="128"/>
        <v>#NAME?</v>
      </c>
      <c r="E4113" s="115" t="e">
        <f t="array" aca="1" ref="E4113" ca="1">IF(OR(C4112=0,AND(B4114=0,C4114=0)),"",IFERROR(INDEX($F$27:$F$36,MATCH(C4113,($F$27:$F$36)*($D$27:$D$36&lt;&gt;0),0)),IF(OR(AND(D4113=0,B4113=0,B4114&lt;&gt;0),AND(D4113*D4112&lt;0,B4113&lt;&gt;0)),IF(D4113=0,C4113,C4113*(1-ABS(D4113)/(ABS(D4113)+ABS(D4112)))+C4112*(1-ABS(D4112)/(ABS(D4113)+ABS(D4112)))),"")))</f>
        <v>#NAME?</v>
      </c>
    </row>
    <row r="4114" spans="2:5" x14ac:dyDescent="0.25">
      <c r="B4114" t="e">
        <f t="shared" ca="1" si="129"/>
        <v>#NAME?</v>
      </c>
      <c r="C4114">
        <v>4071</v>
      </c>
      <c r="D4114" t="e">
        <f t="shared" ca="1" si="128"/>
        <v>#NAME?</v>
      </c>
      <c r="E4114" s="115" t="e">
        <f t="array" aca="1" ref="E4114" ca="1">IF(OR(C4113=0,AND(B4115=0,C4115=0)),"",IFERROR(INDEX($F$27:$F$36,MATCH(C4114,($F$27:$F$36)*($D$27:$D$36&lt;&gt;0),0)),IF(OR(AND(D4114=0,B4114=0,B4115&lt;&gt;0),AND(D4114*D4113&lt;0,B4114&lt;&gt;0)),IF(D4114=0,C4114,C4114*(1-ABS(D4114)/(ABS(D4114)+ABS(D4113)))+C4113*(1-ABS(D4113)/(ABS(D4114)+ABS(D4113)))),"")))</f>
        <v>#NAME?</v>
      </c>
    </row>
    <row r="4115" spans="2:5" x14ac:dyDescent="0.25">
      <c r="B4115" t="e">
        <f t="shared" ca="1" si="129"/>
        <v>#NAME?</v>
      </c>
      <c r="C4115">
        <v>4072</v>
      </c>
      <c r="D4115" t="e">
        <f t="shared" ca="1" si="128"/>
        <v>#NAME?</v>
      </c>
      <c r="E4115" s="115" t="e">
        <f t="array" aca="1" ref="E4115" ca="1">IF(OR(C4114=0,AND(B4116=0,C4116=0)),"",IFERROR(INDEX($F$27:$F$36,MATCH(C4115,($F$27:$F$36)*($D$27:$D$36&lt;&gt;0),0)),IF(OR(AND(D4115=0,B4115=0,B4116&lt;&gt;0),AND(D4115*D4114&lt;0,B4115&lt;&gt;0)),IF(D4115=0,C4115,C4115*(1-ABS(D4115)/(ABS(D4115)+ABS(D4114)))+C4114*(1-ABS(D4114)/(ABS(D4115)+ABS(D4114)))),"")))</f>
        <v>#NAME?</v>
      </c>
    </row>
    <row r="4116" spans="2:5" x14ac:dyDescent="0.25">
      <c r="B4116" t="e">
        <f t="shared" ca="1" si="129"/>
        <v>#NAME?</v>
      </c>
      <c r="C4116">
        <v>4073</v>
      </c>
      <c r="D4116" t="e">
        <f t="shared" ca="1" si="128"/>
        <v>#NAME?</v>
      </c>
      <c r="E4116" s="115" t="e">
        <f t="array" aca="1" ref="E4116" ca="1">IF(OR(C4115=0,AND(B4117=0,C4117=0)),"",IFERROR(INDEX($F$27:$F$36,MATCH(C4116,($F$27:$F$36)*($D$27:$D$36&lt;&gt;0),0)),IF(OR(AND(D4116=0,B4116=0,B4117&lt;&gt;0),AND(D4116*D4115&lt;0,B4116&lt;&gt;0)),IF(D4116=0,C4116,C4116*(1-ABS(D4116)/(ABS(D4116)+ABS(D4115)))+C4115*(1-ABS(D4115)/(ABS(D4116)+ABS(D4115)))),"")))</f>
        <v>#NAME?</v>
      </c>
    </row>
    <row r="4117" spans="2:5" x14ac:dyDescent="0.25">
      <c r="B4117" t="e">
        <f t="shared" ca="1" si="129"/>
        <v>#NAME?</v>
      </c>
      <c r="C4117">
        <v>4074</v>
      </c>
      <c r="D4117" t="e">
        <f t="shared" ca="1" si="128"/>
        <v>#NAME?</v>
      </c>
      <c r="E4117" s="115" t="e">
        <f t="array" aca="1" ref="E4117" ca="1">IF(OR(C4116=0,AND(B4118=0,C4118=0)),"",IFERROR(INDEX($F$27:$F$36,MATCH(C4117,($F$27:$F$36)*($D$27:$D$36&lt;&gt;0),0)),IF(OR(AND(D4117=0,B4117=0,B4118&lt;&gt;0),AND(D4117*D4116&lt;0,B4117&lt;&gt;0)),IF(D4117=0,C4117,C4117*(1-ABS(D4117)/(ABS(D4117)+ABS(D4116)))+C4116*(1-ABS(D4116)/(ABS(D4117)+ABS(D4116)))),"")))</f>
        <v>#NAME?</v>
      </c>
    </row>
    <row r="4118" spans="2:5" x14ac:dyDescent="0.25">
      <c r="B4118" t="e">
        <f t="shared" ca="1" si="129"/>
        <v>#NAME?</v>
      </c>
      <c r="C4118">
        <v>4075</v>
      </c>
      <c r="D4118" t="e">
        <f t="shared" ca="1" si="128"/>
        <v>#NAME?</v>
      </c>
      <c r="E4118" s="115" t="e">
        <f t="array" aca="1" ref="E4118" ca="1">IF(OR(C4117=0,AND(B4119=0,C4119=0)),"",IFERROR(INDEX($F$27:$F$36,MATCH(C4118,($F$27:$F$36)*($D$27:$D$36&lt;&gt;0),0)),IF(OR(AND(D4118=0,B4118=0,B4119&lt;&gt;0),AND(D4118*D4117&lt;0,B4118&lt;&gt;0)),IF(D4118=0,C4118,C4118*(1-ABS(D4118)/(ABS(D4118)+ABS(D4117)))+C4117*(1-ABS(D4117)/(ABS(D4118)+ABS(D4117)))),"")))</f>
        <v>#NAME?</v>
      </c>
    </row>
    <row r="4119" spans="2:5" x14ac:dyDescent="0.25">
      <c r="B4119" t="e">
        <f t="shared" ca="1" si="129"/>
        <v>#NAME?</v>
      </c>
      <c r="C4119">
        <v>4076</v>
      </c>
      <c r="D4119" t="e">
        <f t="shared" ca="1" si="128"/>
        <v>#NAME?</v>
      </c>
      <c r="E4119" s="115" t="e">
        <f t="array" aca="1" ref="E4119" ca="1">IF(OR(C4118=0,AND(B4120=0,C4120=0)),"",IFERROR(INDEX($F$27:$F$36,MATCH(C4119,($F$27:$F$36)*($D$27:$D$36&lt;&gt;0),0)),IF(OR(AND(D4119=0,B4119=0,B4120&lt;&gt;0),AND(D4119*D4118&lt;0,B4119&lt;&gt;0)),IF(D4119=0,C4119,C4119*(1-ABS(D4119)/(ABS(D4119)+ABS(D4118)))+C4118*(1-ABS(D4118)/(ABS(D4119)+ABS(D4118)))),"")))</f>
        <v>#NAME?</v>
      </c>
    </row>
    <row r="4120" spans="2:5" x14ac:dyDescent="0.25">
      <c r="B4120" t="e">
        <f t="shared" ca="1" si="129"/>
        <v>#NAME?</v>
      </c>
      <c r="C4120">
        <v>4077</v>
      </c>
      <c r="D4120" t="e">
        <f t="shared" ca="1" si="128"/>
        <v>#NAME?</v>
      </c>
      <c r="E4120" s="115" t="e">
        <f t="array" aca="1" ref="E4120" ca="1">IF(OR(C4119=0,AND(B4121=0,C4121=0)),"",IFERROR(INDEX($F$27:$F$36,MATCH(C4120,($F$27:$F$36)*($D$27:$D$36&lt;&gt;0),0)),IF(OR(AND(D4120=0,B4120=0,B4121&lt;&gt;0),AND(D4120*D4119&lt;0,B4120&lt;&gt;0)),IF(D4120=0,C4120,C4120*(1-ABS(D4120)/(ABS(D4120)+ABS(D4119)))+C4119*(1-ABS(D4119)/(ABS(D4120)+ABS(D4119)))),"")))</f>
        <v>#NAME?</v>
      </c>
    </row>
    <row r="4121" spans="2:5" x14ac:dyDescent="0.25">
      <c r="B4121" t="e">
        <f t="shared" ca="1" si="129"/>
        <v>#NAME?</v>
      </c>
      <c r="C4121">
        <v>4078</v>
      </c>
      <c r="D4121" t="e">
        <f t="shared" ca="1" si="128"/>
        <v>#NAME?</v>
      </c>
      <c r="E4121" s="115" t="e">
        <f t="array" aca="1" ref="E4121" ca="1">IF(OR(C4120=0,AND(B4122=0,C4122=0)),"",IFERROR(INDEX($F$27:$F$36,MATCH(C4121,($F$27:$F$36)*($D$27:$D$36&lt;&gt;0),0)),IF(OR(AND(D4121=0,B4121=0,B4122&lt;&gt;0),AND(D4121*D4120&lt;0,B4121&lt;&gt;0)),IF(D4121=0,C4121,C4121*(1-ABS(D4121)/(ABS(D4121)+ABS(D4120)))+C4120*(1-ABS(D4120)/(ABS(D4121)+ABS(D4120)))),"")))</f>
        <v>#NAME?</v>
      </c>
    </row>
    <row r="4122" spans="2:5" x14ac:dyDescent="0.25">
      <c r="B4122" t="e">
        <f t="shared" ca="1" si="129"/>
        <v>#NAME?</v>
      </c>
      <c r="C4122">
        <v>4079</v>
      </c>
      <c r="D4122" t="e">
        <f t="shared" ca="1" si="128"/>
        <v>#NAME?</v>
      </c>
      <c r="E4122" s="115" t="e">
        <f t="array" aca="1" ref="E4122" ca="1">IF(OR(C4121=0,AND(B4123=0,C4123=0)),"",IFERROR(INDEX($F$27:$F$36,MATCH(C4122,($F$27:$F$36)*($D$27:$D$36&lt;&gt;0),0)),IF(OR(AND(D4122=0,B4122=0,B4123&lt;&gt;0),AND(D4122*D4121&lt;0,B4122&lt;&gt;0)),IF(D4122=0,C4122,C4122*(1-ABS(D4122)/(ABS(D4122)+ABS(D4121)))+C4121*(1-ABS(D4121)/(ABS(D4122)+ABS(D4121)))),"")))</f>
        <v>#NAME?</v>
      </c>
    </row>
    <row r="4123" spans="2:5" x14ac:dyDescent="0.25">
      <c r="B4123" t="e">
        <f t="shared" ca="1" si="129"/>
        <v>#NAME?</v>
      </c>
      <c r="C4123">
        <v>4080</v>
      </c>
      <c r="D4123" t="e">
        <f t="shared" ca="1" si="128"/>
        <v>#NAME?</v>
      </c>
      <c r="E4123" s="115" t="e">
        <f t="array" aca="1" ref="E4123" ca="1">IF(OR(C4122=0,AND(B4124=0,C4124=0)),"",IFERROR(INDEX($F$27:$F$36,MATCH(C4123,($F$27:$F$36)*($D$27:$D$36&lt;&gt;0),0)),IF(OR(AND(D4123=0,B4123=0,B4124&lt;&gt;0),AND(D4123*D4122&lt;0,B4123&lt;&gt;0)),IF(D4123=0,C4123,C4123*(1-ABS(D4123)/(ABS(D4123)+ABS(D4122)))+C4122*(1-ABS(D4122)/(ABS(D4123)+ABS(D4122)))),"")))</f>
        <v>#NAME?</v>
      </c>
    </row>
    <row r="4124" spans="2:5" x14ac:dyDescent="0.25">
      <c r="B4124" t="e">
        <f t="shared" ca="1" si="129"/>
        <v>#NAME?</v>
      </c>
      <c r="C4124">
        <v>4081</v>
      </c>
      <c r="D4124" t="e">
        <f t="shared" ca="1" si="128"/>
        <v>#NAME?</v>
      </c>
      <c r="E4124" s="115" t="e">
        <f t="array" aca="1" ref="E4124" ca="1">IF(OR(C4123=0,AND(B4125=0,C4125=0)),"",IFERROR(INDEX($F$27:$F$36,MATCH(C4124,($F$27:$F$36)*($D$27:$D$36&lt;&gt;0),0)),IF(OR(AND(D4124=0,B4124=0,B4125&lt;&gt;0),AND(D4124*D4123&lt;0,B4124&lt;&gt;0)),IF(D4124=0,C4124,C4124*(1-ABS(D4124)/(ABS(D4124)+ABS(D4123)))+C4123*(1-ABS(D4123)/(ABS(D4124)+ABS(D4123)))),"")))</f>
        <v>#NAME?</v>
      </c>
    </row>
    <row r="4125" spans="2:5" x14ac:dyDescent="0.25">
      <c r="B4125" t="e">
        <f t="shared" ca="1" si="129"/>
        <v>#NAME?</v>
      </c>
      <c r="C4125">
        <v>4082</v>
      </c>
      <c r="D4125" t="e">
        <f t="shared" ca="1" si="128"/>
        <v>#NAME?</v>
      </c>
      <c r="E4125" s="115" t="e">
        <f t="array" aca="1" ref="E4125" ca="1">IF(OR(C4124=0,AND(B4126=0,C4126=0)),"",IFERROR(INDEX($F$27:$F$36,MATCH(C4125,($F$27:$F$36)*($D$27:$D$36&lt;&gt;0),0)),IF(OR(AND(D4125=0,B4125=0,B4126&lt;&gt;0),AND(D4125*D4124&lt;0,B4125&lt;&gt;0)),IF(D4125=0,C4125,C4125*(1-ABS(D4125)/(ABS(D4125)+ABS(D4124)))+C4124*(1-ABS(D4124)/(ABS(D4125)+ABS(D4124)))),"")))</f>
        <v>#NAME?</v>
      </c>
    </row>
    <row r="4126" spans="2:5" x14ac:dyDescent="0.25">
      <c r="B4126" t="e">
        <f t="shared" ca="1" si="129"/>
        <v>#NAME?</v>
      </c>
      <c r="C4126">
        <v>4083</v>
      </c>
      <c r="D4126" t="e">
        <f t="shared" ca="1" si="128"/>
        <v>#NAME?</v>
      </c>
      <c r="E4126" s="115" t="e">
        <f t="array" aca="1" ref="E4126" ca="1">IF(OR(C4125=0,AND(B4127=0,C4127=0)),"",IFERROR(INDEX($F$27:$F$36,MATCH(C4126,($F$27:$F$36)*($D$27:$D$36&lt;&gt;0),0)),IF(OR(AND(D4126=0,B4126=0,B4127&lt;&gt;0),AND(D4126*D4125&lt;0,B4126&lt;&gt;0)),IF(D4126=0,C4126,C4126*(1-ABS(D4126)/(ABS(D4126)+ABS(D4125)))+C4125*(1-ABS(D4125)/(ABS(D4126)+ABS(D4125)))),"")))</f>
        <v>#NAME?</v>
      </c>
    </row>
    <row r="4127" spans="2:5" x14ac:dyDescent="0.25">
      <c r="B4127" t="e">
        <f t="shared" ca="1" si="129"/>
        <v>#NAME?</v>
      </c>
      <c r="C4127">
        <v>4084</v>
      </c>
      <c r="D4127" t="e">
        <f t="shared" ca="1" si="128"/>
        <v>#NAME?</v>
      </c>
      <c r="E4127" s="115" t="e">
        <f t="array" aca="1" ref="E4127" ca="1">IF(OR(C4126=0,AND(B4128=0,C4128=0)),"",IFERROR(INDEX($F$27:$F$36,MATCH(C4127,($F$27:$F$36)*($D$27:$D$36&lt;&gt;0),0)),IF(OR(AND(D4127=0,B4127=0,B4128&lt;&gt;0),AND(D4127*D4126&lt;0,B4127&lt;&gt;0)),IF(D4127=0,C4127,C4127*(1-ABS(D4127)/(ABS(D4127)+ABS(D4126)))+C4126*(1-ABS(D4126)/(ABS(D4127)+ABS(D4126)))),"")))</f>
        <v>#NAME?</v>
      </c>
    </row>
    <row r="4128" spans="2:5" x14ac:dyDescent="0.25">
      <c r="B4128" t="e">
        <f t="shared" ca="1" si="129"/>
        <v>#NAME?</v>
      </c>
      <c r="C4128">
        <v>4085</v>
      </c>
      <c r="D4128" t="e">
        <f t="shared" ca="1" si="128"/>
        <v>#NAME?</v>
      </c>
      <c r="E4128" s="115" t="e">
        <f t="array" aca="1" ref="E4128" ca="1">IF(OR(C4127=0,AND(B4129=0,C4129=0)),"",IFERROR(INDEX($F$27:$F$36,MATCH(C4128,($F$27:$F$36)*($D$27:$D$36&lt;&gt;0),0)),IF(OR(AND(D4128=0,B4128=0,B4129&lt;&gt;0),AND(D4128*D4127&lt;0,B4128&lt;&gt;0)),IF(D4128=0,C4128,C4128*(1-ABS(D4128)/(ABS(D4128)+ABS(D4127)))+C4127*(1-ABS(D4127)/(ABS(D4128)+ABS(D4127)))),"")))</f>
        <v>#NAME?</v>
      </c>
    </row>
    <row r="4129" spans="2:5" x14ac:dyDescent="0.25">
      <c r="B4129" t="e">
        <f t="shared" ca="1" si="129"/>
        <v>#NAME?</v>
      </c>
      <c r="C4129">
        <v>4086</v>
      </c>
      <c r="D4129" t="e">
        <f t="shared" ca="1" si="128"/>
        <v>#NAME?</v>
      </c>
      <c r="E4129" s="115" t="e">
        <f t="array" aca="1" ref="E4129" ca="1">IF(OR(C4128=0,AND(B4130=0,C4130=0)),"",IFERROR(INDEX($F$27:$F$36,MATCH(C4129,($F$27:$F$36)*($D$27:$D$36&lt;&gt;0),0)),IF(OR(AND(D4129=0,B4129=0,B4130&lt;&gt;0),AND(D4129*D4128&lt;0,B4129&lt;&gt;0)),IF(D4129=0,C4129,C4129*(1-ABS(D4129)/(ABS(D4129)+ABS(D4128)))+C4128*(1-ABS(D4128)/(ABS(D4129)+ABS(D4128)))),"")))</f>
        <v>#NAME?</v>
      </c>
    </row>
    <row r="4130" spans="2:5" x14ac:dyDescent="0.25">
      <c r="B4130" t="e">
        <f t="shared" ca="1" si="129"/>
        <v>#NAME?</v>
      </c>
      <c r="C4130">
        <v>4087</v>
      </c>
      <c r="D4130" t="e">
        <f t="shared" ca="1" si="128"/>
        <v>#NAME?</v>
      </c>
      <c r="E4130" s="115" t="e">
        <f t="array" aca="1" ref="E4130" ca="1">IF(OR(C4129=0,AND(B4131=0,C4131=0)),"",IFERROR(INDEX($F$27:$F$36,MATCH(C4130,($F$27:$F$36)*($D$27:$D$36&lt;&gt;0),0)),IF(OR(AND(D4130=0,B4130=0,B4131&lt;&gt;0),AND(D4130*D4129&lt;0,B4130&lt;&gt;0)),IF(D4130=0,C4130,C4130*(1-ABS(D4130)/(ABS(D4130)+ABS(D4129)))+C4129*(1-ABS(D4129)/(ABS(D4130)+ABS(D4129)))),"")))</f>
        <v>#NAME?</v>
      </c>
    </row>
    <row r="4131" spans="2:5" x14ac:dyDescent="0.25">
      <c r="B4131" t="e">
        <f t="shared" ca="1" si="129"/>
        <v>#NAME?</v>
      </c>
      <c r="C4131">
        <v>4088</v>
      </c>
      <c r="D4131" t="e">
        <f t="shared" ca="1" si="128"/>
        <v>#NAME?</v>
      </c>
      <c r="E4131" s="115" t="e">
        <f t="array" aca="1" ref="E4131" ca="1">IF(OR(C4130=0,AND(B4132=0,C4132=0)),"",IFERROR(INDEX($F$27:$F$36,MATCH(C4131,($F$27:$F$36)*($D$27:$D$36&lt;&gt;0),0)),IF(OR(AND(D4131=0,B4131=0,B4132&lt;&gt;0),AND(D4131*D4130&lt;0,B4131&lt;&gt;0)),IF(D4131=0,C4131,C4131*(1-ABS(D4131)/(ABS(D4131)+ABS(D4130)))+C4130*(1-ABS(D4130)/(ABS(D4131)+ABS(D4130)))),"")))</f>
        <v>#NAME?</v>
      </c>
    </row>
    <row r="4132" spans="2:5" x14ac:dyDescent="0.25">
      <c r="B4132" t="e">
        <f t="shared" ca="1" si="129"/>
        <v>#NAME?</v>
      </c>
      <c r="C4132">
        <v>4089</v>
      </c>
      <c r="D4132" t="e">
        <f t="shared" ca="1" si="128"/>
        <v>#NAME?</v>
      </c>
      <c r="E4132" s="115" t="e">
        <f t="array" aca="1" ref="E4132" ca="1">IF(OR(C4131=0,AND(B4133=0,C4133=0)),"",IFERROR(INDEX($F$27:$F$36,MATCH(C4132,($F$27:$F$36)*($D$27:$D$36&lt;&gt;0),0)),IF(OR(AND(D4132=0,B4132=0,B4133&lt;&gt;0),AND(D4132*D4131&lt;0,B4132&lt;&gt;0)),IF(D4132=0,C4132,C4132*(1-ABS(D4132)/(ABS(D4132)+ABS(D4131)))+C4131*(1-ABS(D4131)/(ABS(D4132)+ABS(D4131)))),"")))</f>
        <v>#NAME?</v>
      </c>
    </row>
    <row r="4133" spans="2:5" x14ac:dyDescent="0.25">
      <c r="B4133" t="e">
        <f t="shared" ca="1" si="129"/>
        <v>#NAME?</v>
      </c>
      <c r="C4133">
        <v>4090</v>
      </c>
      <c r="D4133" t="e">
        <f t="shared" ca="1" si="128"/>
        <v>#NAME?</v>
      </c>
      <c r="E4133" s="115" t="e">
        <f t="array" aca="1" ref="E4133" ca="1">IF(OR(C4132=0,AND(B4134=0,C4134=0)),"",IFERROR(INDEX($F$27:$F$36,MATCH(C4133,($F$27:$F$36)*($D$27:$D$36&lt;&gt;0),0)),IF(OR(AND(D4133=0,B4133=0,B4134&lt;&gt;0),AND(D4133*D4132&lt;0,B4133&lt;&gt;0)),IF(D4133=0,C4133,C4133*(1-ABS(D4133)/(ABS(D4133)+ABS(D4132)))+C4132*(1-ABS(D4132)/(ABS(D4133)+ABS(D4132)))),"")))</f>
        <v>#NAME?</v>
      </c>
    </row>
    <row r="4134" spans="2:5" x14ac:dyDescent="0.25">
      <c r="B4134" t="e">
        <f t="shared" ca="1" si="129"/>
        <v>#NAME?</v>
      </c>
      <c r="C4134">
        <v>4091</v>
      </c>
      <c r="D4134" t="e">
        <f t="shared" ca="1" si="128"/>
        <v>#NAME?</v>
      </c>
      <c r="E4134" s="115" t="e">
        <f t="array" aca="1" ref="E4134" ca="1">IF(OR(C4133=0,AND(B4135=0,C4135=0)),"",IFERROR(INDEX($F$27:$F$36,MATCH(C4134,($F$27:$F$36)*($D$27:$D$36&lt;&gt;0),0)),IF(OR(AND(D4134=0,B4134=0,B4135&lt;&gt;0),AND(D4134*D4133&lt;0,B4134&lt;&gt;0)),IF(D4134=0,C4134,C4134*(1-ABS(D4134)/(ABS(D4134)+ABS(D4133)))+C4133*(1-ABS(D4133)/(ABS(D4134)+ABS(D4133)))),"")))</f>
        <v>#NAME?</v>
      </c>
    </row>
    <row r="4135" spans="2:5" x14ac:dyDescent="0.25">
      <c r="B4135" t="e">
        <f t="shared" ca="1" si="129"/>
        <v>#NAME?</v>
      </c>
      <c r="C4135">
        <v>4092</v>
      </c>
      <c r="D4135" t="e">
        <f t="shared" ca="1" si="128"/>
        <v>#NAME?</v>
      </c>
      <c r="E4135" s="115" t="e">
        <f t="array" aca="1" ref="E4135" ca="1">IF(OR(C4134=0,AND(B4136=0,C4136=0)),"",IFERROR(INDEX($F$27:$F$36,MATCH(C4135,($F$27:$F$36)*($D$27:$D$36&lt;&gt;0),0)),IF(OR(AND(D4135=0,B4135=0,B4136&lt;&gt;0),AND(D4135*D4134&lt;0,B4135&lt;&gt;0)),IF(D4135=0,C4135,C4135*(1-ABS(D4135)/(ABS(D4135)+ABS(D4134)))+C4134*(1-ABS(D4134)/(ABS(D4135)+ABS(D4134)))),"")))</f>
        <v>#NAME?</v>
      </c>
    </row>
    <row r="4136" spans="2:5" x14ac:dyDescent="0.25">
      <c r="B4136" t="e">
        <f t="shared" ca="1" si="129"/>
        <v>#NAME?</v>
      </c>
      <c r="C4136">
        <v>4093</v>
      </c>
      <c r="D4136" t="e">
        <f t="shared" ca="1" si="128"/>
        <v>#NAME?</v>
      </c>
      <c r="E4136" s="115" t="e">
        <f t="array" aca="1" ref="E4136" ca="1">IF(OR(C4135=0,AND(B4137=0,C4137=0)),"",IFERROR(INDEX($F$27:$F$36,MATCH(C4136,($F$27:$F$36)*($D$27:$D$36&lt;&gt;0),0)),IF(OR(AND(D4136=0,B4136=0,B4137&lt;&gt;0),AND(D4136*D4135&lt;0,B4136&lt;&gt;0)),IF(D4136=0,C4136,C4136*(1-ABS(D4136)/(ABS(D4136)+ABS(D4135)))+C4135*(1-ABS(D4135)/(ABS(D4136)+ABS(D4135)))),"")))</f>
        <v>#NAME?</v>
      </c>
    </row>
    <row r="4137" spans="2:5" x14ac:dyDescent="0.25">
      <c r="B4137" t="e">
        <f t="shared" ca="1" si="129"/>
        <v>#NAME?</v>
      </c>
      <c r="C4137">
        <v>4094</v>
      </c>
      <c r="D4137" t="e">
        <f t="shared" ca="1" si="128"/>
        <v>#NAME?</v>
      </c>
      <c r="E4137" s="115" t="e">
        <f t="array" aca="1" ref="E4137" ca="1">IF(OR(C4136=0,AND(B4138=0,C4138=0)),"",IFERROR(INDEX($F$27:$F$36,MATCH(C4137,($F$27:$F$36)*($D$27:$D$36&lt;&gt;0),0)),IF(OR(AND(D4137=0,B4137=0,B4138&lt;&gt;0),AND(D4137*D4136&lt;0,B4137&lt;&gt;0)),IF(D4137=0,C4137,C4137*(1-ABS(D4137)/(ABS(D4137)+ABS(D4136)))+C4136*(1-ABS(D4136)/(ABS(D4137)+ABS(D4136)))),"")))</f>
        <v>#NAME?</v>
      </c>
    </row>
    <row r="4138" spans="2:5" x14ac:dyDescent="0.25">
      <c r="B4138" t="e">
        <f t="shared" ca="1" si="129"/>
        <v>#NAME?</v>
      </c>
      <c r="C4138">
        <v>4095</v>
      </c>
      <c r="D4138" t="e">
        <f t="shared" ca="1" si="128"/>
        <v>#NAME?</v>
      </c>
      <c r="E4138" s="115" t="e">
        <f t="array" aca="1" ref="E4138" ca="1">IF(OR(C4137=0,AND(B4139=0,C4139=0)),"",IFERROR(INDEX($F$27:$F$36,MATCH(C4138,($F$27:$F$36)*($D$27:$D$36&lt;&gt;0),0)),IF(OR(AND(D4138=0,B4138=0,B4139&lt;&gt;0),AND(D4138*D4137&lt;0,B4138&lt;&gt;0)),IF(D4138=0,C4138,C4138*(1-ABS(D4138)/(ABS(D4138)+ABS(D4137)))+C4137*(1-ABS(D4137)/(ABS(D4138)+ABS(D4137)))),"")))</f>
        <v>#NAME?</v>
      </c>
    </row>
    <row r="4139" spans="2:5" x14ac:dyDescent="0.25">
      <c r="B4139" t="e">
        <f t="shared" ca="1" si="129"/>
        <v>#NAME?</v>
      </c>
      <c r="C4139">
        <v>4096</v>
      </c>
      <c r="D4139" t="e">
        <f t="shared" ref="D4139:D4202" ca="1" si="130">SUMPRODUCT(--($J$27:$J$37&gt;0),--($C4139-$F$27:$F$37&gt;0),($D$27:$D$37),($C4139-$F$27:$F$37))+SUMPRODUCT(--($J$27:$J$37&lt;0),--($F$27:$F$37-$C4139&gt;0),($D$27:$D$37),($F$27:$F$37-$C4139))-SUMPRODUCT($D$27:$D$37,$E$27:$E$37)</f>
        <v>#NAME?</v>
      </c>
      <c r="E4139" s="115" t="e">
        <f t="array" aca="1" ref="E4139" ca="1">IF(OR(C4138=0,AND(B4140=0,C4140=0)),"",IFERROR(INDEX($F$27:$F$36,MATCH(C4139,($F$27:$F$36)*($D$27:$D$36&lt;&gt;0),0)),IF(OR(AND(D4139=0,B4139=0,B4140&lt;&gt;0),AND(D4139*D4138&lt;0,B4139&lt;&gt;0)),IF(D4139=0,C4139,C4139*(1-ABS(D4139)/(ABS(D4139)+ABS(D4138)))+C4138*(1-ABS(D4138)/(ABS(D4139)+ABS(D4138)))),"")))</f>
        <v>#NAME?</v>
      </c>
    </row>
    <row r="4140" spans="2:5" x14ac:dyDescent="0.25">
      <c r="B4140" t="e">
        <f t="shared" ref="B4140:B4203" ca="1" si="131">ROUND((D4140-D4139)/(C4140-C4139),12)</f>
        <v>#NAME?</v>
      </c>
      <c r="C4140">
        <v>4097</v>
      </c>
      <c r="D4140" t="e">
        <f t="shared" ca="1" si="130"/>
        <v>#NAME?</v>
      </c>
      <c r="E4140" s="115" t="e">
        <f t="array" aca="1" ref="E4140" ca="1">IF(OR(C4139=0,AND(B4141=0,C4141=0)),"",IFERROR(INDEX($F$27:$F$36,MATCH(C4140,($F$27:$F$36)*($D$27:$D$36&lt;&gt;0),0)),IF(OR(AND(D4140=0,B4140=0,B4141&lt;&gt;0),AND(D4140*D4139&lt;0,B4140&lt;&gt;0)),IF(D4140=0,C4140,C4140*(1-ABS(D4140)/(ABS(D4140)+ABS(D4139)))+C4139*(1-ABS(D4139)/(ABS(D4140)+ABS(D4139)))),"")))</f>
        <v>#NAME?</v>
      </c>
    </row>
    <row r="4141" spans="2:5" x14ac:dyDescent="0.25">
      <c r="B4141" t="e">
        <f t="shared" ca="1" si="131"/>
        <v>#NAME?</v>
      </c>
      <c r="C4141">
        <v>4098</v>
      </c>
      <c r="D4141" t="e">
        <f t="shared" ca="1" si="130"/>
        <v>#NAME?</v>
      </c>
      <c r="E4141" s="115" t="e">
        <f t="array" aca="1" ref="E4141" ca="1">IF(OR(C4140=0,AND(B4142=0,C4142=0)),"",IFERROR(INDEX($F$27:$F$36,MATCH(C4141,($F$27:$F$36)*($D$27:$D$36&lt;&gt;0),0)),IF(OR(AND(D4141=0,B4141=0,B4142&lt;&gt;0),AND(D4141*D4140&lt;0,B4141&lt;&gt;0)),IF(D4141=0,C4141,C4141*(1-ABS(D4141)/(ABS(D4141)+ABS(D4140)))+C4140*(1-ABS(D4140)/(ABS(D4141)+ABS(D4140)))),"")))</f>
        <v>#NAME?</v>
      </c>
    </row>
    <row r="4142" spans="2:5" x14ac:dyDescent="0.25">
      <c r="B4142" t="e">
        <f t="shared" ca="1" si="131"/>
        <v>#NAME?</v>
      </c>
      <c r="C4142">
        <v>4099</v>
      </c>
      <c r="D4142" t="e">
        <f t="shared" ca="1" si="130"/>
        <v>#NAME?</v>
      </c>
      <c r="E4142" s="115" t="e">
        <f t="array" aca="1" ref="E4142" ca="1">IF(OR(C4141=0,AND(B4143=0,C4143=0)),"",IFERROR(INDEX($F$27:$F$36,MATCH(C4142,($F$27:$F$36)*($D$27:$D$36&lt;&gt;0),0)),IF(OR(AND(D4142=0,B4142=0,B4143&lt;&gt;0),AND(D4142*D4141&lt;0,B4142&lt;&gt;0)),IF(D4142=0,C4142,C4142*(1-ABS(D4142)/(ABS(D4142)+ABS(D4141)))+C4141*(1-ABS(D4141)/(ABS(D4142)+ABS(D4141)))),"")))</f>
        <v>#NAME?</v>
      </c>
    </row>
    <row r="4143" spans="2:5" x14ac:dyDescent="0.25">
      <c r="B4143" t="e">
        <f t="shared" ca="1" si="131"/>
        <v>#NAME?</v>
      </c>
      <c r="C4143">
        <v>4100</v>
      </c>
      <c r="D4143" t="e">
        <f t="shared" ca="1" si="130"/>
        <v>#NAME?</v>
      </c>
      <c r="E4143" s="115" t="e">
        <f t="array" aca="1" ref="E4143" ca="1">IF(OR(C4142=0,AND(B4144=0,C4144=0)),"",IFERROR(INDEX($F$27:$F$36,MATCH(C4143,($F$27:$F$36)*($D$27:$D$36&lt;&gt;0),0)),IF(OR(AND(D4143=0,B4143=0,B4144&lt;&gt;0),AND(D4143*D4142&lt;0,B4143&lt;&gt;0)),IF(D4143=0,C4143,C4143*(1-ABS(D4143)/(ABS(D4143)+ABS(D4142)))+C4142*(1-ABS(D4142)/(ABS(D4143)+ABS(D4142)))),"")))</f>
        <v>#NAME?</v>
      </c>
    </row>
    <row r="4144" spans="2:5" x14ac:dyDescent="0.25">
      <c r="B4144" t="e">
        <f t="shared" ca="1" si="131"/>
        <v>#NAME?</v>
      </c>
      <c r="C4144">
        <v>4101</v>
      </c>
      <c r="D4144" t="e">
        <f t="shared" ca="1" si="130"/>
        <v>#NAME?</v>
      </c>
      <c r="E4144" s="115" t="e">
        <f t="array" aca="1" ref="E4144" ca="1">IF(OR(C4143=0,AND(B4145=0,C4145=0)),"",IFERROR(INDEX($F$27:$F$36,MATCH(C4144,($F$27:$F$36)*($D$27:$D$36&lt;&gt;0),0)),IF(OR(AND(D4144=0,B4144=0,B4145&lt;&gt;0),AND(D4144*D4143&lt;0,B4144&lt;&gt;0)),IF(D4144=0,C4144,C4144*(1-ABS(D4144)/(ABS(D4144)+ABS(D4143)))+C4143*(1-ABS(D4143)/(ABS(D4144)+ABS(D4143)))),"")))</f>
        <v>#NAME?</v>
      </c>
    </row>
    <row r="4145" spans="2:5" x14ac:dyDescent="0.25">
      <c r="B4145" t="e">
        <f t="shared" ca="1" si="131"/>
        <v>#NAME?</v>
      </c>
      <c r="C4145">
        <v>4102</v>
      </c>
      <c r="D4145" t="e">
        <f t="shared" ca="1" si="130"/>
        <v>#NAME?</v>
      </c>
      <c r="E4145" s="115" t="e">
        <f t="array" aca="1" ref="E4145" ca="1">IF(OR(C4144=0,AND(B4146=0,C4146=0)),"",IFERROR(INDEX($F$27:$F$36,MATCH(C4145,($F$27:$F$36)*($D$27:$D$36&lt;&gt;0),0)),IF(OR(AND(D4145=0,B4145=0,B4146&lt;&gt;0),AND(D4145*D4144&lt;0,B4145&lt;&gt;0)),IF(D4145=0,C4145,C4145*(1-ABS(D4145)/(ABS(D4145)+ABS(D4144)))+C4144*(1-ABS(D4144)/(ABS(D4145)+ABS(D4144)))),"")))</f>
        <v>#NAME?</v>
      </c>
    </row>
    <row r="4146" spans="2:5" x14ac:dyDescent="0.25">
      <c r="B4146" t="e">
        <f t="shared" ca="1" si="131"/>
        <v>#NAME?</v>
      </c>
      <c r="C4146">
        <v>4103</v>
      </c>
      <c r="D4146" t="e">
        <f t="shared" ca="1" si="130"/>
        <v>#NAME?</v>
      </c>
      <c r="E4146" s="115" t="e">
        <f t="array" aca="1" ref="E4146" ca="1">IF(OR(C4145=0,AND(B4147=0,C4147=0)),"",IFERROR(INDEX($F$27:$F$36,MATCH(C4146,($F$27:$F$36)*($D$27:$D$36&lt;&gt;0),0)),IF(OR(AND(D4146=0,B4146=0,B4147&lt;&gt;0),AND(D4146*D4145&lt;0,B4146&lt;&gt;0)),IF(D4146=0,C4146,C4146*(1-ABS(D4146)/(ABS(D4146)+ABS(D4145)))+C4145*(1-ABS(D4145)/(ABS(D4146)+ABS(D4145)))),"")))</f>
        <v>#NAME?</v>
      </c>
    </row>
    <row r="4147" spans="2:5" x14ac:dyDescent="0.25">
      <c r="B4147" t="e">
        <f t="shared" ca="1" si="131"/>
        <v>#NAME?</v>
      </c>
      <c r="C4147">
        <v>4104</v>
      </c>
      <c r="D4147" t="e">
        <f t="shared" ca="1" si="130"/>
        <v>#NAME?</v>
      </c>
      <c r="E4147" s="115" t="e">
        <f t="array" aca="1" ref="E4147" ca="1">IF(OR(C4146=0,AND(B4148=0,C4148=0)),"",IFERROR(INDEX($F$27:$F$36,MATCH(C4147,($F$27:$F$36)*($D$27:$D$36&lt;&gt;0),0)),IF(OR(AND(D4147=0,B4147=0,B4148&lt;&gt;0),AND(D4147*D4146&lt;0,B4147&lt;&gt;0)),IF(D4147=0,C4147,C4147*(1-ABS(D4147)/(ABS(D4147)+ABS(D4146)))+C4146*(1-ABS(D4146)/(ABS(D4147)+ABS(D4146)))),"")))</f>
        <v>#NAME?</v>
      </c>
    </row>
    <row r="4148" spans="2:5" x14ac:dyDescent="0.25">
      <c r="B4148" t="e">
        <f t="shared" ca="1" si="131"/>
        <v>#NAME?</v>
      </c>
      <c r="C4148">
        <v>4105</v>
      </c>
      <c r="D4148" t="e">
        <f t="shared" ca="1" si="130"/>
        <v>#NAME?</v>
      </c>
      <c r="E4148" s="115" t="e">
        <f t="array" aca="1" ref="E4148" ca="1">IF(OR(C4147=0,AND(B4149=0,C4149=0)),"",IFERROR(INDEX($F$27:$F$36,MATCH(C4148,($F$27:$F$36)*($D$27:$D$36&lt;&gt;0),0)),IF(OR(AND(D4148=0,B4148=0,B4149&lt;&gt;0),AND(D4148*D4147&lt;0,B4148&lt;&gt;0)),IF(D4148=0,C4148,C4148*(1-ABS(D4148)/(ABS(D4148)+ABS(D4147)))+C4147*(1-ABS(D4147)/(ABS(D4148)+ABS(D4147)))),"")))</f>
        <v>#NAME?</v>
      </c>
    </row>
    <row r="4149" spans="2:5" x14ac:dyDescent="0.25">
      <c r="B4149" t="e">
        <f t="shared" ca="1" si="131"/>
        <v>#NAME?</v>
      </c>
      <c r="C4149">
        <v>4106</v>
      </c>
      <c r="D4149" t="e">
        <f t="shared" ca="1" si="130"/>
        <v>#NAME?</v>
      </c>
      <c r="E4149" s="115" t="e">
        <f t="array" aca="1" ref="E4149" ca="1">IF(OR(C4148=0,AND(B4150=0,C4150=0)),"",IFERROR(INDEX($F$27:$F$36,MATCH(C4149,($F$27:$F$36)*($D$27:$D$36&lt;&gt;0),0)),IF(OR(AND(D4149=0,B4149=0,B4150&lt;&gt;0),AND(D4149*D4148&lt;0,B4149&lt;&gt;0)),IF(D4149=0,C4149,C4149*(1-ABS(D4149)/(ABS(D4149)+ABS(D4148)))+C4148*(1-ABS(D4148)/(ABS(D4149)+ABS(D4148)))),"")))</f>
        <v>#NAME?</v>
      </c>
    </row>
    <row r="4150" spans="2:5" x14ac:dyDescent="0.25">
      <c r="B4150" t="e">
        <f t="shared" ca="1" si="131"/>
        <v>#NAME?</v>
      </c>
      <c r="C4150">
        <v>4107</v>
      </c>
      <c r="D4150" t="e">
        <f t="shared" ca="1" si="130"/>
        <v>#NAME?</v>
      </c>
      <c r="E4150" s="115" t="e">
        <f t="array" aca="1" ref="E4150" ca="1">IF(OR(C4149=0,AND(B4151=0,C4151=0)),"",IFERROR(INDEX($F$27:$F$36,MATCH(C4150,($F$27:$F$36)*($D$27:$D$36&lt;&gt;0),0)),IF(OR(AND(D4150=0,B4150=0,B4151&lt;&gt;0),AND(D4150*D4149&lt;0,B4150&lt;&gt;0)),IF(D4150=0,C4150,C4150*(1-ABS(D4150)/(ABS(D4150)+ABS(D4149)))+C4149*(1-ABS(D4149)/(ABS(D4150)+ABS(D4149)))),"")))</f>
        <v>#NAME?</v>
      </c>
    </row>
    <row r="4151" spans="2:5" x14ac:dyDescent="0.25">
      <c r="B4151" t="e">
        <f t="shared" ca="1" si="131"/>
        <v>#NAME?</v>
      </c>
      <c r="C4151">
        <v>4108</v>
      </c>
      <c r="D4151" t="e">
        <f t="shared" ca="1" si="130"/>
        <v>#NAME?</v>
      </c>
      <c r="E4151" s="115" t="e">
        <f t="array" aca="1" ref="E4151" ca="1">IF(OR(C4150=0,AND(B4152=0,C4152=0)),"",IFERROR(INDEX($F$27:$F$36,MATCH(C4151,($F$27:$F$36)*($D$27:$D$36&lt;&gt;0),0)),IF(OR(AND(D4151=0,B4151=0,B4152&lt;&gt;0),AND(D4151*D4150&lt;0,B4151&lt;&gt;0)),IF(D4151=0,C4151,C4151*(1-ABS(D4151)/(ABS(D4151)+ABS(D4150)))+C4150*(1-ABS(D4150)/(ABS(D4151)+ABS(D4150)))),"")))</f>
        <v>#NAME?</v>
      </c>
    </row>
    <row r="4152" spans="2:5" x14ac:dyDescent="0.25">
      <c r="B4152" t="e">
        <f t="shared" ca="1" si="131"/>
        <v>#NAME?</v>
      </c>
      <c r="C4152">
        <v>4109</v>
      </c>
      <c r="D4152" t="e">
        <f t="shared" ca="1" si="130"/>
        <v>#NAME?</v>
      </c>
      <c r="E4152" s="115" t="e">
        <f t="array" aca="1" ref="E4152" ca="1">IF(OR(C4151=0,AND(B4153=0,C4153=0)),"",IFERROR(INDEX($F$27:$F$36,MATCH(C4152,($F$27:$F$36)*($D$27:$D$36&lt;&gt;0),0)),IF(OR(AND(D4152=0,B4152=0,B4153&lt;&gt;0),AND(D4152*D4151&lt;0,B4152&lt;&gt;0)),IF(D4152=0,C4152,C4152*(1-ABS(D4152)/(ABS(D4152)+ABS(D4151)))+C4151*(1-ABS(D4151)/(ABS(D4152)+ABS(D4151)))),"")))</f>
        <v>#NAME?</v>
      </c>
    </row>
    <row r="4153" spans="2:5" x14ac:dyDescent="0.25">
      <c r="B4153" t="e">
        <f t="shared" ca="1" si="131"/>
        <v>#NAME?</v>
      </c>
      <c r="C4153">
        <v>4110</v>
      </c>
      <c r="D4153" t="e">
        <f t="shared" ca="1" si="130"/>
        <v>#NAME?</v>
      </c>
      <c r="E4153" s="115" t="e">
        <f t="array" aca="1" ref="E4153" ca="1">IF(OR(C4152=0,AND(B4154=0,C4154=0)),"",IFERROR(INDEX($F$27:$F$36,MATCH(C4153,($F$27:$F$36)*($D$27:$D$36&lt;&gt;0),0)),IF(OR(AND(D4153=0,B4153=0,B4154&lt;&gt;0),AND(D4153*D4152&lt;0,B4153&lt;&gt;0)),IF(D4153=0,C4153,C4153*(1-ABS(D4153)/(ABS(D4153)+ABS(D4152)))+C4152*(1-ABS(D4152)/(ABS(D4153)+ABS(D4152)))),"")))</f>
        <v>#NAME?</v>
      </c>
    </row>
    <row r="4154" spans="2:5" x14ac:dyDescent="0.25">
      <c r="B4154" t="e">
        <f t="shared" ca="1" si="131"/>
        <v>#NAME?</v>
      </c>
      <c r="C4154">
        <v>4111</v>
      </c>
      <c r="D4154" t="e">
        <f t="shared" ca="1" si="130"/>
        <v>#NAME?</v>
      </c>
      <c r="E4154" s="115" t="e">
        <f t="array" aca="1" ref="E4154" ca="1">IF(OR(C4153=0,AND(B4155=0,C4155=0)),"",IFERROR(INDEX($F$27:$F$36,MATCH(C4154,($F$27:$F$36)*($D$27:$D$36&lt;&gt;0),0)),IF(OR(AND(D4154=0,B4154=0,B4155&lt;&gt;0),AND(D4154*D4153&lt;0,B4154&lt;&gt;0)),IF(D4154=0,C4154,C4154*(1-ABS(D4154)/(ABS(D4154)+ABS(D4153)))+C4153*(1-ABS(D4153)/(ABS(D4154)+ABS(D4153)))),"")))</f>
        <v>#NAME?</v>
      </c>
    </row>
    <row r="4155" spans="2:5" x14ac:dyDescent="0.25">
      <c r="B4155" t="e">
        <f t="shared" ca="1" si="131"/>
        <v>#NAME?</v>
      </c>
      <c r="C4155">
        <v>4112</v>
      </c>
      <c r="D4155" t="e">
        <f t="shared" ca="1" si="130"/>
        <v>#NAME?</v>
      </c>
      <c r="E4155" s="115" t="e">
        <f t="array" aca="1" ref="E4155" ca="1">IF(OR(C4154=0,AND(B4156=0,C4156=0)),"",IFERROR(INDEX($F$27:$F$36,MATCH(C4155,($F$27:$F$36)*($D$27:$D$36&lt;&gt;0),0)),IF(OR(AND(D4155=0,B4155=0,B4156&lt;&gt;0),AND(D4155*D4154&lt;0,B4155&lt;&gt;0)),IF(D4155=0,C4155,C4155*(1-ABS(D4155)/(ABS(D4155)+ABS(D4154)))+C4154*(1-ABS(D4154)/(ABS(D4155)+ABS(D4154)))),"")))</f>
        <v>#NAME?</v>
      </c>
    </row>
    <row r="4156" spans="2:5" x14ac:dyDescent="0.25">
      <c r="B4156" t="e">
        <f t="shared" ca="1" si="131"/>
        <v>#NAME?</v>
      </c>
      <c r="C4156">
        <v>4113</v>
      </c>
      <c r="D4156" t="e">
        <f t="shared" ca="1" si="130"/>
        <v>#NAME?</v>
      </c>
      <c r="E4156" s="115" t="e">
        <f t="array" aca="1" ref="E4156" ca="1">IF(OR(C4155=0,AND(B4157=0,C4157=0)),"",IFERROR(INDEX($F$27:$F$36,MATCH(C4156,($F$27:$F$36)*($D$27:$D$36&lt;&gt;0),0)),IF(OR(AND(D4156=0,B4156=0,B4157&lt;&gt;0),AND(D4156*D4155&lt;0,B4156&lt;&gt;0)),IF(D4156=0,C4156,C4156*(1-ABS(D4156)/(ABS(D4156)+ABS(D4155)))+C4155*(1-ABS(D4155)/(ABS(D4156)+ABS(D4155)))),"")))</f>
        <v>#NAME?</v>
      </c>
    </row>
    <row r="4157" spans="2:5" x14ac:dyDescent="0.25">
      <c r="B4157" t="e">
        <f t="shared" ca="1" si="131"/>
        <v>#NAME?</v>
      </c>
      <c r="C4157">
        <v>4114</v>
      </c>
      <c r="D4157" t="e">
        <f t="shared" ca="1" si="130"/>
        <v>#NAME?</v>
      </c>
      <c r="E4157" s="115" t="e">
        <f t="array" aca="1" ref="E4157" ca="1">IF(OR(C4156=0,AND(B4158=0,C4158=0)),"",IFERROR(INDEX($F$27:$F$36,MATCH(C4157,($F$27:$F$36)*($D$27:$D$36&lt;&gt;0),0)),IF(OR(AND(D4157=0,B4157=0,B4158&lt;&gt;0),AND(D4157*D4156&lt;0,B4157&lt;&gt;0)),IF(D4157=0,C4157,C4157*(1-ABS(D4157)/(ABS(D4157)+ABS(D4156)))+C4156*(1-ABS(D4156)/(ABS(D4157)+ABS(D4156)))),"")))</f>
        <v>#NAME?</v>
      </c>
    </row>
    <row r="4158" spans="2:5" x14ac:dyDescent="0.25">
      <c r="B4158" t="e">
        <f t="shared" ca="1" si="131"/>
        <v>#NAME?</v>
      </c>
      <c r="C4158">
        <v>4115</v>
      </c>
      <c r="D4158" t="e">
        <f t="shared" ca="1" si="130"/>
        <v>#NAME?</v>
      </c>
      <c r="E4158" s="115" t="e">
        <f t="array" aca="1" ref="E4158" ca="1">IF(OR(C4157=0,AND(B4159=0,C4159=0)),"",IFERROR(INDEX($F$27:$F$36,MATCH(C4158,($F$27:$F$36)*($D$27:$D$36&lt;&gt;0),0)),IF(OR(AND(D4158=0,B4158=0,B4159&lt;&gt;0),AND(D4158*D4157&lt;0,B4158&lt;&gt;0)),IF(D4158=0,C4158,C4158*(1-ABS(D4158)/(ABS(D4158)+ABS(D4157)))+C4157*(1-ABS(D4157)/(ABS(D4158)+ABS(D4157)))),"")))</f>
        <v>#NAME?</v>
      </c>
    </row>
    <row r="4159" spans="2:5" x14ac:dyDescent="0.25">
      <c r="B4159" t="e">
        <f t="shared" ca="1" si="131"/>
        <v>#NAME?</v>
      </c>
      <c r="C4159">
        <v>4116</v>
      </c>
      <c r="D4159" t="e">
        <f t="shared" ca="1" si="130"/>
        <v>#NAME?</v>
      </c>
      <c r="E4159" s="115" t="e">
        <f t="array" aca="1" ref="E4159" ca="1">IF(OR(C4158=0,AND(B4160=0,C4160=0)),"",IFERROR(INDEX($F$27:$F$36,MATCH(C4159,($F$27:$F$36)*($D$27:$D$36&lt;&gt;0),0)),IF(OR(AND(D4159=0,B4159=0,B4160&lt;&gt;0),AND(D4159*D4158&lt;0,B4159&lt;&gt;0)),IF(D4159=0,C4159,C4159*(1-ABS(D4159)/(ABS(D4159)+ABS(D4158)))+C4158*(1-ABS(D4158)/(ABS(D4159)+ABS(D4158)))),"")))</f>
        <v>#NAME?</v>
      </c>
    </row>
    <row r="4160" spans="2:5" x14ac:dyDescent="0.25">
      <c r="B4160" t="e">
        <f t="shared" ca="1" si="131"/>
        <v>#NAME?</v>
      </c>
      <c r="C4160">
        <v>4117</v>
      </c>
      <c r="D4160" t="e">
        <f t="shared" ca="1" si="130"/>
        <v>#NAME?</v>
      </c>
      <c r="E4160" s="115" t="e">
        <f t="array" aca="1" ref="E4160" ca="1">IF(OR(C4159=0,AND(B4161=0,C4161=0)),"",IFERROR(INDEX($F$27:$F$36,MATCH(C4160,($F$27:$F$36)*($D$27:$D$36&lt;&gt;0),0)),IF(OR(AND(D4160=0,B4160=0,B4161&lt;&gt;0),AND(D4160*D4159&lt;0,B4160&lt;&gt;0)),IF(D4160=0,C4160,C4160*(1-ABS(D4160)/(ABS(D4160)+ABS(D4159)))+C4159*(1-ABS(D4159)/(ABS(D4160)+ABS(D4159)))),"")))</f>
        <v>#NAME?</v>
      </c>
    </row>
    <row r="4161" spans="2:5" x14ac:dyDescent="0.25">
      <c r="B4161" t="e">
        <f t="shared" ca="1" si="131"/>
        <v>#NAME?</v>
      </c>
      <c r="C4161">
        <v>4118</v>
      </c>
      <c r="D4161" t="e">
        <f t="shared" ca="1" si="130"/>
        <v>#NAME?</v>
      </c>
      <c r="E4161" s="115" t="e">
        <f t="array" aca="1" ref="E4161" ca="1">IF(OR(C4160=0,AND(B4162=0,C4162=0)),"",IFERROR(INDEX($F$27:$F$36,MATCH(C4161,($F$27:$F$36)*($D$27:$D$36&lt;&gt;0),0)),IF(OR(AND(D4161=0,B4161=0,B4162&lt;&gt;0),AND(D4161*D4160&lt;0,B4161&lt;&gt;0)),IF(D4161=0,C4161,C4161*(1-ABS(D4161)/(ABS(D4161)+ABS(D4160)))+C4160*(1-ABS(D4160)/(ABS(D4161)+ABS(D4160)))),"")))</f>
        <v>#NAME?</v>
      </c>
    </row>
    <row r="4162" spans="2:5" x14ac:dyDescent="0.25">
      <c r="B4162" t="e">
        <f t="shared" ca="1" si="131"/>
        <v>#NAME?</v>
      </c>
      <c r="C4162">
        <v>4119</v>
      </c>
      <c r="D4162" t="e">
        <f t="shared" ca="1" si="130"/>
        <v>#NAME?</v>
      </c>
      <c r="E4162" s="115" t="e">
        <f t="array" aca="1" ref="E4162" ca="1">IF(OR(C4161=0,AND(B4163=0,C4163=0)),"",IFERROR(INDEX($F$27:$F$36,MATCH(C4162,($F$27:$F$36)*($D$27:$D$36&lt;&gt;0),0)),IF(OR(AND(D4162=0,B4162=0,B4163&lt;&gt;0),AND(D4162*D4161&lt;0,B4162&lt;&gt;0)),IF(D4162=0,C4162,C4162*(1-ABS(D4162)/(ABS(D4162)+ABS(D4161)))+C4161*(1-ABS(D4161)/(ABS(D4162)+ABS(D4161)))),"")))</f>
        <v>#NAME?</v>
      </c>
    </row>
    <row r="4163" spans="2:5" x14ac:dyDescent="0.25">
      <c r="B4163" t="e">
        <f t="shared" ca="1" si="131"/>
        <v>#NAME?</v>
      </c>
      <c r="C4163">
        <v>4120</v>
      </c>
      <c r="D4163" t="e">
        <f t="shared" ca="1" si="130"/>
        <v>#NAME?</v>
      </c>
      <c r="E4163" s="115" t="e">
        <f t="array" aca="1" ref="E4163" ca="1">IF(OR(C4162=0,AND(B4164=0,C4164=0)),"",IFERROR(INDEX($F$27:$F$36,MATCH(C4163,($F$27:$F$36)*($D$27:$D$36&lt;&gt;0),0)),IF(OR(AND(D4163=0,B4163=0,B4164&lt;&gt;0),AND(D4163*D4162&lt;0,B4163&lt;&gt;0)),IF(D4163=0,C4163,C4163*(1-ABS(D4163)/(ABS(D4163)+ABS(D4162)))+C4162*(1-ABS(D4162)/(ABS(D4163)+ABS(D4162)))),"")))</f>
        <v>#NAME?</v>
      </c>
    </row>
    <row r="4164" spans="2:5" x14ac:dyDescent="0.25">
      <c r="B4164" t="e">
        <f t="shared" ca="1" si="131"/>
        <v>#NAME?</v>
      </c>
      <c r="C4164">
        <v>4121</v>
      </c>
      <c r="D4164" t="e">
        <f t="shared" ca="1" si="130"/>
        <v>#NAME?</v>
      </c>
      <c r="E4164" s="115" t="e">
        <f t="array" aca="1" ref="E4164" ca="1">IF(OR(C4163=0,AND(B4165=0,C4165=0)),"",IFERROR(INDEX($F$27:$F$36,MATCH(C4164,($F$27:$F$36)*($D$27:$D$36&lt;&gt;0),0)),IF(OR(AND(D4164=0,B4164=0,B4165&lt;&gt;0),AND(D4164*D4163&lt;0,B4164&lt;&gt;0)),IF(D4164=0,C4164,C4164*(1-ABS(D4164)/(ABS(D4164)+ABS(D4163)))+C4163*(1-ABS(D4163)/(ABS(D4164)+ABS(D4163)))),"")))</f>
        <v>#NAME?</v>
      </c>
    </row>
    <row r="4165" spans="2:5" x14ac:dyDescent="0.25">
      <c r="B4165" t="e">
        <f t="shared" ca="1" si="131"/>
        <v>#NAME?</v>
      </c>
      <c r="C4165">
        <v>4122</v>
      </c>
      <c r="D4165" t="e">
        <f t="shared" ca="1" si="130"/>
        <v>#NAME?</v>
      </c>
      <c r="E4165" s="115" t="e">
        <f t="array" aca="1" ref="E4165" ca="1">IF(OR(C4164=0,AND(B4166=0,C4166=0)),"",IFERROR(INDEX($F$27:$F$36,MATCH(C4165,($F$27:$F$36)*($D$27:$D$36&lt;&gt;0),0)),IF(OR(AND(D4165=0,B4165=0,B4166&lt;&gt;0),AND(D4165*D4164&lt;0,B4165&lt;&gt;0)),IF(D4165=0,C4165,C4165*(1-ABS(D4165)/(ABS(D4165)+ABS(D4164)))+C4164*(1-ABS(D4164)/(ABS(D4165)+ABS(D4164)))),"")))</f>
        <v>#NAME?</v>
      </c>
    </row>
    <row r="4166" spans="2:5" x14ac:dyDescent="0.25">
      <c r="B4166" t="e">
        <f t="shared" ca="1" si="131"/>
        <v>#NAME?</v>
      </c>
      <c r="C4166">
        <v>4123</v>
      </c>
      <c r="D4166" t="e">
        <f t="shared" ca="1" si="130"/>
        <v>#NAME?</v>
      </c>
      <c r="E4166" s="115" t="e">
        <f t="array" aca="1" ref="E4166" ca="1">IF(OR(C4165=0,AND(B4167=0,C4167=0)),"",IFERROR(INDEX($F$27:$F$36,MATCH(C4166,($F$27:$F$36)*($D$27:$D$36&lt;&gt;0),0)),IF(OR(AND(D4166=0,B4166=0,B4167&lt;&gt;0),AND(D4166*D4165&lt;0,B4166&lt;&gt;0)),IF(D4166=0,C4166,C4166*(1-ABS(D4166)/(ABS(D4166)+ABS(D4165)))+C4165*(1-ABS(D4165)/(ABS(D4166)+ABS(D4165)))),"")))</f>
        <v>#NAME?</v>
      </c>
    </row>
    <row r="4167" spans="2:5" x14ac:dyDescent="0.25">
      <c r="B4167" t="e">
        <f t="shared" ca="1" si="131"/>
        <v>#NAME?</v>
      </c>
      <c r="C4167">
        <v>4124</v>
      </c>
      <c r="D4167" t="e">
        <f t="shared" ca="1" si="130"/>
        <v>#NAME?</v>
      </c>
      <c r="E4167" s="115" t="e">
        <f t="array" aca="1" ref="E4167" ca="1">IF(OR(C4166=0,AND(B4168=0,C4168=0)),"",IFERROR(INDEX($F$27:$F$36,MATCH(C4167,($F$27:$F$36)*($D$27:$D$36&lt;&gt;0),0)),IF(OR(AND(D4167=0,B4167=0,B4168&lt;&gt;0),AND(D4167*D4166&lt;0,B4167&lt;&gt;0)),IF(D4167=0,C4167,C4167*(1-ABS(D4167)/(ABS(D4167)+ABS(D4166)))+C4166*(1-ABS(D4166)/(ABS(D4167)+ABS(D4166)))),"")))</f>
        <v>#NAME?</v>
      </c>
    </row>
    <row r="4168" spans="2:5" x14ac:dyDescent="0.25">
      <c r="B4168" t="e">
        <f t="shared" ca="1" si="131"/>
        <v>#NAME?</v>
      </c>
      <c r="C4168">
        <v>4125</v>
      </c>
      <c r="D4168" t="e">
        <f t="shared" ca="1" si="130"/>
        <v>#NAME?</v>
      </c>
      <c r="E4168" s="115" t="e">
        <f t="array" aca="1" ref="E4168" ca="1">IF(OR(C4167=0,AND(B4169=0,C4169=0)),"",IFERROR(INDEX($F$27:$F$36,MATCH(C4168,($F$27:$F$36)*($D$27:$D$36&lt;&gt;0),0)),IF(OR(AND(D4168=0,B4168=0,B4169&lt;&gt;0),AND(D4168*D4167&lt;0,B4168&lt;&gt;0)),IF(D4168=0,C4168,C4168*(1-ABS(D4168)/(ABS(D4168)+ABS(D4167)))+C4167*(1-ABS(D4167)/(ABS(D4168)+ABS(D4167)))),"")))</f>
        <v>#NAME?</v>
      </c>
    </row>
    <row r="4169" spans="2:5" x14ac:dyDescent="0.25">
      <c r="B4169" t="e">
        <f t="shared" ca="1" si="131"/>
        <v>#NAME?</v>
      </c>
      <c r="C4169">
        <v>4126</v>
      </c>
      <c r="D4169" t="e">
        <f t="shared" ca="1" si="130"/>
        <v>#NAME?</v>
      </c>
      <c r="E4169" s="115" t="e">
        <f t="array" aca="1" ref="E4169" ca="1">IF(OR(C4168=0,AND(B4170=0,C4170=0)),"",IFERROR(INDEX($F$27:$F$36,MATCH(C4169,($F$27:$F$36)*($D$27:$D$36&lt;&gt;0),0)),IF(OR(AND(D4169=0,B4169=0,B4170&lt;&gt;0),AND(D4169*D4168&lt;0,B4169&lt;&gt;0)),IF(D4169=0,C4169,C4169*(1-ABS(D4169)/(ABS(D4169)+ABS(D4168)))+C4168*(1-ABS(D4168)/(ABS(D4169)+ABS(D4168)))),"")))</f>
        <v>#NAME?</v>
      </c>
    </row>
    <row r="4170" spans="2:5" x14ac:dyDescent="0.25">
      <c r="B4170" t="e">
        <f t="shared" ca="1" si="131"/>
        <v>#NAME?</v>
      </c>
      <c r="C4170">
        <v>4127</v>
      </c>
      <c r="D4170" t="e">
        <f t="shared" ca="1" si="130"/>
        <v>#NAME?</v>
      </c>
      <c r="E4170" s="115" t="e">
        <f t="array" aca="1" ref="E4170" ca="1">IF(OR(C4169=0,AND(B4171=0,C4171=0)),"",IFERROR(INDEX($F$27:$F$36,MATCH(C4170,($F$27:$F$36)*($D$27:$D$36&lt;&gt;0),0)),IF(OR(AND(D4170=0,B4170=0,B4171&lt;&gt;0),AND(D4170*D4169&lt;0,B4170&lt;&gt;0)),IF(D4170=0,C4170,C4170*(1-ABS(D4170)/(ABS(D4170)+ABS(D4169)))+C4169*(1-ABS(D4169)/(ABS(D4170)+ABS(D4169)))),"")))</f>
        <v>#NAME?</v>
      </c>
    </row>
    <row r="4171" spans="2:5" x14ac:dyDescent="0.25">
      <c r="B4171" t="e">
        <f t="shared" ca="1" si="131"/>
        <v>#NAME?</v>
      </c>
      <c r="C4171">
        <v>4128</v>
      </c>
      <c r="D4171" t="e">
        <f t="shared" ca="1" si="130"/>
        <v>#NAME?</v>
      </c>
      <c r="E4171" s="115" t="e">
        <f t="array" aca="1" ref="E4171" ca="1">IF(OR(C4170=0,AND(B4172=0,C4172=0)),"",IFERROR(INDEX($F$27:$F$36,MATCH(C4171,($F$27:$F$36)*($D$27:$D$36&lt;&gt;0),0)),IF(OR(AND(D4171=0,B4171=0,B4172&lt;&gt;0),AND(D4171*D4170&lt;0,B4171&lt;&gt;0)),IF(D4171=0,C4171,C4171*(1-ABS(D4171)/(ABS(D4171)+ABS(D4170)))+C4170*(1-ABS(D4170)/(ABS(D4171)+ABS(D4170)))),"")))</f>
        <v>#NAME?</v>
      </c>
    </row>
    <row r="4172" spans="2:5" x14ac:dyDescent="0.25">
      <c r="B4172" t="e">
        <f t="shared" ca="1" si="131"/>
        <v>#NAME?</v>
      </c>
      <c r="C4172">
        <v>4129</v>
      </c>
      <c r="D4172" t="e">
        <f t="shared" ca="1" si="130"/>
        <v>#NAME?</v>
      </c>
      <c r="E4172" s="115" t="e">
        <f t="array" aca="1" ref="E4172" ca="1">IF(OR(C4171=0,AND(B4173=0,C4173=0)),"",IFERROR(INDEX($F$27:$F$36,MATCH(C4172,($F$27:$F$36)*($D$27:$D$36&lt;&gt;0),0)),IF(OR(AND(D4172=0,B4172=0,B4173&lt;&gt;0),AND(D4172*D4171&lt;0,B4172&lt;&gt;0)),IF(D4172=0,C4172,C4172*(1-ABS(D4172)/(ABS(D4172)+ABS(D4171)))+C4171*(1-ABS(D4171)/(ABS(D4172)+ABS(D4171)))),"")))</f>
        <v>#NAME?</v>
      </c>
    </row>
    <row r="4173" spans="2:5" x14ac:dyDescent="0.25">
      <c r="B4173" t="e">
        <f t="shared" ca="1" si="131"/>
        <v>#NAME?</v>
      </c>
      <c r="C4173">
        <v>4130</v>
      </c>
      <c r="D4173" t="e">
        <f t="shared" ca="1" si="130"/>
        <v>#NAME?</v>
      </c>
      <c r="E4173" s="115" t="e">
        <f t="array" aca="1" ref="E4173" ca="1">IF(OR(C4172=0,AND(B4174=0,C4174=0)),"",IFERROR(INDEX($F$27:$F$36,MATCH(C4173,($F$27:$F$36)*($D$27:$D$36&lt;&gt;0),0)),IF(OR(AND(D4173=0,B4173=0,B4174&lt;&gt;0),AND(D4173*D4172&lt;0,B4173&lt;&gt;0)),IF(D4173=0,C4173,C4173*(1-ABS(D4173)/(ABS(D4173)+ABS(D4172)))+C4172*(1-ABS(D4172)/(ABS(D4173)+ABS(D4172)))),"")))</f>
        <v>#NAME?</v>
      </c>
    </row>
    <row r="4174" spans="2:5" x14ac:dyDescent="0.25">
      <c r="B4174" t="e">
        <f t="shared" ca="1" si="131"/>
        <v>#NAME?</v>
      </c>
      <c r="C4174">
        <v>4131</v>
      </c>
      <c r="D4174" t="e">
        <f t="shared" ca="1" si="130"/>
        <v>#NAME?</v>
      </c>
      <c r="E4174" s="115" t="e">
        <f t="array" aca="1" ref="E4174" ca="1">IF(OR(C4173=0,AND(B4175=0,C4175=0)),"",IFERROR(INDEX($F$27:$F$36,MATCH(C4174,($F$27:$F$36)*($D$27:$D$36&lt;&gt;0),0)),IF(OR(AND(D4174=0,B4174=0,B4175&lt;&gt;0),AND(D4174*D4173&lt;0,B4174&lt;&gt;0)),IF(D4174=0,C4174,C4174*(1-ABS(D4174)/(ABS(D4174)+ABS(D4173)))+C4173*(1-ABS(D4173)/(ABS(D4174)+ABS(D4173)))),"")))</f>
        <v>#NAME?</v>
      </c>
    </row>
    <row r="4175" spans="2:5" x14ac:dyDescent="0.25">
      <c r="B4175" t="e">
        <f t="shared" ca="1" si="131"/>
        <v>#NAME?</v>
      </c>
      <c r="C4175">
        <v>4132</v>
      </c>
      <c r="D4175" t="e">
        <f t="shared" ca="1" si="130"/>
        <v>#NAME?</v>
      </c>
      <c r="E4175" s="115" t="e">
        <f t="array" aca="1" ref="E4175" ca="1">IF(OR(C4174=0,AND(B4176=0,C4176=0)),"",IFERROR(INDEX($F$27:$F$36,MATCH(C4175,($F$27:$F$36)*($D$27:$D$36&lt;&gt;0),0)),IF(OR(AND(D4175=0,B4175=0,B4176&lt;&gt;0),AND(D4175*D4174&lt;0,B4175&lt;&gt;0)),IF(D4175=0,C4175,C4175*(1-ABS(D4175)/(ABS(D4175)+ABS(D4174)))+C4174*(1-ABS(D4174)/(ABS(D4175)+ABS(D4174)))),"")))</f>
        <v>#NAME?</v>
      </c>
    </row>
    <row r="4176" spans="2:5" x14ac:dyDescent="0.25">
      <c r="B4176" t="e">
        <f t="shared" ca="1" si="131"/>
        <v>#NAME?</v>
      </c>
      <c r="C4176">
        <v>4133</v>
      </c>
      <c r="D4176" t="e">
        <f t="shared" ca="1" si="130"/>
        <v>#NAME?</v>
      </c>
      <c r="E4176" s="115" t="e">
        <f t="array" aca="1" ref="E4176" ca="1">IF(OR(C4175=0,AND(B4177=0,C4177=0)),"",IFERROR(INDEX($F$27:$F$36,MATCH(C4176,($F$27:$F$36)*($D$27:$D$36&lt;&gt;0),0)),IF(OR(AND(D4176=0,B4176=0,B4177&lt;&gt;0),AND(D4176*D4175&lt;0,B4176&lt;&gt;0)),IF(D4176=0,C4176,C4176*(1-ABS(D4176)/(ABS(D4176)+ABS(D4175)))+C4175*(1-ABS(D4175)/(ABS(D4176)+ABS(D4175)))),"")))</f>
        <v>#NAME?</v>
      </c>
    </row>
    <row r="4177" spans="2:5" x14ac:dyDescent="0.25">
      <c r="B4177" t="e">
        <f t="shared" ca="1" si="131"/>
        <v>#NAME?</v>
      </c>
      <c r="C4177">
        <v>4134</v>
      </c>
      <c r="D4177" t="e">
        <f t="shared" ca="1" si="130"/>
        <v>#NAME?</v>
      </c>
      <c r="E4177" s="115" t="e">
        <f t="array" aca="1" ref="E4177" ca="1">IF(OR(C4176=0,AND(B4178=0,C4178=0)),"",IFERROR(INDEX($F$27:$F$36,MATCH(C4177,($F$27:$F$36)*($D$27:$D$36&lt;&gt;0),0)),IF(OR(AND(D4177=0,B4177=0,B4178&lt;&gt;0),AND(D4177*D4176&lt;0,B4177&lt;&gt;0)),IF(D4177=0,C4177,C4177*(1-ABS(D4177)/(ABS(D4177)+ABS(D4176)))+C4176*(1-ABS(D4176)/(ABS(D4177)+ABS(D4176)))),"")))</f>
        <v>#NAME?</v>
      </c>
    </row>
    <row r="4178" spans="2:5" x14ac:dyDescent="0.25">
      <c r="B4178" t="e">
        <f t="shared" ca="1" si="131"/>
        <v>#NAME?</v>
      </c>
      <c r="C4178">
        <v>4135</v>
      </c>
      <c r="D4178" t="e">
        <f t="shared" ca="1" si="130"/>
        <v>#NAME?</v>
      </c>
      <c r="E4178" s="115" t="e">
        <f t="array" aca="1" ref="E4178" ca="1">IF(OR(C4177=0,AND(B4179=0,C4179=0)),"",IFERROR(INDEX($F$27:$F$36,MATCH(C4178,($F$27:$F$36)*($D$27:$D$36&lt;&gt;0),0)),IF(OR(AND(D4178=0,B4178=0,B4179&lt;&gt;0),AND(D4178*D4177&lt;0,B4178&lt;&gt;0)),IF(D4178=0,C4178,C4178*(1-ABS(D4178)/(ABS(D4178)+ABS(D4177)))+C4177*(1-ABS(D4177)/(ABS(D4178)+ABS(D4177)))),"")))</f>
        <v>#NAME?</v>
      </c>
    </row>
    <row r="4179" spans="2:5" x14ac:dyDescent="0.25">
      <c r="B4179" t="e">
        <f t="shared" ca="1" si="131"/>
        <v>#NAME?</v>
      </c>
      <c r="C4179">
        <v>4136</v>
      </c>
      <c r="D4179" t="e">
        <f t="shared" ca="1" si="130"/>
        <v>#NAME?</v>
      </c>
      <c r="E4179" s="115" t="e">
        <f t="array" aca="1" ref="E4179" ca="1">IF(OR(C4178=0,AND(B4180=0,C4180=0)),"",IFERROR(INDEX($F$27:$F$36,MATCH(C4179,($F$27:$F$36)*($D$27:$D$36&lt;&gt;0),0)),IF(OR(AND(D4179=0,B4179=0,B4180&lt;&gt;0),AND(D4179*D4178&lt;0,B4179&lt;&gt;0)),IF(D4179=0,C4179,C4179*(1-ABS(D4179)/(ABS(D4179)+ABS(D4178)))+C4178*(1-ABS(D4178)/(ABS(D4179)+ABS(D4178)))),"")))</f>
        <v>#NAME?</v>
      </c>
    </row>
    <row r="4180" spans="2:5" x14ac:dyDescent="0.25">
      <c r="B4180" t="e">
        <f t="shared" ca="1" si="131"/>
        <v>#NAME?</v>
      </c>
      <c r="C4180">
        <v>4137</v>
      </c>
      <c r="D4180" t="e">
        <f t="shared" ca="1" si="130"/>
        <v>#NAME?</v>
      </c>
      <c r="E4180" s="115" t="e">
        <f t="array" aca="1" ref="E4180" ca="1">IF(OR(C4179=0,AND(B4181=0,C4181=0)),"",IFERROR(INDEX($F$27:$F$36,MATCH(C4180,($F$27:$F$36)*($D$27:$D$36&lt;&gt;0),0)),IF(OR(AND(D4180=0,B4180=0,B4181&lt;&gt;0),AND(D4180*D4179&lt;0,B4180&lt;&gt;0)),IF(D4180=0,C4180,C4180*(1-ABS(D4180)/(ABS(D4180)+ABS(D4179)))+C4179*(1-ABS(D4179)/(ABS(D4180)+ABS(D4179)))),"")))</f>
        <v>#NAME?</v>
      </c>
    </row>
    <row r="4181" spans="2:5" x14ac:dyDescent="0.25">
      <c r="B4181" t="e">
        <f t="shared" ca="1" si="131"/>
        <v>#NAME?</v>
      </c>
      <c r="C4181">
        <v>4138</v>
      </c>
      <c r="D4181" t="e">
        <f t="shared" ca="1" si="130"/>
        <v>#NAME?</v>
      </c>
      <c r="E4181" s="115" t="e">
        <f t="array" aca="1" ref="E4181" ca="1">IF(OR(C4180=0,AND(B4182=0,C4182=0)),"",IFERROR(INDEX($F$27:$F$36,MATCH(C4181,($F$27:$F$36)*($D$27:$D$36&lt;&gt;0),0)),IF(OR(AND(D4181=0,B4181=0,B4182&lt;&gt;0),AND(D4181*D4180&lt;0,B4181&lt;&gt;0)),IF(D4181=0,C4181,C4181*(1-ABS(D4181)/(ABS(D4181)+ABS(D4180)))+C4180*(1-ABS(D4180)/(ABS(D4181)+ABS(D4180)))),"")))</f>
        <v>#NAME?</v>
      </c>
    </row>
    <row r="4182" spans="2:5" x14ac:dyDescent="0.25">
      <c r="B4182" t="e">
        <f t="shared" ca="1" si="131"/>
        <v>#NAME?</v>
      </c>
      <c r="C4182">
        <v>4139</v>
      </c>
      <c r="D4182" t="e">
        <f t="shared" ca="1" si="130"/>
        <v>#NAME?</v>
      </c>
      <c r="E4182" s="115" t="e">
        <f t="array" aca="1" ref="E4182" ca="1">IF(OR(C4181=0,AND(B4183=0,C4183=0)),"",IFERROR(INDEX($F$27:$F$36,MATCH(C4182,($F$27:$F$36)*($D$27:$D$36&lt;&gt;0),0)),IF(OR(AND(D4182=0,B4182=0,B4183&lt;&gt;0),AND(D4182*D4181&lt;0,B4182&lt;&gt;0)),IF(D4182=0,C4182,C4182*(1-ABS(D4182)/(ABS(D4182)+ABS(D4181)))+C4181*(1-ABS(D4181)/(ABS(D4182)+ABS(D4181)))),"")))</f>
        <v>#NAME?</v>
      </c>
    </row>
    <row r="4183" spans="2:5" x14ac:dyDescent="0.25">
      <c r="B4183" t="e">
        <f t="shared" ca="1" si="131"/>
        <v>#NAME?</v>
      </c>
      <c r="C4183">
        <v>4140</v>
      </c>
      <c r="D4183" t="e">
        <f t="shared" ca="1" si="130"/>
        <v>#NAME?</v>
      </c>
      <c r="E4183" s="115" t="e">
        <f t="array" aca="1" ref="E4183" ca="1">IF(OR(C4182=0,AND(B4184=0,C4184=0)),"",IFERROR(INDEX($F$27:$F$36,MATCH(C4183,($F$27:$F$36)*($D$27:$D$36&lt;&gt;0),0)),IF(OR(AND(D4183=0,B4183=0,B4184&lt;&gt;0),AND(D4183*D4182&lt;0,B4183&lt;&gt;0)),IF(D4183=0,C4183,C4183*(1-ABS(D4183)/(ABS(D4183)+ABS(D4182)))+C4182*(1-ABS(D4182)/(ABS(D4183)+ABS(D4182)))),"")))</f>
        <v>#NAME?</v>
      </c>
    </row>
    <row r="4184" spans="2:5" x14ac:dyDescent="0.25">
      <c r="B4184" t="e">
        <f t="shared" ca="1" si="131"/>
        <v>#NAME?</v>
      </c>
      <c r="C4184">
        <v>4141</v>
      </c>
      <c r="D4184" t="e">
        <f t="shared" ca="1" si="130"/>
        <v>#NAME?</v>
      </c>
      <c r="E4184" s="115" t="e">
        <f t="array" aca="1" ref="E4184" ca="1">IF(OR(C4183=0,AND(B4185=0,C4185=0)),"",IFERROR(INDEX($F$27:$F$36,MATCH(C4184,($F$27:$F$36)*($D$27:$D$36&lt;&gt;0),0)),IF(OR(AND(D4184=0,B4184=0,B4185&lt;&gt;0),AND(D4184*D4183&lt;0,B4184&lt;&gt;0)),IF(D4184=0,C4184,C4184*(1-ABS(D4184)/(ABS(D4184)+ABS(D4183)))+C4183*(1-ABS(D4183)/(ABS(D4184)+ABS(D4183)))),"")))</f>
        <v>#NAME?</v>
      </c>
    </row>
    <row r="4185" spans="2:5" x14ac:dyDescent="0.25">
      <c r="B4185" t="e">
        <f t="shared" ca="1" si="131"/>
        <v>#NAME?</v>
      </c>
      <c r="C4185">
        <v>4142</v>
      </c>
      <c r="D4185" t="e">
        <f t="shared" ca="1" si="130"/>
        <v>#NAME?</v>
      </c>
      <c r="E4185" s="115" t="e">
        <f t="array" aca="1" ref="E4185" ca="1">IF(OR(C4184=0,AND(B4186=0,C4186=0)),"",IFERROR(INDEX($F$27:$F$36,MATCH(C4185,($F$27:$F$36)*($D$27:$D$36&lt;&gt;0),0)),IF(OR(AND(D4185=0,B4185=0,B4186&lt;&gt;0),AND(D4185*D4184&lt;0,B4185&lt;&gt;0)),IF(D4185=0,C4185,C4185*(1-ABS(D4185)/(ABS(D4185)+ABS(D4184)))+C4184*(1-ABS(D4184)/(ABS(D4185)+ABS(D4184)))),"")))</f>
        <v>#NAME?</v>
      </c>
    </row>
    <row r="4186" spans="2:5" x14ac:dyDescent="0.25">
      <c r="B4186" t="e">
        <f t="shared" ca="1" si="131"/>
        <v>#NAME?</v>
      </c>
      <c r="C4186">
        <v>4143</v>
      </c>
      <c r="D4186" t="e">
        <f t="shared" ca="1" si="130"/>
        <v>#NAME?</v>
      </c>
      <c r="E4186" s="115" t="e">
        <f t="array" aca="1" ref="E4186" ca="1">IF(OR(C4185=0,AND(B4187=0,C4187=0)),"",IFERROR(INDEX($F$27:$F$36,MATCH(C4186,($F$27:$F$36)*($D$27:$D$36&lt;&gt;0),0)),IF(OR(AND(D4186=0,B4186=0,B4187&lt;&gt;0),AND(D4186*D4185&lt;0,B4186&lt;&gt;0)),IF(D4186=0,C4186,C4186*(1-ABS(D4186)/(ABS(D4186)+ABS(D4185)))+C4185*(1-ABS(D4185)/(ABS(D4186)+ABS(D4185)))),"")))</f>
        <v>#NAME?</v>
      </c>
    </row>
    <row r="4187" spans="2:5" x14ac:dyDescent="0.25">
      <c r="B4187" t="e">
        <f t="shared" ca="1" si="131"/>
        <v>#NAME?</v>
      </c>
      <c r="C4187">
        <v>4144</v>
      </c>
      <c r="D4187" t="e">
        <f t="shared" ca="1" si="130"/>
        <v>#NAME?</v>
      </c>
      <c r="E4187" s="115" t="e">
        <f t="array" aca="1" ref="E4187" ca="1">IF(OR(C4186=0,AND(B4188=0,C4188=0)),"",IFERROR(INDEX($F$27:$F$36,MATCH(C4187,($F$27:$F$36)*($D$27:$D$36&lt;&gt;0),0)),IF(OR(AND(D4187=0,B4187=0,B4188&lt;&gt;0),AND(D4187*D4186&lt;0,B4187&lt;&gt;0)),IF(D4187=0,C4187,C4187*(1-ABS(D4187)/(ABS(D4187)+ABS(D4186)))+C4186*(1-ABS(D4186)/(ABS(D4187)+ABS(D4186)))),"")))</f>
        <v>#NAME?</v>
      </c>
    </row>
    <row r="4188" spans="2:5" x14ac:dyDescent="0.25">
      <c r="B4188" t="e">
        <f t="shared" ca="1" si="131"/>
        <v>#NAME?</v>
      </c>
      <c r="C4188">
        <v>4145</v>
      </c>
      <c r="D4188" t="e">
        <f t="shared" ca="1" si="130"/>
        <v>#NAME?</v>
      </c>
      <c r="E4188" s="115" t="e">
        <f t="array" aca="1" ref="E4188" ca="1">IF(OR(C4187=0,AND(B4189=0,C4189=0)),"",IFERROR(INDEX($F$27:$F$36,MATCH(C4188,($F$27:$F$36)*($D$27:$D$36&lt;&gt;0),0)),IF(OR(AND(D4188=0,B4188=0,B4189&lt;&gt;0),AND(D4188*D4187&lt;0,B4188&lt;&gt;0)),IF(D4188=0,C4188,C4188*(1-ABS(D4188)/(ABS(D4188)+ABS(D4187)))+C4187*(1-ABS(D4187)/(ABS(D4188)+ABS(D4187)))),"")))</f>
        <v>#NAME?</v>
      </c>
    </row>
    <row r="4189" spans="2:5" x14ac:dyDescent="0.25">
      <c r="B4189" t="e">
        <f t="shared" ca="1" si="131"/>
        <v>#NAME?</v>
      </c>
      <c r="C4189">
        <v>4146</v>
      </c>
      <c r="D4189" t="e">
        <f t="shared" ca="1" si="130"/>
        <v>#NAME?</v>
      </c>
      <c r="E4189" s="115" t="e">
        <f t="array" aca="1" ref="E4189" ca="1">IF(OR(C4188=0,AND(B4190=0,C4190=0)),"",IFERROR(INDEX($F$27:$F$36,MATCH(C4189,($F$27:$F$36)*($D$27:$D$36&lt;&gt;0),0)),IF(OR(AND(D4189=0,B4189=0,B4190&lt;&gt;0),AND(D4189*D4188&lt;0,B4189&lt;&gt;0)),IF(D4189=0,C4189,C4189*(1-ABS(D4189)/(ABS(D4189)+ABS(D4188)))+C4188*(1-ABS(D4188)/(ABS(D4189)+ABS(D4188)))),"")))</f>
        <v>#NAME?</v>
      </c>
    </row>
    <row r="4190" spans="2:5" x14ac:dyDescent="0.25">
      <c r="B4190" t="e">
        <f t="shared" ca="1" si="131"/>
        <v>#NAME?</v>
      </c>
      <c r="C4190">
        <v>4147</v>
      </c>
      <c r="D4190" t="e">
        <f t="shared" ca="1" si="130"/>
        <v>#NAME?</v>
      </c>
      <c r="E4190" s="115" t="e">
        <f t="array" aca="1" ref="E4190" ca="1">IF(OR(C4189=0,AND(B4191=0,C4191=0)),"",IFERROR(INDEX($F$27:$F$36,MATCH(C4190,($F$27:$F$36)*($D$27:$D$36&lt;&gt;0),0)),IF(OR(AND(D4190=0,B4190=0,B4191&lt;&gt;0),AND(D4190*D4189&lt;0,B4190&lt;&gt;0)),IF(D4190=0,C4190,C4190*(1-ABS(D4190)/(ABS(D4190)+ABS(D4189)))+C4189*(1-ABS(D4189)/(ABS(D4190)+ABS(D4189)))),"")))</f>
        <v>#NAME?</v>
      </c>
    </row>
    <row r="4191" spans="2:5" x14ac:dyDescent="0.25">
      <c r="B4191" t="e">
        <f t="shared" ca="1" si="131"/>
        <v>#NAME?</v>
      </c>
      <c r="C4191">
        <v>4148</v>
      </c>
      <c r="D4191" t="e">
        <f t="shared" ca="1" si="130"/>
        <v>#NAME?</v>
      </c>
      <c r="E4191" s="115" t="e">
        <f t="array" aca="1" ref="E4191" ca="1">IF(OR(C4190=0,AND(B4192=0,C4192=0)),"",IFERROR(INDEX($F$27:$F$36,MATCH(C4191,($F$27:$F$36)*($D$27:$D$36&lt;&gt;0),0)),IF(OR(AND(D4191=0,B4191=0,B4192&lt;&gt;0),AND(D4191*D4190&lt;0,B4191&lt;&gt;0)),IF(D4191=0,C4191,C4191*(1-ABS(D4191)/(ABS(D4191)+ABS(D4190)))+C4190*(1-ABS(D4190)/(ABS(D4191)+ABS(D4190)))),"")))</f>
        <v>#NAME?</v>
      </c>
    </row>
    <row r="4192" spans="2:5" x14ac:dyDescent="0.25">
      <c r="B4192" t="e">
        <f t="shared" ca="1" si="131"/>
        <v>#NAME?</v>
      </c>
      <c r="C4192">
        <v>4149</v>
      </c>
      <c r="D4192" t="e">
        <f t="shared" ca="1" si="130"/>
        <v>#NAME?</v>
      </c>
      <c r="E4192" s="115" t="e">
        <f t="array" aca="1" ref="E4192" ca="1">IF(OR(C4191=0,AND(B4193=0,C4193=0)),"",IFERROR(INDEX($F$27:$F$36,MATCH(C4192,($F$27:$F$36)*($D$27:$D$36&lt;&gt;0),0)),IF(OR(AND(D4192=0,B4192=0,B4193&lt;&gt;0),AND(D4192*D4191&lt;0,B4192&lt;&gt;0)),IF(D4192=0,C4192,C4192*(1-ABS(D4192)/(ABS(D4192)+ABS(D4191)))+C4191*(1-ABS(D4191)/(ABS(D4192)+ABS(D4191)))),"")))</f>
        <v>#NAME?</v>
      </c>
    </row>
    <row r="4193" spans="2:5" x14ac:dyDescent="0.25">
      <c r="B4193" t="e">
        <f t="shared" ca="1" si="131"/>
        <v>#NAME?</v>
      </c>
      <c r="C4193">
        <v>4150</v>
      </c>
      <c r="D4193" t="e">
        <f t="shared" ca="1" si="130"/>
        <v>#NAME?</v>
      </c>
      <c r="E4193" s="115" t="e">
        <f t="array" aca="1" ref="E4193" ca="1">IF(OR(C4192=0,AND(B4194=0,C4194=0)),"",IFERROR(INDEX($F$27:$F$36,MATCH(C4193,($F$27:$F$36)*($D$27:$D$36&lt;&gt;0),0)),IF(OR(AND(D4193=0,B4193=0,B4194&lt;&gt;0),AND(D4193*D4192&lt;0,B4193&lt;&gt;0)),IF(D4193=0,C4193,C4193*(1-ABS(D4193)/(ABS(D4193)+ABS(D4192)))+C4192*(1-ABS(D4192)/(ABS(D4193)+ABS(D4192)))),"")))</f>
        <v>#NAME?</v>
      </c>
    </row>
    <row r="4194" spans="2:5" x14ac:dyDescent="0.25">
      <c r="B4194" t="e">
        <f t="shared" ca="1" si="131"/>
        <v>#NAME?</v>
      </c>
      <c r="C4194">
        <v>4151</v>
      </c>
      <c r="D4194" t="e">
        <f t="shared" ca="1" si="130"/>
        <v>#NAME?</v>
      </c>
      <c r="E4194" s="115" t="e">
        <f t="array" aca="1" ref="E4194" ca="1">IF(OR(C4193=0,AND(B4195=0,C4195=0)),"",IFERROR(INDEX($F$27:$F$36,MATCH(C4194,($F$27:$F$36)*($D$27:$D$36&lt;&gt;0),0)),IF(OR(AND(D4194=0,B4194=0,B4195&lt;&gt;0),AND(D4194*D4193&lt;0,B4194&lt;&gt;0)),IF(D4194=0,C4194,C4194*(1-ABS(D4194)/(ABS(D4194)+ABS(D4193)))+C4193*(1-ABS(D4193)/(ABS(D4194)+ABS(D4193)))),"")))</f>
        <v>#NAME?</v>
      </c>
    </row>
    <row r="4195" spans="2:5" x14ac:dyDescent="0.25">
      <c r="B4195" t="e">
        <f t="shared" ca="1" si="131"/>
        <v>#NAME?</v>
      </c>
      <c r="C4195">
        <v>4152</v>
      </c>
      <c r="D4195" t="e">
        <f t="shared" ca="1" si="130"/>
        <v>#NAME?</v>
      </c>
      <c r="E4195" s="115" t="e">
        <f t="array" aca="1" ref="E4195" ca="1">IF(OR(C4194=0,AND(B4196=0,C4196=0)),"",IFERROR(INDEX($F$27:$F$36,MATCH(C4195,($F$27:$F$36)*($D$27:$D$36&lt;&gt;0),0)),IF(OR(AND(D4195=0,B4195=0,B4196&lt;&gt;0),AND(D4195*D4194&lt;0,B4195&lt;&gt;0)),IF(D4195=0,C4195,C4195*(1-ABS(D4195)/(ABS(D4195)+ABS(D4194)))+C4194*(1-ABS(D4194)/(ABS(D4195)+ABS(D4194)))),"")))</f>
        <v>#NAME?</v>
      </c>
    </row>
    <row r="4196" spans="2:5" x14ac:dyDescent="0.25">
      <c r="B4196" t="e">
        <f t="shared" ca="1" si="131"/>
        <v>#NAME?</v>
      </c>
      <c r="C4196">
        <v>4153</v>
      </c>
      <c r="D4196" t="e">
        <f t="shared" ca="1" si="130"/>
        <v>#NAME?</v>
      </c>
      <c r="E4196" s="115" t="e">
        <f t="array" aca="1" ref="E4196" ca="1">IF(OR(C4195=0,AND(B4197=0,C4197=0)),"",IFERROR(INDEX($F$27:$F$36,MATCH(C4196,($F$27:$F$36)*($D$27:$D$36&lt;&gt;0),0)),IF(OR(AND(D4196=0,B4196=0,B4197&lt;&gt;0),AND(D4196*D4195&lt;0,B4196&lt;&gt;0)),IF(D4196=0,C4196,C4196*(1-ABS(D4196)/(ABS(D4196)+ABS(D4195)))+C4195*(1-ABS(D4195)/(ABS(D4196)+ABS(D4195)))),"")))</f>
        <v>#NAME?</v>
      </c>
    </row>
    <row r="4197" spans="2:5" x14ac:dyDescent="0.25">
      <c r="B4197" t="e">
        <f t="shared" ca="1" si="131"/>
        <v>#NAME?</v>
      </c>
      <c r="C4197">
        <v>4154</v>
      </c>
      <c r="D4197" t="e">
        <f t="shared" ca="1" si="130"/>
        <v>#NAME?</v>
      </c>
      <c r="E4197" s="115" t="e">
        <f t="array" aca="1" ref="E4197" ca="1">IF(OR(C4196=0,AND(B4198=0,C4198=0)),"",IFERROR(INDEX($F$27:$F$36,MATCH(C4197,($F$27:$F$36)*($D$27:$D$36&lt;&gt;0),0)),IF(OR(AND(D4197=0,B4197=0,B4198&lt;&gt;0),AND(D4197*D4196&lt;0,B4197&lt;&gt;0)),IF(D4197=0,C4197,C4197*(1-ABS(D4197)/(ABS(D4197)+ABS(D4196)))+C4196*(1-ABS(D4196)/(ABS(D4197)+ABS(D4196)))),"")))</f>
        <v>#NAME?</v>
      </c>
    </row>
    <row r="4198" spans="2:5" x14ac:dyDescent="0.25">
      <c r="B4198" t="e">
        <f t="shared" ca="1" si="131"/>
        <v>#NAME?</v>
      </c>
      <c r="C4198">
        <v>4155</v>
      </c>
      <c r="D4198" t="e">
        <f t="shared" ca="1" si="130"/>
        <v>#NAME?</v>
      </c>
      <c r="E4198" s="115" t="e">
        <f t="array" aca="1" ref="E4198" ca="1">IF(OR(C4197=0,AND(B4199=0,C4199=0)),"",IFERROR(INDEX($F$27:$F$36,MATCH(C4198,($F$27:$F$36)*($D$27:$D$36&lt;&gt;0),0)),IF(OR(AND(D4198=0,B4198=0,B4199&lt;&gt;0),AND(D4198*D4197&lt;0,B4198&lt;&gt;0)),IF(D4198=0,C4198,C4198*(1-ABS(D4198)/(ABS(D4198)+ABS(D4197)))+C4197*(1-ABS(D4197)/(ABS(D4198)+ABS(D4197)))),"")))</f>
        <v>#NAME?</v>
      </c>
    </row>
    <row r="4199" spans="2:5" x14ac:dyDescent="0.25">
      <c r="B4199" t="e">
        <f t="shared" ca="1" si="131"/>
        <v>#NAME?</v>
      </c>
      <c r="C4199">
        <v>4156</v>
      </c>
      <c r="D4199" t="e">
        <f t="shared" ca="1" si="130"/>
        <v>#NAME?</v>
      </c>
      <c r="E4199" s="115" t="e">
        <f t="array" aca="1" ref="E4199" ca="1">IF(OR(C4198=0,AND(B4200=0,C4200=0)),"",IFERROR(INDEX($F$27:$F$36,MATCH(C4199,($F$27:$F$36)*($D$27:$D$36&lt;&gt;0),0)),IF(OR(AND(D4199=0,B4199=0,B4200&lt;&gt;0),AND(D4199*D4198&lt;0,B4199&lt;&gt;0)),IF(D4199=0,C4199,C4199*(1-ABS(D4199)/(ABS(D4199)+ABS(D4198)))+C4198*(1-ABS(D4198)/(ABS(D4199)+ABS(D4198)))),"")))</f>
        <v>#NAME?</v>
      </c>
    </row>
    <row r="4200" spans="2:5" x14ac:dyDescent="0.25">
      <c r="B4200" t="e">
        <f t="shared" ca="1" si="131"/>
        <v>#NAME?</v>
      </c>
      <c r="C4200">
        <v>4157</v>
      </c>
      <c r="D4200" t="e">
        <f t="shared" ca="1" si="130"/>
        <v>#NAME?</v>
      </c>
      <c r="E4200" s="115" t="e">
        <f t="array" aca="1" ref="E4200" ca="1">IF(OR(C4199=0,AND(B4201=0,C4201=0)),"",IFERROR(INDEX($F$27:$F$36,MATCH(C4200,($F$27:$F$36)*($D$27:$D$36&lt;&gt;0),0)),IF(OR(AND(D4200=0,B4200=0,B4201&lt;&gt;0),AND(D4200*D4199&lt;0,B4200&lt;&gt;0)),IF(D4200=0,C4200,C4200*(1-ABS(D4200)/(ABS(D4200)+ABS(D4199)))+C4199*(1-ABS(D4199)/(ABS(D4200)+ABS(D4199)))),"")))</f>
        <v>#NAME?</v>
      </c>
    </row>
    <row r="4201" spans="2:5" x14ac:dyDescent="0.25">
      <c r="B4201" t="e">
        <f t="shared" ca="1" si="131"/>
        <v>#NAME?</v>
      </c>
      <c r="C4201">
        <v>4158</v>
      </c>
      <c r="D4201" t="e">
        <f t="shared" ca="1" si="130"/>
        <v>#NAME?</v>
      </c>
      <c r="E4201" s="115" t="e">
        <f t="array" aca="1" ref="E4201" ca="1">IF(OR(C4200=0,AND(B4202=0,C4202=0)),"",IFERROR(INDEX($F$27:$F$36,MATCH(C4201,($F$27:$F$36)*($D$27:$D$36&lt;&gt;0),0)),IF(OR(AND(D4201=0,B4201=0,B4202&lt;&gt;0),AND(D4201*D4200&lt;0,B4201&lt;&gt;0)),IF(D4201=0,C4201,C4201*(1-ABS(D4201)/(ABS(D4201)+ABS(D4200)))+C4200*(1-ABS(D4200)/(ABS(D4201)+ABS(D4200)))),"")))</f>
        <v>#NAME?</v>
      </c>
    </row>
    <row r="4202" spans="2:5" x14ac:dyDescent="0.25">
      <c r="B4202" t="e">
        <f t="shared" ca="1" si="131"/>
        <v>#NAME?</v>
      </c>
      <c r="C4202">
        <v>4159</v>
      </c>
      <c r="D4202" t="e">
        <f t="shared" ca="1" si="130"/>
        <v>#NAME?</v>
      </c>
      <c r="E4202" s="115" t="e">
        <f t="array" aca="1" ref="E4202" ca="1">IF(OR(C4201=0,AND(B4203=0,C4203=0)),"",IFERROR(INDEX($F$27:$F$36,MATCH(C4202,($F$27:$F$36)*($D$27:$D$36&lt;&gt;0),0)),IF(OR(AND(D4202=0,B4202=0,B4203&lt;&gt;0),AND(D4202*D4201&lt;0,B4202&lt;&gt;0)),IF(D4202=0,C4202,C4202*(1-ABS(D4202)/(ABS(D4202)+ABS(D4201)))+C4201*(1-ABS(D4201)/(ABS(D4202)+ABS(D4201)))),"")))</f>
        <v>#NAME?</v>
      </c>
    </row>
    <row r="4203" spans="2:5" x14ac:dyDescent="0.25">
      <c r="B4203" t="e">
        <f t="shared" ca="1" si="131"/>
        <v>#NAME?</v>
      </c>
      <c r="C4203">
        <v>4160</v>
      </c>
      <c r="D4203" t="e">
        <f t="shared" ref="D4203:D4266" ca="1" si="132">SUMPRODUCT(--($J$27:$J$37&gt;0),--($C4203-$F$27:$F$37&gt;0),($D$27:$D$37),($C4203-$F$27:$F$37))+SUMPRODUCT(--($J$27:$J$37&lt;0),--($F$27:$F$37-$C4203&gt;0),($D$27:$D$37),($F$27:$F$37-$C4203))-SUMPRODUCT($D$27:$D$37,$E$27:$E$37)</f>
        <v>#NAME?</v>
      </c>
      <c r="E4203" s="115" t="e">
        <f t="array" aca="1" ref="E4203" ca="1">IF(OR(C4202=0,AND(B4204=0,C4204=0)),"",IFERROR(INDEX($F$27:$F$36,MATCH(C4203,($F$27:$F$36)*($D$27:$D$36&lt;&gt;0),0)),IF(OR(AND(D4203=0,B4203=0,B4204&lt;&gt;0),AND(D4203*D4202&lt;0,B4203&lt;&gt;0)),IF(D4203=0,C4203,C4203*(1-ABS(D4203)/(ABS(D4203)+ABS(D4202)))+C4202*(1-ABS(D4202)/(ABS(D4203)+ABS(D4202)))),"")))</f>
        <v>#NAME?</v>
      </c>
    </row>
    <row r="4204" spans="2:5" x14ac:dyDescent="0.25">
      <c r="B4204" t="e">
        <f t="shared" ref="B4204:B4267" ca="1" si="133">ROUND((D4204-D4203)/(C4204-C4203),12)</f>
        <v>#NAME?</v>
      </c>
      <c r="C4204">
        <v>4161</v>
      </c>
      <c r="D4204" t="e">
        <f t="shared" ca="1" si="132"/>
        <v>#NAME?</v>
      </c>
      <c r="E4204" s="115" t="e">
        <f t="array" aca="1" ref="E4204" ca="1">IF(OR(C4203=0,AND(B4205=0,C4205=0)),"",IFERROR(INDEX($F$27:$F$36,MATCH(C4204,($F$27:$F$36)*($D$27:$D$36&lt;&gt;0),0)),IF(OR(AND(D4204=0,B4204=0,B4205&lt;&gt;0),AND(D4204*D4203&lt;0,B4204&lt;&gt;0)),IF(D4204=0,C4204,C4204*(1-ABS(D4204)/(ABS(D4204)+ABS(D4203)))+C4203*(1-ABS(D4203)/(ABS(D4204)+ABS(D4203)))),"")))</f>
        <v>#NAME?</v>
      </c>
    </row>
    <row r="4205" spans="2:5" x14ac:dyDescent="0.25">
      <c r="B4205" t="e">
        <f t="shared" ca="1" si="133"/>
        <v>#NAME?</v>
      </c>
      <c r="C4205">
        <v>4162</v>
      </c>
      <c r="D4205" t="e">
        <f t="shared" ca="1" si="132"/>
        <v>#NAME?</v>
      </c>
      <c r="E4205" s="115" t="e">
        <f t="array" aca="1" ref="E4205" ca="1">IF(OR(C4204=0,AND(B4206=0,C4206=0)),"",IFERROR(INDEX($F$27:$F$36,MATCH(C4205,($F$27:$F$36)*($D$27:$D$36&lt;&gt;0),0)),IF(OR(AND(D4205=0,B4205=0,B4206&lt;&gt;0),AND(D4205*D4204&lt;0,B4205&lt;&gt;0)),IF(D4205=0,C4205,C4205*(1-ABS(D4205)/(ABS(D4205)+ABS(D4204)))+C4204*(1-ABS(D4204)/(ABS(D4205)+ABS(D4204)))),"")))</f>
        <v>#NAME?</v>
      </c>
    </row>
    <row r="4206" spans="2:5" x14ac:dyDescent="0.25">
      <c r="B4206" t="e">
        <f t="shared" ca="1" si="133"/>
        <v>#NAME?</v>
      </c>
      <c r="C4206">
        <v>4163</v>
      </c>
      <c r="D4206" t="e">
        <f t="shared" ca="1" si="132"/>
        <v>#NAME?</v>
      </c>
      <c r="E4206" s="115" t="e">
        <f t="array" aca="1" ref="E4206" ca="1">IF(OR(C4205=0,AND(B4207=0,C4207=0)),"",IFERROR(INDEX($F$27:$F$36,MATCH(C4206,($F$27:$F$36)*($D$27:$D$36&lt;&gt;0),0)),IF(OR(AND(D4206=0,B4206=0,B4207&lt;&gt;0),AND(D4206*D4205&lt;0,B4206&lt;&gt;0)),IF(D4206=0,C4206,C4206*(1-ABS(D4206)/(ABS(D4206)+ABS(D4205)))+C4205*(1-ABS(D4205)/(ABS(D4206)+ABS(D4205)))),"")))</f>
        <v>#NAME?</v>
      </c>
    </row>
    <row r="4207" spans="2:5" x14ac:dyDescent="0.25">
      <c r="B4207" t="e">
        <f t="shared" ca="1" si="133"/>
        <v>#NAME?</v>
      </c>
      <c r="C4207">
        <v>4164</v>
      </c>
      <c r="D4207" t="e">
        <f t="shared" ca="1" si="132"/>
        <v>#NAME?</v>
      </c>
      <c r="E4207" s="115" t="e">
        <f t="array" aca="1" ref="E4207" ca="1">IF(OR(C4206=0,AND(B4208=0,C4208=0)),"",IFERROR(INDEX($F$27:$F$36,MATCH(C4207,($F$27:$F$36)*($D$27:$D$36&lt;&gt;0),0)),IF(OR(AND(D4207=0,B4207=0,B4208&lt;&gt;0),AND(D4207*D4206&lt;0,B4207&lt;&gt;0)),IF(D4207=0,C4207,C4207*(1-ABS(D4207)/(ABS(D4207)+ABS(D4206)))+C4206*(1-ABS(D4206)/(ABS(D4207)+ABS(D4206)))),"")))</f>
        <v>#NAME?</v>
      </c>
    </row>
    <row r="4208" spans="2:5" x14ac:dyDescent="0.25">
      <c r="B4208" t="e">
        <f t="shared" ca="1" si="133"/>
        <v>#NAME?</v>
      </c>
      <c r="C4208">
        <v>4165</v>
      </c>
      <c r="D4208" t="e">
        <f t="shared" ca="1" si="132"/>
        <v>#NAME?</v>
      </c>
      <c r="E4208" s="115" t="e">
        <f t="array" aca="1" ref="E4208" ca="1">IF(OR(C4207=0,AND(B4209=0,C4209=0)),"",IFERROR(INDEX($F$27:$F$36,MATCH(C4208,($F$27:$F$36)*($D$27:$D$36&lt;&gt;0),0)),IF(OR(AND(D4208=0,B4208=0,B4209&lt;&gt;0),AND(D4208*D4207&lt;0,B4208&lt;&gt;0)),IF(D4208=0,C4208,C4208*(1-ABS(D4208)/(ABS(D4208)+ABS(D4207)))+C4207*(1-ABS(D4207)/(ABS(D4208)+ABS(D4207)))),"")))</f>
        <v>#NAME?</v>
      </c>
    </row>
    <row r="4209" spans="2:5" x14ac:dyDescent="0.25">
      <c r="B4209" t="e">
        <f t="shared" ca="1" si="133"/>
        <v>#NAME?</v>
      </c>
      <c r="C4209">
        <v>4166</v>
      </c>
      <c r="D4209" t="e">
        <f t="shared" ca="1" si="132"/>
        <v>#NAME?</v>
      </c>
      <c r="E4209" s="115" t="e">
        <f t="array" aca="1" ref="E4209" ca="1">IF(OR(C4208=0,AND(B4210=0,C4210=0)),"",IFERROR(INDEX($F$27:$F$36,MATCH(C4209,($F$27:$F$36)*($D$27:$D$36&lt;&gt;0),0)),IF(OR(AND(D4209=0,B4209=0,B4210&lt;&gt;0),AND(D4209*D4208&lt;0,B4209&lt;&gt;0)),IF(D4209=0,C4209,C4209*(1-ABS(D4209)/(ABS(D4209)+ABS(D4208)))+C4208*(1-ABS(D4208)/(ABS(D4209)+ABS(D4208)))),"")))</f>
        <v>#NAME?</v>
      </c>
    </row>
    <row r="4210" spans="2:5" x14ac:dyDescent="0.25">
      <c r="B4210" t="e">
        <f t="shared" ca="1" si="133"/>
        <v>#NAME?</v>
      </c>
      <c r="C4210">
        <v>4167</v>
      </c>
      <c r="D4210" t="e">
        <f t="shared" ca="1" si="132"/>
        <v>#NAME?</v>
      </c>
      <c r="E4210" s="115" t="e">
        <f t="array" aca="1" ref="E4210" ca="1">IF(OR(C4209=0,AND(B4211=0,C4211=0)),"",IFERROR(INDEX($F$27:$F$36,MATCH(C4210,($F$27:$F$36)*($D$27:$D$36&lt;&gt;0),0)),IF(OR(AND(D4210=0,B4210=0,B4211&lt;&gt;0),AND(D4210*D4209&lt;0,B4210&lt;&gt;0)),IF(D4210=0,C4210,C4210*(1-ABS(D4210)/(ABS(D4210)+ABS(D4209)))+C4209*(1-ABS(D4209)/(ABS(D4210)+ABS(D4209)))),"")))</f>
        <v>#NAME?</v>
      </c>
    </row>
    <row r="4211" spans="2:5" x14ac:dyDescent="0.25">
      <c r="B4211" t="e">
        <f t="shared" ca="1" si="133"/>
        <v>#NAME?</v>
      </c>
      <c r="C4211">
        <v>4168</v>
      </c>
      <c r="D4211" t="e">
        <f t="shared" ca="1" si="132"/>
        <v>#NAME?</v>
      </c>
      <c r="E4211" s="115" t="e">
        <f t="array" aca="1" ref="E4211" ca="1">IF(OR(C4210=0,AND(B4212=0,C4212=0)),"",IFERROR(INDEX($F$27:$F$36,MATCH(C4211,($F$27:$F$36)*($D$27:$D$36&lt;&gt;0),0)),IF(OR(AND(D4211=0,B4211=0,B4212&lt;&gt;0),AND(D4211*D4210&lt;0,B4211&lt;&gt;0)),IF(D4211=0,C4211,C4211*(1-ABS(D4211)/(ABS(D4211)+ABS(D4210)))+C4210*(1-ABS(D4210)/(ABS(D4211)+ABS(D4210)))),"")))</f>
        <v>#NAME?</v>
      </c>
    </row>
    <row r="4212" spans="2:5" x14ac:dyDescent="0.25">
      <c r="B4212" t="e">
        <f t="shared" ca="1" si="133"/>
        <v>#NAME?</v>
      </c>
      <c r="C4212">
        <v>4169</v>
      </c>
      <c r="D4212" t="e">
        <f t="shared" ca="1" si="132"/>
        <v>#NAME?</v>
      </c>
      <c r="E4212" s="115" t="e">
        <f t="array" aca="1" ref="E4212" ca="1">IF(OR(C4211=0,AND(B4213=0,C4213=0)),"",IFERROR(INDEX($F$27:$F$36,MATCH(C4212,($F$27:$F$36)*($D$27:$D$36&lt;&gt;0),0)),IF(OR(AND(D4212=0,B4212=0,B4213&lt;&gt;0),AND(D4212*D4211&lt;0,B4212&lt;&gt;0)),IF(D4212=0,C4212,C4212*(1-ABS(D4212)/(ABS(D4212)+ABS(D4211)))+C4211*(1-ABS(D4211)/(ABS(D4212)+ABS(D4211)))),"")))</f>
        <v>#NAME?</v>
      </c>
    </row>
    <row r="4213" spans="2:5" x14ac:dyDescent="0.25">
      <c r="B4213" t="e">
        <f t="shared" ca="1" si="133"/>
        <v>#NAME?</v>
      </c>
      <c r="C4213">
        <v>4170</v>
      </c>
      <c r="D4213" t="e">
        <f t="shared" ca="1" si="132"/>
        <v>#NAME?</v>
      </c>
      <c r="E4213" s="115" t="e">
        <f t="array" aca="1" ref="E4213" ca="1">IF(OR(C4212=0,AND(B4214=0,C4214=0)),"",IFERROR(INDEX($F$27:$F$36,MATCH(C4213,($F$27:$F$36)*($D$27:$D$36&lt;&gt;0),0)),IF(OR(AND(D4213=0,B4213=0,B4214&lt;&gt;0),AND(D4213*D4212&lt;0,B4213&lt;&gt;0)),IF(D4213=0,C4213,C4213*(1-ABS(D4213)/(ABS(D4213)+ABS(D4212)))+C4212*(1-ABS(D4212)/(ABS(D4213)+ABS(D4212)))),"")))</f>
        <v>#NAME?</v>
      </c>
    </row>
    <row r="4214" spans="2:5" x14ac:dyDescent="0.25">
      <c r="B4214" t="e">
        <f t="shared" ca="1" si="133"/>
        <v>#NAME?</v>
      </c>
      <c r="C4214">
        <v>4171</v>
      </c>
      <c r="D4214" t="e">
        <f t="shared" ca="1" si="132"/>
        <v>#NAME?</v>
      </c>
      <c r="E4214" s="115" t="e">
        <f t="array" aca="1" ref="E4214" ca="1">IF(OR(C4213=0,AND(B4215=0,C4215=0)),"",IFERROR(INDEX($F$27:$F$36,MATCH(C4214,($F$27:$F$36)*($D$27:$D$36&lt;&gt;0),0)),IF(OR(AND(D4214=0,B4214=0,B4215&lt;&gt;0),AND(D4214*D4213&lt;0,B4214&lt;&gt;0)),IF(D4214=0,C4214,C4214*(1-ABS(D4214)/(ABS(D4214)+ABS(D4213)))+C4213*(1-ABS(D4213)/(ABS(D4214)+ABS(D4213)))),"")))</f>
        <v>#NAME?</v>
      </c>
    </row>
    <row r="4215" spans="2:5" x14ac:dyDescent="0.25">
      <c r="B4215" t="e">
        <f t="shared" ca="1" si="133"/>
        <v>#NAME?</v>
      </c>
      <c r="C4215">
        <v>4172</v>
      </c>
      <c r="D4215" t="e">
        <f t="shared" ca="1" si="132"/>
        <v>#NAME?</v>
      </c>
      <c r="E4215" s="115" t="e">
        <f t="array" aca="1" ref="E4215" ca="1">IF(OR(C4214=0,AND(B4216=0,C4216=0)),"",IFERROR(INDEX($F$27:$F$36,MATCH(C4215,($F$27:$F$36)*($D$27:$D$36&lt;&gt;0),0)),IF(OR(AND(D4215=0,B4215=0,B4216&lt;&gt;0),AND(D4215*D4214&lt;0,B4215&lt;&gt;0)),IF(D4215=0,C4215,C4215*(1-ABS(D4215)/(ABS(D4215)+ABS(D4214)))+C4214*(1-ABS(D4214)/(ABS(D4215)+ABS(D4214)))),"")))</f>
        <v>#NAME?</v>
      </c>
    </row>
    <row r="4216" spans="2:5" x14ac:dyDescent="0.25">
      <c r="B4216" t="e">
        <f t="shared" ca="1" si="133"/>
        <v>#NAME?</v>
      </c>
      <c r="C4216">
        <v>4173</v>
      </c>
      <c r="D4216" t="e">
        <f t="shared" ca="1" si="132"/>
        <v>#NAME?</v>
      </c>
      <c r="E4216" s="115" t="e">
        <f t="array" aca="1" ref="E4216" ca="1">IF(OR(C4215=0,AND(B4217=0,C4217=0)),"",IFERROR(INDEX($F$27:$F$36,MATCH(C4216,($F$27:$F$36)*($D$27:$D$36&lt;&gt;0),0)),IF(OR(AND(D4216=0,B4216=0,B4217&lt;&gt;0),AND(D4216*D4215&lt;0,B4216&lt;&gt;0)),IF(D4216=0,C4216,C4216*(1-ABS(D4216)/(ABS(D4216)+ABS(D4215)))+C4215*(1-ABS(D4215)/(ABS(D4216)+ABS(D4215)))),"")))</f>
        <v>#NAME?</v>
      </c>
    </row>
    <row r="4217" spans="2:5" x14ac:dyDescent="0.25">
      <c r="B4217" t="e">
        <f t="shared" ca="1" si="133"/>
        <v>#NAME?</v>
      </c>
      <c r="C4217">
        <v>4174</v>
      </c>
      <c r="D4217" t="e">
        <f t="shared" ca="1" si="132"/>
        <v>#NAME?</v>
      </c>
      <c r="E4217" s="115" t="e">
        <f t="array" aca="1" ref="E4217" ca="1">IF(OR(C4216=0,AND(B4218=0,C4218=0)),"",IFERROR(INDEX($F$27:$F$36,MATCH(C4217,($F$27:$F$36)*($D$27:$D$36&lt;&gt;0),0)),IF(OR(AND(D4217=0,B4217=0,B4218&lt;&gt;0),AND(D4217*D4216&lt;0,B4217&lt;&gt;0)),IF(D4217=0,C4217,C4217*(1-ABS(D4217)/(ABS(D4217)+ABS(D4216)))+C4216*(1-ABS(D4216)/(ABS(D4217)+ABS(D4216)))),"")))</f>
        <v>#NAME?</v>
      </c>
    </row>
    <row r="4218" spans="2:5" x14ac:dyDescent="0.25">
      <c r="B4218" t="e">
        <f t="shared" ca="1" si="133"/>
        <v>#NAME?</v>
      </c>
      <c r="C4218">
        <v>4175</v>
      </c>
      <c r="D4218" t="e">
        <f t="shared" ca="1" si="132"/>
        <v>#NAME?</v>
      </c>
      <c r="E4218" s="115" t="e">
        <f t="array" aca="1" ref="E4218" ca="1">IF(OR(C4217=0,AND(B4219=0,C4219=0)),"",IFERROR(INDEX($F$27:$F$36,MATCH(C4218,($F$27:$F$36)*($D$27:$D$36&lt;&gt;0),0)),IF(OR(AND(D4218=0,B4218=0,B4219&lt;&gt;0),AND(D4218*D4217&lt;0,B4218&lt;&gt;0)),IF(D4218=0,C4218,C4218*(1-ABS(D4218)/(ABS(D4218)+ABS(D4217)))+C4217*(1-ABS(D4217)/(ABS(D4218)+ABS(D4217)))),"")))</f>
        <v>#NAME?</v>
      </c>
    </row>
    <row r="4219" spans="2:5" x14ac:dyDescent="0.25">
      <c r="B4219" t="e">
        <f t="shared" ca="1" si="133"/>
        <v>#NAME?</v>
      </c>
      <c r="C4219">
        <v>4176</v>
      </c>
      <c r="D4219" t="e">
        <f t="shared" ca="1" si="132"/>
        <v>#NAME?</v>
      </c>
      <c r="E4219" s="115" t="e">
        <f t="array" aca="1" ref="E4219" ca="1">IF(OR(C4218=0,AND(B4220=0,C4220=0)),"",IFERROR(INDEX($F$27:$F$36,MATCH(C4219,($F$27:$F$36)*($D$27:$D$36&lt;&gt;0),0)),IF(OR(AND(D4219=0,B4219=0,B4220&lt;&gt;0),AND(D4219*D4218&lt;0,B4219&lt;&gt;0)),IF(D4219=0,C4219,C4219*(1-ABS(D4219)/(ABS(D4219)+ABS(D4218)))+C4218*(1-ABS(D4218)/(ABS(D4219)+ABS(D4218)))),"")))</f>
        <v>#NAME?</v>
      </c>
    </row>
    <row r="4220" spans="2:5" x14ac:dyDescent="0.25">
      <c r="B4220" t="e">
        <f t="shared" ca="1" si="133"/>
        <v>#NAME?</v>
      </c>
      <c r="C4220">
        <v>4177</v>
      </c>
      <c r="D4220" t="e">
        <f t="shared" ca="1" si="132"/>
        <v>#NAME?</v>
      </c>
      <c r="E4220" s="115" t="e">
        <f t="array" aca="1" ref="E4220" ca="1">IF(OR(C4219=0,AND(B4221=0,C4221=0)),"",IFERROR(INDEX($F$27:$F$36,MATCH(C4220,($F$27:$F$36)*($D$27:$D$36&lt;&gt;0),0)),IF(OR(AND(D4220=0,B4220=0,B4221&lt;&gt;0),AND(D4220*D4219&lt;0,B4220&lt;&gt;0)),IF(D4220=0,C4220,C4220*(1-ABS(D4220)/(ABS(D4220)+ABS(D4219)))+C4219*(1-ABS(D4219)/(ABS(D4220)+ABS(D4219)))),"")))</f>
        <v>#NAME?</v>
      </c>
    </row>
    <row r="4221" spans="2:5" x14ac:dyDescent="0.25">
      <c r="B4221" t="e">
        <f t="shared" ca="1" si="133"/>
        <v>#NAME?</v>
      </c>
      <c r="C4221">
        <v>4178</v>
      </c>
      <c r="D4221" t="e">
        <f t="shared" ca="1" si="132"/>
        <v>#NAME?</v>
      </c>
      <c r="E4221" s="115" t="e">
        <f t="array" aca="1" ref="E4221" ca="1">IF(OR(C4220=0,AND(B4222=0,C4222=0)),"",IFERROR(INDEX($F$27:$F$36,MATCH(C4221,($F$27:$F$36)*($D$27:$D$36&lt;&gt;0),0)),IF(OR(AND(D4221=0,B4221=0,B4222&lt;&gt;0),AND(D4221*D4220&lt;0,B4221&lt;&gt;0)),IF(D4221=0,C4221,C4221*(1-ABS(D4221)/(ABS(D4221)+ABS(D4220)))+C4220*(1-ABS(D4220)/(ABS(D4221)+ABS(D4220)))),"")))</f>
        <v>#NAME?</v>
      </c>
    </row>
    <row r="4222" spans="2:5" x14ac:dyDescent="0.25">
      <c r="B4222" t="e">
        <f t="shared" ca="1" si="133"/>
        <v>#NAME?</v>
      </c>
      <c r="C4222">
        <v>4179</v>
      </c>
      <c r="D4222" t="e">
        <f t="shared" ca="1" si="132"/>
        <v>#NAME?</v>
      </c>
      <c r="E4222" s="115" t="e">
        <f t="array" aca="1" ref="E4222" ca="1">IF(OR(C4221=0,AND(B4223=0,C4223=0)),"",IFERROR(INDEX($F$27:$F$36,MATCH(C4222,($F$27:$F$36)*($D$27:$D$36&lt;&gt;0),0)),IF(OR(AND(D4222=0,B4222=0,B4223&lt;&gt;0),AND(D4222*D4221&lt;0,B4222&lt;&gt;0)),IF(D4222=0,C4222,C4222*(1-ABS(D4222)/(ABS(D4222)+ABS(D4221)))+C4221*(1-ABS(D4221)/(ABS(D4222)+ABS(D4221)))),"")))</f>
        <v>#NAME?</v>
      </c>
    </row>
    <row r="4223" spans="2:5" x14ac:dyDescent="0.25">
      <c r="B4223" t="e">
        <f t="shared" ca="1" si="133"/>
        <v>#NAME?</v>
      </c>
      <c r="C4223">
        <v>4180</v>
      </c>
      <c r="D4223" t="e">
        <f t="shared" ca="1" si="132"/>
        <v>#NAME?</v>
      </c>
      <c r="E4223" s="115" t="e">
        <f t="array" aca="1" ref="E4223" ca="1">IF(OR(C4222=0,AND(B4224=0,C4224=0)),"",IFERROR(INDEX($F$27:$F$36,MATCH(C4223,($F$27:$F$36)*($D$27:$D$36&lt;&gt;0),0)),IF(OR(AND(D4223=0,B4223=0,B4224&lt;&gt;0),AND(D4223*D4222&lt;0,B4223&lt;&gt;0)),IF(D4223=0,C4223,C4223*(1-ABS(D4223)/(ABS(D4223)+ABS(D4222)))+C4222*(1-ABS(D4222)/(ABS(D4223)+ABS(D4222)))),"")))</f>
        <v>#NAME?</v>
      </c>
    </row>
    <row r="4224" spans="2:5" x14ac:dyDescent="0.25">
      <c r="B4224" t="e">
        <f t="shared" ca="1" si="133"/>
        <v>#NAME?</v>
      </c>
      <c r="C4224">
        <v>4181</v>
      </c>
      <c r="D4224" t="e">
        <f t="shared" ca="1" si="132"/>
        <v>#NAME?</v>
      </c>
      <c r="E4224" s="115" t="e">
        <f t="array" aca="1" ref="E4224" ca="1">IF(OR(C4223=0,AND(B4225=0,C4225=0)),"",IFERROR(INDEX($F$27:$F$36,MATCH(C4224,($F$27:$F$36)*($D$27:$D$36&lt;&gt;0),0)),IF(OR(AND(D4224=0,B4224=0,B4225&lt;&gt;0),AND(D4224*D4223&lt;0,B4224&lt;&gt;0)),IF(D4224=0,C4224,C4224*(1-ABS(D4224)/(ABS(D4224)+ABS(D4223)))+C4223*(1-ABS(D4223)/(ABS(D4224)+ABS(D4223)))),"")))</f>
        <v>#NAME?</v>
      </c>
    </row>
    <row r="4225" spans="2:5" x14ac:dyDescent="0.25">
      <c r="B4225" t="e">
        <f t="shared" ca="1" si="133"/>
        <v>#NAME?</v>
      </c>
      <c r="C4225">
        <v>4182</v>
      </c>
      <c r="D4225" t="e">
        <f t="shared" ca="1" si="132"/>
        <v>#NAME?</v>
      </c>
      <c r="E4225" s="115" t="e">
        <f t="array" aca="1" ref="E4225" ca="1">IF(OR(C4224=0,AND(B4226=0,C4226=0)),"",IFERROR(INDEX($F$27:$F$36,MATCH(C4225,($F$27:$F$36)*($D$27:$D$36&lt;&gt;0),0)),IF(OR(AND(D4225=0,B4225=0,B4226&lt;&gt;0),AND(D4225*D4224&lt;0,B4225&lt;&gt;0)),IF(D4225=0,C4225,C4225*(1-ABS(D4225)/(ABS(D4225)+ABS(D4224)))+C4224*(1-ABS(D4224)/(ABS(D4225)+ABS(D4224)))),"")))</f>
        <v>#NAME?</v>
      </c>
    </row>
    <row r="4226" spans="2:5" x14ac:dyDescent="0.25">
      <c r="B4226" t="e">
        <f t="shared" ca="1" si="133"/>
        <v>#NAME?</v>
      </c>
      <c r="C4226">
        <v>4183</v>
      </c>
      <c r="D4226" t="e">
        <f t="shared" ca="1" si="132"/>
        <v>#NAME?</v>
      </c>
      <c r="E4226" s="115" t="e">
        <f t="array" aca="1" ref="E4226" ca="1">IF(OR(C4225=0,AND(B4227=0,C4227=0)),"",IFERROR(INDEX($F$27:$F$36,MATCH(C4226,($F$27:$F$36)*($D$27:$D$36&lt;&gt;0),0)),IF(OR(AND(D4226=0,B4226=0,B4227&lt;&gt;0),AND(D4226*D4225&lt;0,B4226&lt;&gt;0)),IF(D4226=0,C4226,C4226*(1-ABS(D4226)/(ABS(D4226)+ABS(D4225)))+C4225*(1-ABS(D4225)/(ABS(D4226)+ABS(D4225)))),"")))</f>
        <v>#NAME?</v>
      </c>
    </row>
    <row r="4227" spans="2:5" x14ac:dyDescent="0.25">
      <c r="B4227" t="e">
        <f t="shared" ca="1" si="133"/>
        <v>#NAME?</v>
      </c>
      <c r="C4227">
        <v>4184</v>
      </c>
      <c r="D4227" t="e">
        <f t="shared" ca="1" si="132"/>
        <v>#NAME?</v>
      </c>
      <c r="E4227" s="115" t="e">
        <f t="array" aca="1" ref="E4227" ca="1">IF(OR(C4226=0,AND(B4228=0,C4228=0)),"",IFERROR(INDEX($F$27:$F$36,MATCH(C4227,($F$27:$F$36)*($D$27:$D$36&lt;&gt;0),0)),IF(OR(AND(D4227=0,B4227=0,B4228&lt;&gt;0),AND(D4227*D4226&lt;0,B4227&lt;&gt;0)),IF(D4227=0,C4227,C4227*(1-ABS(D4227)/(ABS(D4227)+ABS(D4226)))+C4226*(1-ABS(D4226)/(ABS(D4227)+ABS(D4226)))),"")))</f>
        <v>#NAME?</v>
      </c>
    </row>
    <row r="4228" spans="2:5" x14ac:dyDescent="0.25">
      <c r="B4228" t="e">
        <f t="shared" ca="1" si="133"/>
        <v>#NAME?</v>
      </c>
      <c r="C4228">
        <v>4185</v>
      </c>
      <c r="D4228" t="e">
        <f t="shared" ca="1" si="132"/>
        <v>#NAME?</v>
      </c>
      <c r="E4228" s="115" t="e">
        <f t="array" aca="1" ref="E4228" ca="1">IF(OR(C4227=0,AND(B4229=0,C4229=0)),"",IFERROR(INDEX($F$27:$F$36,MATCH(C4228,($F$27:$F$36)*($D$27:$D$36&lt;&gt;0),0)),IF(OR(AND(D4228=0,B4228=0,B4229&lt;&gt;0),AND(D4228*D4227&lt;0,B4228&lt;&gt;0)),IF(D4228=0,C4228,C4228*(1-ABS(D4228)/(ABS(D4228)+ABS(D4227)))+C4227*(1-ABS(D4227)/(ABS(D4228)+ABS(D4227)))),"")))</f>
        <v>#NAME?</v>
      </c>
    </row>
    <row r="4229" spans="2:5" x14ac:dyDescent="0.25">
      <c r="B4229" t="e">
        <f t="shared" ca="1" si="133"/>
        <v>#NAME?</v>
      </c>
      <c r="C4229">
        <v>4186</v>
      </c>
      <c r="D4229" t="e">
        <f t="shared" ca="1" si="132"/>
        <v>#NAME?</v>
      </c>
      <c r="E4229" s="115" t="e">
        <f t="array" aca="1" ref="E4229" ca="1">IF(OR(C4228=0,AND(B4230=0,C4230=0)),"",IFERROR(INDEX($F$27:$F$36,MATCH(C4229,($F$27:$F$36)*($D$27:$D$36&lt;&gt;0),0)),IF(OR(AND(D4229=0,B4229=0,B4230&lt;&gt;0),AND(D4229*D4228&lt;0,B4229&lt;&gt;0)),IF(D4229=0,C4229,C4229*(1-ABS(D4229)/(ABS(D4229)+ABS(D4228)))+C4228*(1-ABS(D4228)/(ABS(D4229)+ABS(D4228)))),"")))</f>
        <v>#NAME?</v>
      </c>
    </row>
    <row r="4230" spans="2:5" x14ac:dyDescent="0.25">
      <c r="B4230" t="e">
        <f t="shared" ca="1" si="133"/>
        <v>#NAME?</v>
      </c>
      <c r="C4230">
        <v>4187</v>
      </c>
      <c r="D4230" t="e">
        <f t="shared" ca="1" si="132"/>
        <v>#NAME?</v>
      </c>
      <c r="E4230" s="115" t="e">
        <f t="array" aca="1" ref="E4230" ca="1">IF(OR(C4229=0,AND(B4231=0,C4231=0)),"",IFERROR(INDEX($F$27:$F$36,MATCH(C4230,($F$27:$F$36)*($D$27:$D$36&lt;&gt;0),0)),IF(OR(AND(D4230=0,B4230=0,B4231&lt;&gt;0),AND(D4230*D4229&lt;0,B4230&lt;&gt;0)),IF(D4230=0,C4230,C4230*(1-ABS(D4230)/(ABS(D4230)+ABS(D4229)))+C4229*(1-ABS(D4229)/(ABS(D4230)+ABS(D4229)))),"")))</f>
        <v>#NAME?</v>
      </c>
    </row>
    <row r="4231" spans="2:5" x14ac:dyDescent="0.25">
      <c r="B4231" t="e">
        <f t="shared" ca="1" si="133"/>
        <v>#NAME?</v>
      </c>
      <c r="C4231">
        <v>4188</v>
      </c>
      <c r="D4231" t="e">
        <f t="shared" ca="1" si="132"/>
        <v>#NAME?</v>
      </c>
      <c r="E4231" s="115" t="e">
        <f t="array" aca="1" ref="E4231" ca="1">IF(OR(C4230=0,AND(B4232=0,C4232=0)),"",IFERROR(INDEX($F$27:$F$36,MATCH(C4231,($F$27:$F$36)*($D$27:$D$36&lt;&gt;0),0)),IF(OR(AND(D4231=0,B4231=0,B4232&lt;&gt;0),AND(D4231*D4230&lt;0,B4231&lt;&gt;0)),IF(D4231=0,C4231,C4231*(1-ABS(D4231)/(ABS(D4231)+ABS(D4230)))+C4230*(1-ABS(D4230)/(ABS(D4231)+ABS(D4230)))),"")))</f>
        <v>#NAME?</v>
      </c>
    </row>
    <row r="4232" spans="2:5" x14ac:dyDescent="0.25">
      <c r="B4232" t="e">
        <f t="shared" ca="1" si="133"/>
        <v>#NAME?</v>
      </c>
      <c r="C4232">
        <v>4189</v>
      </c>
      <c r="D4232" t="e">
        <f t="shared" ca="1" si="132"/>
        <v>#NAME?</v>
      </c>
      <c r="E4232" s="115" t="e">
        <f t="array" aca="1" ref="E4232" ca="1">IF(OR(C4231=0,AND(B4233=0,C4233=0)),"",IFERROR(INDEX($F$27:$F$36,MATCH(C4232,($F$27:$F$36)*($D$27:$D$36&lt;&gt;0),0)),IF(OR(AND(D4232=0,B4232=0,B4233&lt;&gt;0),AND(D4232*D4231&lt;0,B4232&lt;&gt;0)),IF(D4232=0,C4232,C4232*(1-ABS(D4232)/(ABS(D4232)+ABS(D4231)))+C4231*(1-ABS(D4231)/(ABS(D4232)+ABS(D4231)))),"")))</f>
        <v>#NAME?</v>
      </c>
    </row>
    <row r="4233" spans="2:5" x14ac:dyDescent="0.25">
      <c r="B4233" t="e">
        <f t="shared" ca="1" si="133"/>
        <v>#NAME?</v>
      </c>
      <c r="C4233">
        <v>4190</v>
      </c>
      <c r="D4233" t="e">
        <f t="shared" ca="1" si="132"/>
        <v>#NAME?</v>
      </c>
      <c r="E4233" s="115" t="e">
        <f t="array" aca="1" ref="E4233" ca="1">IF(OR(C4232=0,AND(B4234=0,C4234=0)),"",IFERROR(INDEX($F$27:$F$36,MATCH(C4233,($F$27:$F$36)*($D$27:$D$36&lt;&gt;0),0)),IF(OR(AND(D4233=0,B4233=0,B4234&lt;&gt;0),AND(D4233*D4232&lt;0,B4233&lt;&gt;0)),IF(D4233=0,C4233,C4233*(1-ABS(D4233)/(ABS(D4233)+ABS(D4232)))+C4232*(1-ABS(D4232)/(ABS(D4233)+ABS(D4232)))),"")))</f>
        <v>#NAME?</v>
      </c>
    </row>
    <row r="4234" spans="2:5" x14ac:dyDescent="0.25">
      <c r="B4234" t="e">
        <f t="shared" ca="1" si="133"/>
        <v>#NAME?</v>
      </c>
      <c r="C4234">
        <v>4191</v>
      </c>
      <c r="D4234" t="e">
        <f t="shared" ca="1" si="132"/>
        <v>#NAME?</v>
      </c>
      <c r="E4234" s="115" t="e">
        <f t="array" aca="1" ref="E4234" ca="1">IF(OR(C4233=0,AND(B4235=0,C4235=0)),"",IFERROR(INDEX($F$27:$F$36,MATCH(C4234,($F$27:$F$36)*($D$27:$D$36&lt;&gt;0),0)),IF(OR(AND(D4234=0,B4234=0,B4235&lt;&gt;0),AND(D4234*D4233&lt;0,B4234&lt;&gt;0)),IF(D4234=0,C4234,C4234*(1-ABS(D4234)/(ABS(D4234)+ABS(D4233)))+C4233*(1-ABS(D4233)/(ABS(D4234)+ABS(D4233)))),"")))</f>
        <v>#NAME?</v>
      </c>
    </row>
    <row r="4235" spans="2:5" x14ac:dyDescent="0.25">
      <c r="B4235" t="e">
        <f t="shared" ca="1" si="133"/>
        <v>#NAME?</v>
      </c>
      <c r="C4235">
        <v>4192</v>
      </c>
      <c r="D4235" t="e">
        <f t="shared" ca="1" si="132"/>
        <v>#NAME?</v>
      </c>
      <c r="E4235" s="115" t="e">
        <f t="array" aca="1" ref="E4235" ca="1">IF(OR(C4234=0,AND(B4236=0,C4236=0)),"",IFERROR(INDEX($F$27:$F$36,MATCH(C4235,($F$27:$F$36)*($D$27:$D$36&lt;&gt;0),0)),IF(OR(AND(D4235=0,B4235=0,B4236&lt;&gt;0),AND(D4235*D4234&lt;0,B4235&lt;&gt;0)),IF(D4235=0,C4235,C4235*(1-ABS(D4235)/(ABS(D4235)+ABS(D4234)))+C4234*(1-ABS(D4234)/(ABS(D4235)+ABS(D4234)))),"")))</f>
        <v>#NAME?</v>
      </c>
    </row>
    <row r="4236" spans="2:5" x14ac:dyDescent="0.25">
      <c r="B4236" t="e">
        <f t="shared" ca="1" si="133"/>
        <v>#NAME?</v>
      </c>
      <c r="C4236">
        <v>4193</v>
      </c>
      <c r="D4236" t="e">
        <f t="shared" ca="1" si="132"/>
        <v>#NAME?</v>
      </c>
      <c r="E4236" s="115" t="e">
        <f t="array" aca="1" ref="E4236" ca="1">IF(OR(C4235=0,AND(B4237=0,C4237=0)),"",IFERROR(INDEX($F$27:$F$36,MATCH(C4236,($F$27:$F$36)*($D$27:$D$36&lt;&gt;0),0)),IF(OR(AND(D4236=0,B4236=0,B4237&lt;&gt;0),AND(D4236*D4235&lt;0,B4236&lt;&gt;0)),IF(D4236=0,C4236,C4236*(1-ABS(D4236)/(ABS(D4236)+ABS(D4235)))+C4235*(1-ABS(D4235)/(ABS(D4236)+ABS(D4235)))),"")))</f>
        <v>#NAME?</v>
      </c>
    </row>
    <row r="4237" spans="2:5" x14ac:dyDescent="0.25">
      <c r="B4237" t="e">
        <f t="shared" ca="1" si="133"/>
        <v>#NAME?</v>
      </c>
      <c r="C4237">
        <v>4194</v>
      </c>
      <c r="D4237" t="e">
        <f t="shared" ca="1" si="132"/>
        <v>#NAME?</v>
      </c>
      <c r="E4237" s="115" t="e">
        <f t="array" aca="1" ref="E4237" ca="1">IF(OR(C4236=0,AND(B4238=0,C4238=0)),"",IFERROR(INDEX($F$27:$F$36,MATCH(C4237,($F$27:$F$36)*($D$27:$D$36&lt;&gt;0),0)),IF(OR(AND(D4237=0,B4237=0,B4238&lt;&gt;0),AND(D4237*D4236&lt;0,B4237&lt;&gt;0)),IF(D4237=0,C4237,C4237*(1-ABS(D4237)/(ABS(D4237)+ABS(D4236)))+C4236*(1-ABS(D4236)/(ABS(D4237)+ABS(D4236)))),"")))</f>
        <v>#NAME?</v>
      </c>
    </row>
    <row r="4238" spans="2:5" x14ac:dyDescent="0.25">
      <c r="B4238" t="e">
        <f t="shared" ca="1" si="133"/>
        <v>#NAME?</v>
      </c>
      <c r="C4238">
        <v>4195</v>
      </c>
      <c r="D4238" t="e">
        <f t="shared" ca="1" si="132"/>
        <v>#NAME?</v>
      </c>
      <c r="E4238" s="115" t="e">
        <f t="array" aca="1" ref="E4238" ca="1">IF(OR(C4237=0,AND(B4239=0,C4239=0)),"",IFERROR(INDEX($F$27:$F$36,MATCH(C4238,($F$27:$F$36)*($D$27:$D$36&lt;&gt;0),0)),IF(OR(AND(D4238=0,B4238=0,B4239&lt;&gt;0),AND(D4238*D4237&lt;0,B4238&lt;&gt;0)),IF(D4238=0,C4238,C4238*(1-ABS(D4238)/(ABS(D4238)+ABS(D4237)))+C4237*(1-ABS(D4237)/(ABS(D4238)+ABS(D4237)))),"")))</f>
        <v>#NAME?</v>
      </c>
    </row>
    <row r="4239" spans="2:5" x14ac:dyDescent="0.25">
      <c r="B4239" t="e">
        <f t="shared" ca="1" si="133"/>
        <v>#NAME?</v>
      </c>
      <c r="C4239">
        <v>4196</v>
      </c>
      <c r="D4239" t="e">
        <f t="shared" ca="1" si="132"/>
        <v>#NAME?</v>
      </c>
      <c r="E4239" s="115" t="e">
        <f t="array" aca="1" ref="E4239" ca="1">IF(OR(C4238=0,AND(B4240=0,C4240=0)),"",IFERROR(INDEX($F$27:$F$36,MATCH(C4239,($F$27:$F$36)*($D$27:$D$36&lt;&gt;0),0)),IF(OR(AND(D4239=0,B4239=0,B4240&lt;&gt;0),AND(D4239*D4238&lt;0,B4239&lt;&gt;0)),IF(D4239=0,C4239,C4239*(1-ABS(D4239)/(ABS(D4239)+ABS(D4238)))+C4238*(1-ABS(D4238)/(ABS(D4239)+ABS(D4238)))),"")))</f>
        <v>#NAME?</v>
      </c>
    </row>
    <row r="4240" spans="2:5" x14ac:dyDescent="0.25">
      <c r="B4240" t="e">
        <f t="shared" ca="1" si="133"/>
        <v>#NAME?</v>
      </c>
      <c r="C4240">
        <v>4197</v>
      </c>
      <c r="D4240" t="e">
        <f t="shared" ca="1" si="132"/>
        <v>#NAME?</v>
      </c>
      <c r="E4240" s="115" t="e">
        <f t="array" aca="1" ref="E4240" ca="1">IF(OR(C4239=0,AND(B4241=0,C4241=0)),"",IFERROR(INDEX($F$27:$F$36,MATCH(C4240,($F$27:$F$36)*($D$27:$D$36&lt;&gt;0),0)),IF(OR(AND(D4240=0,B4240=0,B4241&lt;&gt;0),AND(D4240*D4239&lt;0,B4240&lt;&gt;0)),IF(D4240=0,C4240,C4240*(1-ABS(D4240)/(ABS(D4240)+ABS(D4239)))+C4239*(1-ABS(D4239)/(ABS(D4240)+ABS(D4239)))),"")))</f>
        <v>#NAME?</v>
      </c>
    </row>
    <row r="4241" spans="2:5" x14ac:dyDescent="0.25">
      <c r="B4241" t="e">
        <f t="shared" ca="1" si="133"/>
        <v>#NAME?</v>
      </c>
      <c r="C4241">
        <v>4198</v>
      </c>
      <c r="D4241" t="e">
        <f t="shared" ca="1" si="132"/>
        <v>#NAME?</v>
      </c>
      <c r="E4241" s="115" t="e">
        <f t="array" aca="1" ref="E4241" ca="1">IF(OR(C4240=0,AND(B4242=0,C4242=0)),"",IFERROR(INDEX($F$27:$F$36,MATCH(C4241,($F$27:$F$36)*($D$27:$D$36&lt;&gt;0),0)),IF(OR(AND(D4241=0,B4241=0,B4242&lt;&gt;0),AND(D4241*D4240&lt;0,B4241&lt;&gt;0)),IF(D4241=0,C4241,C4241*(1-ABS(D4241)/(ABS(D4241)+ABS(D4240)))+C4240*(1-ABS(D4240)/(ABS(D4241)+ABS(D4240)))),"")))</f>
        <v>#NAME?</v>
      </c>
    </row>
    <row r="4242" spans="2:5" x14ac:dyDescent="0.25">
      <c r="B4242" t="e">
        <f t="shared" ca="1" si="133"/>
        <v>#NAME?</v>
      </c>
      <c r="C4242">
        <v>4199</v>
      </c>
      <c r="D4242" t="e">
        <f t="shared" ca="1" si="132"/>
        <v>#NAME?</v>
      </c>
      <c r="E4242" s="115" t="e">
        <f t="array" aca="1" ref="E4242" ca="1">IF(OR(C4241=0,AND(B4243=0,C4243=0)),"",IFERROR(INDEX($F$27:$F$36,MATCH(C4242,($F$27:$F$36)*($D$27:$D$36&lt;&gt;0),0)),IF(OR(AND(D4242=0,B4242=0,B4243&lt;&gt;0),AND(D4242*D4241&lt;0,B4242&lt;&gt;0)),IF(D4242=0,C4242,C4242*(1-ABS(D4242)/(ABS(D4242)+ABS(D4241)))+C4241*(1-ABS(D4241)/(ABS(D4242)+ABS(D4241)))),"")))</f>
        <v>#NAME?</v>
      </c>
    </row>
    <row r="4243" spans="2:5" x14ac:dyDescent="0.25">
      <c r="B4243" t="e">
        <f t="shared" ca="1" si="133"/>
        <v>#NAME?</v>
      </c>
      <c r="C4243">
        <v>4200</v>
      </c>
      <c r="D4243" t="e">
        <f t="shared" ca="1" si="132"/>
        <v>#NAME?</v>
      </c>
      <c r="E4243" s="115" t="e">
        <f t="array" aca="1" ref="E4243" ca="1">IF(OR(C4242=0,AND(B4244=0,C4244=0)),"",IFERROR(INDEX($F$27:$F$36,MATCH(C4243,($F$27:$F$36)*($D$27:$D$36&lt;&gt;0),0)),IF(OR(AND(D4243=0,B4243=0,B4244&lt;&gt;0),AND(D4243*D4242&lt;0,B4243&lt;&gt;0)),IF(D4243=0,C4243,C4243*(1-ABS(D4243)/(ABS(D4243)+ABS(D4242)))+C4242*(1-ABS(D4242)/(ABS(D4243)+ABS(D4242)))),"")))</f>
        <v>#NAME?</v>
      </c>
    </row>
    <row r="4244" spans="2:5" x14ac:dyDescent="0.25">
      <c r="B4244" t="e">
        <f t="shared" ca="1" si="133"/>
        <v>#NAME?</v>
      </c>
      <c r="C4244">
        <v>4201</v>
      </c>
      <c r="D4244" t="e">
        <f t="shared" ca="1" si="132"/>
        <v>#NAME?</v>
      </c>
      <c r="E4244" s="115" t="e">
        <f t="array" aca="1" ref="E4244" ca="1">IF(OR(C4243=0,AND(B4245=0,C4245=0)),"",IFERROR(INDEX($F$27:$F$36,MATCH(C4244,($F$27:$F$36)*($D$27:$D$36&lt;&gt;0),0)),IF(OR(AND(D4244=0,B4244=0,B4245&lt;&gt;0),AND(D4244*D4243&lt;0,B4244&lt;&gt;0)),IF(D4244=0,C4244,C4244*(1-ABS(D4244)/(ABS(D4244)+ABS(D4243)))+C4243*(1-ABS(D4243)/(ABS(D4244)+ABS(D4243)))),"")))</f>
        <v>#NAME?</v>
      </c>
    </row>
    <row r="4245" spans="2:5" x14ac:dyDescent="0.25">
      <c r="B4245" t="e">
        <f t="shared" ca="1" si="133"/>
        <v>#NAME?</v>
      </c>
      <c r="C4245">
        <v>4202</v>
      </c>
      <c r="D4245" t="e">
        <f t="shared" ca="1" si="132"/>
        <v>#NAME?</v>
      </c>
      <c r="E4245" s="115" t="e">
        <f t="array" aca="1" ref="E4245" ca="1">IF(OR(C4244=0,AND(B4246=0,C4246=0)),"",IFERROR(INDEX($F$27:$F$36,MATCH(C4245,($F$27:$F$36)*($D$27:$D$36&lt;&gt;0),0)),IF(OR(AND(D4245=0,B4245=0,B4246&lt;&gt;0),AND(D4245*D4244&lt;0,B4245&lt;&gt;0)),IF(D4245=0,C4245,C4245*(1-ABS(D4245)/(ABS(D4245)+ABS(D4244)))+C4244*(1-ABS(D4244)/(ABS(D4245)+ABS(D4244)))),"")))</f>
        <v>#NAME?</v>
      </c>
    </row>
    <row r="4246" spans="2:5" x14ac:dyDescent="0.25">
      <c r="B4246" t="e">
        <f t="shared" ca="1" si="133"/>
        <v>#NAME?</v>
      </c>
      <c r="C4246">
        <v>4203</v>
      </c>
      <c r="D4246" t="e">
        <f t="shared" ca="1" si="132"/>
        <v>#NAME?</v>
      </c>
      <c r="E4246" s="115" t="e">
        <f t="array" aca="1" ref="E4246" ca="1">IF(OR(C4245=0,AND(B4247=0,C4247=0)),"",IFERROR(INDEX($F$27:$F$36,MATCH(C4246,($F$27:$F$36)*($D$27:$D$36&lt;&gt;0),0)),IF(OR(AND(D4246=0,B4246=0,B4247&lt;&gt;0),AND(D4246*D4245&lt;0,B4246&lt;&gt;0)),IF(D4246=0,C4246,C4246*(1-ABS(D4246)/(ABS(D4246)+ABS(D4245)))+C4245*(1-ABS(D4245)/(ABS(D4246)+ABS(D4245)))),"")))</f>
        <v>#NAME?</v>
      </c>
    </row>
    <row r="4247" spans="2:5" x14ac:dyDescent="0.25">
      <c r="B4247" t="e">
        <f t="shared" ca="1" si="133"/>
        <v>#NAME?</v>
      </c>
      <c r="C4247">
        <v>4204</v>
      </c>
      <c r="D4247" t="e">
        <f t="shared" ca="1" si="132"/>
        <v>#NAME?</v>
      </c>
      <c r="E4247" s="115" t="e">
        <f t="array" aca="1" ref="E4247" ca="1">IF(OR(C4246=0,AND(B4248=0,C4248=0)),"",IFERROR(INDEX($F$27:$F$36,MATCH(C4247,($F$27:$F$36)*($D$27:$D$36&lt;&gt;0),0)),IF(OR(AND(D4247=0,B4247=0,B4248&lt;&gt;0),AND(D4247*D4246&lt;0,B4247&lt;&gt;0)),IF(D4247=0,C4247,C4247*(1-ABS(D4247)/(ABS(D4247)+ABS(D4246)))+C4246*(1-ABS(D4246)/(ABS(D4247)+ABS(D4246)))),"")))</f>
        <v>#NAME?</v>
      </c>
    </row>
    <row r="4248" spans="2:5" x14ac:dyDescent="0.25">
      <c r="B4248" t="e">
        <f t="shared" ca="1" si="133"/>
        <v>#NAME?</v>
      </c>
      <c r="C4248">
        <v>4205</v>
      </c>
      <c r="D4248" t="e">
        <f t="shared" ca="1" si="132"/>
        <v>#NAME?</v>
      </c>
      <c r="E4248" s="115" t="e">
        <f t="array" aca="1" ref="E4248" ca="1">IF(OR(C4247=0,AND(B4249=0,C4249=0)),"",IFERROR(INDEX($F$27:$F$36,MATCH(C4248,($F$27:$F$36)*($D$27:$D$36&lt;&gt;0),0)),IF(OR(AND(D4248=0,B4248=0,B4249&lt;&gt;0),AND(D4248*D4247&lt;0,B4248&lt;&gt;0)),IF(D4248=0,C4248,C4248*(1-ABS(D4248)/(ABS(D4248)+ABS(D4247)))+C4247*(1-ABS(D4247)/(ABS(D4248)+ABS(D4247)))),"")))</f>
        <v>#NAME?</v>
      </c>
    </row>
    <row r="4249" spans="2:5" x14ac:dyDescent="0.25">
      <c r="B4249" t="e">
        <f t="shared" ca="1" si="133"/>
        <v>#NAME?</v>
      </c>
      <c r="C4249">
        <v>4206</v>
      </c>
      <c r="D4249" t="e">
        <f t="shared" ca="1" si="132"/>
        <v>#NAME?</v>
      </c>
      <c r="E4249" s="115" t="e">
        <f t="array" aca="1" ref="E4249" ca="1">IF(OR(C4248=0,AND(B4250=0,C4250=0)),"",IFERROR(INDEX($F$27:$F$36,MATCH(C4249,($F$27:$F$36)*($D$27:$D$36&lt;&gt;0),0)),IF(OR(AND(D4249=0,B4249=0,B4250&lt;&gt;0),AND(D4249*D4248&lt;0,B4249&lt;&gt;0)),IF(D4249=0,C4249,C4249*(1-ABS(D4249)/(ABS(D4249)+ABS(D4248)))+C4248*(1-ABS(D4248)/(ABS(D4249)+ABS(D4248)))),"")))</f>
        <v>#NAME?</v>
      </c>
    </row>
    <row r="4250" spans="2:5" x14ac:dyDescent="0.25">
      <c r="B4250" t="e">
        <f t="shared" ca="1" si="133"/>
        <v>#NAME?</v>
      </c>
      <c r="C4250">
        <v>4207</v>
      </c>
      <c r="D4250" t="e">
        <f t="shared" ca="1" si="132"/>
        <v>#NAME?</v>
      </c>
      <c r="E4250" s="115" t="e">
        <f t="array" aca="1" ref="E4250" ca="1">IF(OR(C4249=0,AND(B4251=0,C4251=0)),"",IFERROR(INDEX($F$27:$F$36,MATCH(C4250,($F$27:$F$36)*($D$27:$D$36&lt;&gt;0),0)),IF(OR(AND(D4250=0,B4250=0,B4251&lt;&gt;0),AND(D4250*D4249&lt;0,B4250&lt;&gt;0)),IF(D4250=0,C4250,C4250*(1-ABS(D4250)/(ABS(D4250)+ABS(D4249)))+C4249*(1-ABS(D4249)/(ABS(D4250)+ABS(D4249)))),"")))</f>
        <v>#NAME?</v>
      </c>
    </row>
    <row r="4251" spans="2:5" x14ac:dyDescent="0.25">
      <c r="B4251" t="e">
        <f t="shared" ca="1" si="133"/>
        <v>#NAME?</v>
      </c>
      <c r="C4251">
        <v>4208</v>
      </c>
      <c r="D4251" t="e">
        <f t="shared" ca="1" si="132"/>
        <v>#NAME?</v>
      </c>
      <c r="E4251" s="115" t="e">
        <f t="array" aca="1" ref="E4251" ca="1">IF(OR(C4250=0,AND(B4252=0,C4252=0)),"",IFERROR(INDEX($F$27:$F$36,MATCH(C4251,($F$27:$F$36)*($D$27:$D$36&lt;&gt;0),0)),IF(OR(AND(D4251=0,B4251=0,B4252&lt;&gt;0),AND(D4251*D4250&lt;0,B4251&lt;&gt;0)),IF(D4251=0,C4251,C4251*(1-ABS(D4251)/(ABS(D4251)+ABS(D4250)))+C4250*(1-ABS(D4250)/(ABS(D4251)+ABS(D4250)))),"")))</f>
        <v>#NAME?</v>
      </c>
    </row>
    <row r="4252" spans="2:5" x14ac:dyDescent="0.25">
      <c r="B4252" t="e">
        <f t="shared" ca="1" si="133"/>
        <v>#NAME?</v>
      </c>
      <c r="C4252">
        <v>4209</v>
      </c>
      <c r="D4252" t="e">
        <f t="shared" ca="1" si="132"/>
        <v>#NAME?</v>
      </c>
      <c r="E4252" s="115" t="e">
        <f t="array" aca="1" ref="E4252" ca="1">IF(OR(C4251=0,AND(B4253=0,C4253=0)),"",IFERROR(INDEX($F$27:$F$36,MATCH(C4252,($F$27:$F$36)*($D$27:$D$36&lt;&gt;0),0)),IF(OR(AND(D4252=0,B4252=0,B4253&lt;&gt;0),AND(D4252*D4251&lt;0,B4252&lt;&gt;0)),IF(D4252=0,C4252,C4252*(1-ABS(D4252)/(ABS(D4252)+ABS(D4251)))+C4251*(1-ABS(D4251)/(ABS(D4252)+ABS(D4251)))),"")))</f>
        <v>#NAME?</v>
      </c>
    </row>
    <row r="4253" spans="2:5" x14ac:dyDescent="0.25">
      <c r="B4253" t="e">
        <f t="shared" ca="1" si="133"/>
        <v>#NAME?</v>
      </c>
      <c r="C4253">
        <v>4210</v>
      </c>
      <c r="D4253" t="e">
        <f t="shared" ca="1" si="132"/>
        <v>#NAME?</v>
      </c>
      <c r="E4253" s="115" t="e">
        <f t="array" aca="1" ref="E4253" ca="1">IF(OR(C4252=0,AND(B4254=0,C4254=0)),"",IFERROR(INDEX($F$27:$F$36,MATCH(C4253,($F$27:$F$36)*($D$27:$D$36&lt;&gt;0),0)),IF(OR(AND(D4253=0,B4253=0,B4254&lt;&gt;0),AND(D4253*D4252&lt;0,B4253&lt;&gt;0)),IF(D4253=0,C4253,C4253*(1-ABS(D4253)/(ABS(D4253)+ABS(D4252)))+C4252*(1-ABS(D4252)/(ABS(D4253)+ABS(D4252)))),"")))</f>
        <v>#NAME?</v>
      </c>
    </row>
    <row r="4254" spans="2:5" x14ac:dyDescent="0.25">
      <c r="B4254" t="e">
        <f t="shared" ca="1" si="133"/>
        <v>#NAME?</v>
      </c>
      <c r="C4254">
        <v>4211</v>
      </c>
      <c r="D4254" t="e">
        <f t="shared" ca="1" si="132"/>
        <v>#NAME?</v>
      </c>
      <c r="E4254" s="115" t="e">
        <f t="array" aca="1" ref="E4254" ca="1">IF(OR(C4253=0,AND(B4255=0,C4255=0)),"",IFERROR(INDEX($F$27:$F$36,MATCH(C4254,($F$27:$F$36)*($D$27:$D$36&lt;&gt;0),0)),IF(OR(AND(D4254=0,B4254=0,B4255&lt;&gt;0),AND(D4254*D4253&lt;0,B4254&lt;&gt;0)),IF(D4254=0,C4254,C4254*(1-ABS(D4254)/(ABS(D4254)+ABS(D4253)))+C4253*(1-ABS(D4253)/(ABS(D4254)+ABS(D4253)))),"")))</f>
        <v>#NAME?</v>
      </c>
    </row>
    <row r="4255" spans="2:5" x14ac:dyDescent="0.25">
      <c r="B4255" t="e">
        <f t="shared" ca="1" si="133"/>
        <v>#NAME?</v>
      </c>
      <c r="C4255">
        <v>4212</v>
      </c>
      <c r="D4255" t="e">
        <f t="shared" ca="1" si="132"/>
        <v>#NAME?</v>
      </c>
      <c r="E4255" s="115" t="e">
        <f t="array" aca="1" ref="E4255" ca="1">IF(OR(C4254=0,AND(B4256=0,C4256=0)),"",IFERROR(INDEX($F$27:$F$36,MATCH(C4255,($F$27:$F$36)*($D$27:$D$36&lt;&gt;0),0)),IF(OR(AND(D4255=0,B4255=0,B4256&lt;&gt;0),AND(D4255*D4254&lt;0,B4255&lt;&gt;0)),IF(D4255=0,C4255,C4255*(1-ABS(D4255)/(ABS(D4255)+ABS(D4254)))+C4254*(1-ABS(D4254)/(ABS(D4255)+ABS(D4254)))),"")))</f>
        <v>#NAME?</v>
      </c>
    </row>
    <row r="4256" spans="2:5" x14ac:dyDescent="0.25">
      <c r="B4256" t="e">
        <f t="shared" ca="1" si="133"/>
        <v>#NAME?</v>
      </c>
      <c r="C4256">
        <v>4213</v>
      </c>
      <c r="D4256" t="e">
        <f t="shared" ca="1" si="132"/>
        <v>#NAME?</v>
      </c>
      <c r="E4256" s="115" t="e">
        <f t="array" aca="1" ref="E4256" ca="1">IF(OR(C4255=0,AND(B4257=0,C4257=0)),"",IFERROR(INDEX($F$27:$F$36,MATCH(C4256,($F$27:$F$36)*($D$27:$D$36&lt;&gt;0),0)),IF(OR(AND(D4256=0,B4256=0,B4257&lt;&gt;0),AND(D4256*D4255&lt;0,B4256&lt;&gt;0)),IF(D4256=0,C4256,C4256*(1-ABS(D4256)/(ABS(D4256)+ABS(D4255)))+C4255*(1-ABS(D4255)/(ABS(D4256)+ABS(D4255)))),"")))</f>
        <v>#NAME?</v>
      </c>
    </row>
    <row r="4257" spans="2:5" x14ac:dyDescent="0.25">
      <c r="B4257" t="e">
        <f t="shared" ca="1" si="133"/>
        <v>#NAME?</v>
      </c>
      <c r="C4257">
        <v>4214</v>
      </c>
      <c r="D4257" t="e">
        <f t="shared" ca="1" si="132"/>
        <v>#NAME?</v>
      </c>
      <c r="E4257" s="115" t="e">
        <f t="array" aca="1" ref="E4257" ca="1">IF(OR(C4256=0,AND(B4258=0,C4258=0)),"",IFERROR(INDEX($F$27:$F$36,MATCH(C4257,($F$27:$F$36)*($D$27:$D$36&lt;&gt;0),0)),IF(OR(AND(D4257=0,B4257=0,B4258&lt;&gt;0),AND(D4257*D4256&lt;0,B4257&lt;&gt;0)),IF(D4257=0,C4257,C4257*(1-ABS(D4257)/(ABS(D4257)+ABS(D4256)))+C4256*(1-ABS(D4256)/(ABS(D4257)+ABS(D4256)))),"")))</f>
        <v>#NAME?</v>
      </c>
    </row>
    <row r="4258" spans="2:5" x14ac:dyDescent="0.25">
      <c r="B4258" t="e">
        <f t="shared" ca="1" si="133"/>
        <v>#NAME?</v>
      </c>
      <c r="C4258">
        <v>4215</v>
      </c>
      <c r="D4258" t="e">
        <f t="shared" ca="1" si="132"/>
        <v>#NAME?</v>
      </c>
      <c r="E4258" s="115" t="e">
        <f t="array" aca="1" ref="E4258" ca="1">IF(OR(C4257=0,AND(B4259=0,C4259=0)),"",IFERROR(INDEX($F$27:$F$36,MATCH(C4258,($F$27:$F$36)*($D$27:$D$36&lt;&gt;0),0)),IF(OR(AND(D4258=0,B4258=0,B4259&lt;&gt;0),AND(D4258*D4257&lt;0,B4258&lt;&gt;0)),IF(D4258=0,C4258,C4258*(1-ABS(D4258)/(ABS(D4258)+ABS(D4257)))+C4257*(1-ABS(D4257)/(ABS(D4258)+ABS(D4257)))),"")))</f>
        <v>#NAME?</v>
      </c>
    </row>
    <row r="4259" spans="2:5" x14ac:dyDescent="0.25">
      <c r="B4259" t="e">
        <f t="shared" ca="1" si="133"/>
        <v>#NAME?</v>
      </c>
      <c r="C4259">
        <v>4216</v>
      </c>
      <c r="D4259" t="e">
        <f t="shared" ca="1" si="132"/>
        <v>#NAME?</v>
      </c>
      <c r="E4259" s="115" t="e">
        <f t="array" aca="1" ref="E4259" ca="1">IF(OR(C4258=0,AND(B4260=0,C4260=0)),"",IFERROR(INDEX($F$27:$F$36,MATCH(C4259,($F$27:$F$36)*($D$27:$D$36&lt;&gt;0),0)),IF(OR(AND(D4259=0,B4259=0,B4260&lt;&gt;0),AND(D4259*D4258&lt;0,B4259&lt;&gt;0)),IF(D4259=0,C4259,C4259*(1-ABS(D4259)/(ABS(D4259)+ABS(D4258)))+C4258*(1-ABS(D4258)/(ABS(D4259)+ABS(D4258)))),"")))</f>
        <v>#NAME?</v>
      </c>
    </row>
    <row r="4260" spans="2:5" x14ac:dyDescent="0.25">
      <c r="B4260" t="e">
        <f t="shared" ca="1" si="133"/>
        <v>#NAME?</v>
      </c>
      <c r="C4260">
        <v>4217</v>
      </c>
      <c r="D4260" t="e">
        <f t="shared" ca="1" si="132"/>
        <v>#NAME?</v>
      </c>
      <c r="E4260" s="115" t="e">
        <f t="array" aca="1" ref="E4260" ca="1">IF(OR(C4259=0,AND(B4261=0,C4261=0)),"",IFERROR(INDEX($F$27:$F$36,MATCH(C4260,($F$27:$F$36)*($D$27:$D$36&lt;&gt;0),0)),IF(OR(AND(D4260=0,B4260=0,B4261&lt;&gt;0),AND(D4260*D4259&lt;0,B4260&lt;&gt;0)),IF(D4260=0,C4260,C4260*(1-ABS(D4260)/(ABS(D4260)+ABS(D4259)))+C4259*(1-ABS(D4259)/(ABS(D4260)+ABS(D4259)))),"")))</f>
        <v>#NAME?</v>
      </c>
    </row>
    <row r="4261" spans="2:5" x14ac:dyDescent="0.25">
      <c r="B4261" t="e">
        <f t="shared" ca="1" si="133"/>
        <v>#NAME?</v>
      </c>
      <c r="C4261">
        <v>4218</v>
      </c>
      <c r="D4261" t="e">
        <f t="shared" ca="1" si="132"/>
        <v>#NAME?</v>
      </c>
      <c r="E4261" s="115" t="e">
        <f t="array" aca="1" ref="E4261" ca="1">IF(OR(C4260=0,AND(B4262=0,C4262=0)),"",IFERROR(INDEX($F$27:$F$36,MATCH(C4261,($F$27:$F$36)*($D$27:$D$36&lt;&gt;0),0)),IF(OR(AND(D4261=0,B4261=0,B4262&lt;&gt;0),AND(D4261*D4260&lt;0,B4261&lt;&gt;0)),IF(D4261=0,C4261,C4261*(1-ABS(D4261)/(ABS(D4261)+ABS(D4260)))+C4260*(1-ABS(D4260)/(ABS(D4261)+ABS(D4260)))),"")))</f>
        <v>#NAME?</v>
      </c>
    </row>
    <row r="4262" spans="2:5" x14ac:dyDescent="0.25">
      <c r="B4262" t="e">
        <f t="shared" ca="1" si="133"/>
        <v>#NAME?</v>
      </c>
      <c r="C4262">
        <v>4219</v>
      </c>
      <c r="D4262" t="e">
        <f t="shared" ca="1" si="132"/>
        <v>#NAME?</v>
      </c>
      <c r="E4262" s="115" t="e">
        <f t="array" aca="1" ref="E4262" ca="1">IF(OR(C4261=0,AND(B4263=0,C4263=0)),"",IFERROR(INDEX($F$27:$F$36,MATCH(C4262,($F$27:$F$36)*($D$27:$D$36&lt;&gt;0),0)),IF(OR(AND(D4262=0,B4262=0,B4263&lt;&gt;0),AND(D4262*D4261&lt;0,B4262&lt;&gt;0)),IF(D4262=0,C4262,C4262*(1-ABS(D4262)/(ABS(D4262)+ABS(D4261)))+C4261*(1-ABS(D4261)/(ABS(D4262)+ABS(D4261)))),"")))</f>
        <v>#NAME?</v>
      </c>
    </row>
    <row r="4263" spans="2:5" x14ac:dyDescent="0.25">
      <c r="B4263" t="e">
        <f t="shared" ca="1" si="133"/>
        <v>#NAME?</v>
      </c>
      <c r="C4263">
        <v>4220</v>
      </c>
      <c r="D4263" t="e">
        <f t="shared" ca="1" si="132"/>
        <v>#NAME?</v>
      </c>
      <c r="E4263" s="115" t="e">
        <f t="array" aca="1" ref="E4263" ca="1">IF(OR(C4262=0,AND(B4264=0,C4264=0)),"",IFERROR(INDEX($F$27:$F$36,MATCH(C4263,($F$27:$F$36)*($D$27:$D$36&lt;&gt;0),0)),IF(OR(AND(D4263=0,B4263=0,B4264&lt;&gt;0),AND(D4263*D4262&lt;0,B4263&lt;&gt;0)),IF(D4263=0,C4263,C4263*(1-ABS(D4263)/(ABS(D4263)+ABS(D4262)))+C4262*(1-ABS(D4262)/(ABS(D4263)+ABS(D4262)))),"")))</f>
        <v>#NAME?</v>
      </c>
    </row>
    <row r="4264" spans="2:5" x14ac:dyDescent="0.25">
      <c r="B4264" t="e">
        <f t="shared" ca="1" si="133"/>
        <v>#NAME?</v>
      </c>
      <c r="C4264">
        <v>4221</v>
      </c>
      <c r="D4264" t="e">
        <f t="shared" ca="1" si="132"/>
        <v>#NAME?</v>
      </c>
      <c r="E4264" s="115" t="e">
        <f t="array" aca="1" ref="E4264" ca="1">IF(OR(C4263=0,AND(B4265=0,C4265=0)),"",IFERROR(INDEX($F$27:$F$36,MATCH(C4264,($F$27:$F$36)*($D$27:$D$36&lt;&gt;0),0)),IF(OR(AND(D4264=0,B4264=0,B4265&lt;&gt;0),AND(D4264*D4263&lt;0,B4264&lt;&gt;0)),IF(D4264=0,C4264,C4264*(1-ABS(D4264)/(ABS(D4264)+ABS(D4263)))+C4263*(1-ABS(D4263)/(ABS(D4264)+ABS(D4263)))),"")))</f>
        <v>#NAME?</v>
      </c>
    </row>
    <row r="4265" spans="2:5" x14ac:dyDescent="0.25">
      <c r="B4265" t="e">
        <f t="shared" ca="1" si="133"/>
        <v>#NAME?</v>
      </c>
      <c r="C4265">
        <v>4222</v>
      </c>
      <c r="D4265" t="e">
        <f t="shared" ca="1" si="132"/>
        <v>#NAME?</v>
      </c>
      <c r="E4265" s="115" t="e">
        <f t="array" aca="1" ref="E4265" ca="1">IF(OR(C4264=0,AND(B4266=0,C4266=0)),"",IFERROR(INDEX($F$27:$F$36,MATCH(C4265,($F$27:$F$36)*($D$27:$D$36&lt;&gt;0),0)),IF(OR(AND(D4265=0,B4265=0,B4266&lt;&gt;0),AND(D4265*D4264&lt;0,B4265&lt;&gt;0)),IF(D4265=0,C4265,C4265*(1-ABS(D4265)/(ABS(D4265)+ABS(D4264)))+C4264*(1-ABS(D4264)/(ABS(D4265)+ABS(D4264)))),"")))</f>
        <v>#NAME?</v>
      </c>
    </row>
    <row r="4266" spans="2:5" x14ac:dyDescent="0.25">
      <c r="B4266" t="e">
        <f t="shared" ca="1" si="133"/>
        <v>#NAME?</v>
      </c>
      <c r="C4266">
        <v>4223</v>
      </c>
      <c r="D4266" t="e">
        <f t="shared" ca="1" si="132"/>
        <v>#NAME?</v>
      </c>
      <c r="E4266" s="115" t="e">
        <f t="array" aca="1" ref="E4266" ca="1">IF(OR(C4265=0,AND(B4267=0,C4267=0)),"",IFERROR(INDEX($F$27:$F$36,MATCH(C4266,($F$27:$F$36)*($D$27:$D$36&lt;&gt;0),0)),IF(OR(AND(D4266=0,B4266=0,B4267&lt;&gt;0),AND(D4266*D4265&lt;0,B4266&lt;&gt;0)),IF(D4266=0,C4266,C4266*(1-ABS(D4266)/(ABS(D4266)+ABS(D4265)))+C4265*(1-ABS(D4265)/(ABS(D4266)+ABS(D4265)))),"")))</f>
        <v>#NAME?</v>
      </c>
    </row>
    <row r="4267" spans="2:5" x14ac:dyDescent="0.25">
      <c r="B4267" t="e">
        <f t="shared" ca="1" si="133"/>
        <v>#NAME?</v>
      </c>
      <c r="C4267">
        <v>4224</v>
      </c>
      <c r="D4267" t="e">
        <f t="shared" ref="D4267:D4330" ca="1" si="134">SUMPRODUCT(--($J$27:$J$37&gt;0),--($C4267-$F$27:$F$37&gt;0),($D$27:$D$37),($C4267-$F$27:$F$37))+SUMPRODUCT(--($J$27:$J$37&lt;0),--($F$27:$F$37-$C4267&gt;0),($D$27:$D$37),($F$27:$F$37-$C4267))-SUMPRODUCT($D$27:$D$37,$E$27:$E$37)</f>
        <v>#NAME?</v>
      </c>
      <c r="E4267" s="115" t="e">
        <f t="array" aca="1" ref="E4267" ca="1">IF(OR(C4266=0,AND(B4268=0,C4268=0)),"",IFERROR(INDEX($F$27:$F$36,MATCH(C4267,($F$27:$F$36)*($D$27:$D$36&lt;&gt;0),0)),IF(OR(AND(D4267=0,B4267=0,B4268&lt;&gt;0),AND(D4267*D4266&lt;0,B4267&lt;&gt;0)),IF(D4267=0,C4267,C4267*(1-ABS(D4267)/(ABS(D4267)+ABS(D4266)))+C4266*(1-ABS(D4266)/(ABS(D4267)+ABS(D4266)))),"")))</f>
        <v>#NAME?</v>
      </c>
    </row>
    <row r="4268" spans="2:5" x14ac:dyDescent="0.25">
      <c r="B4268" t="e">
        <f t="shared" ref="B4268:B4331" ca="1" si="135">ROUND((D4268-D4267)/(C4268-C4267),12)</f>
        <v>#NAME?</v>
      </c>
      <c r="C4268">
        <v>4225</v>
      </c>
      <c r="D4268" t="e">
        <f t="shared" ca="1" si="134"/>
        <v>#NAME?</v>
      </c>
      <c r="E4268" s="115" t="e">
        <f t="array" aca="1" ref="E4268" ca="1">IF(OR(C4267=0,AND(B4269=0,C4269=0)),"",IFERROR(INDEX($F$27:$F$36,MATCH(C4268,($F$27:$F$36)*($D$27:$D$36&lt;&gt;0),0)),IF(OR(AND(D4268=0,B4268=0,B4269&lt;&gt;0),AND(D4268*D4267&lt;0,B4268&lt;&gt;0)),IF(D4268=0,C4268,C4268*(1-ABS(D4268)/(ABS(D4268)+ABS(D4267)))+C4267*(1-ABS(D4267)/(ABS(D4268)+ABS(D4267)))),"")))</f>
        <v>#NAME?</v>
      </c>
    </row>
    <row r="4269" spans="2:5" x14ac:dyDescent="0.25">
      <c r="B4269" t="e">
        <f t="shared" ca="1" si="135"/>
        <v>#NAME?</v>
      </c>
      <c r="C4269">
        <v>4226</v>
      </c>
      <c r="D4269" t="e">
        <f t="shared" ca="1" si="134"/>
        <v>#NAME?</v>
      </c>
      <c r="E4269" s="115" t="e">
        <f t="array" aca="1" ref="E4269" ca="1">IF(OR(C4268=0,AND(B4270=0,C4270=0)),"",IFERROR(INDEX($F$27:$F$36,MATCH(C4269,($F$27:$F$36)*($D$27:$D$36&lt;&gt;0),0)),IF(OR(AND(D4269=0,B4269=0,B4270&lt;&gt;0),AND(D4269*D4268&lt;0,B4269&lt;&gt;0)),IF(D4269=0,C4269,C4269*(1-ABS(D4269)/(ABS(D4269)+ABS(D4268)))+C4268*(1-ABS(D4268)/(ABS(D4269)+ABS(D4268)))),"")))</f>
        <v>#NAME?</v>
      </c>
    </row>
    <row r="4270" spans="2:5" x14ac:dyDescent="0.25">
      <c r="B4270" t="e">
        <f t="shared" ca="1" si="135"/>
        <v>#NAME?</v>
      </c>
      <c r="C4270">
        <v>4227</v>
      </c>
      <c r="D4270" t="e">
        <f t="shared" ca="1" si="134"/>
        <v>#NAME?</v>
      </c>
      <c r="E4270" s="115" t="e">
        <f t="array" aca="1" ref="E4270" ca="1">IF(OR(C4269=0,AND(B4271=0,C4271=0)),"",IFERROR(INDEX($F$27:$F$36,MATCH(C4270,($F$27:$F$36)*($D$27:$D$36&lt;&gt;0),0)),IF(OR(AND(D4270=0,B4270=0,B4271&lt;&gt;0),AND(D4270*D4269&lt;0,B4270&lt;&gt;0)),IF(D4270=0,C4270,C4270*(1-ABS(D4270)/(ABS(D4270)+ABS(D4269)))+C4269*(1-ABS(D4269)/(ABS(D4270)+ABS(D4269)))),"")))</f>
        <v>#NAME?</v>
      </c>
    </row>
    <row r="4271" spans="2:5" x14ac:dyDescent="0.25">
      <c r="B4271" t="e">
        <f t="shared" ca="1" si="135"/>
        <v>#NAME?</v>
      </c>
      <c r="C4271">
        <v>4228</v>
      </c>
      <c r="D4271" t="e">
        <f t="shared" ca="1" si="134"/>
        <v>#NAME?</v>
      </c>
      <c r="E4271" s="115" t="e">
        <f t="array" aca="1" ref="E4271" ca="1">IF(OR(C4270=0,AND(B4272=0,C4272=0)),"",IFERROR(INDEX($F$27:$F$36,MATCH(C4271,($F$27:$F$36)*($D$27:$D$36&lt;&gt;0),0)),IF(OR(AND(D4271=0,B4271=0,B4272&lt;&gt;0),AND(D4271*D4270&lt;0,B4271&lt;&gt;0)),IF(D4271=0,C4271,C4271*(1-ABS(D4271)/(ABS(D4271)+ABS(D4270)))+C4270*(1-ABS(D4270)/(ABS(D4271)+ABS(D4270)))),"")))</f>
        <v>#NAME?</v>
      </c>
    </row>
    <row r="4272" spans="2:5" x14ac:dyDescent="0.25">
      <c r="B4272" t="e">
        <f t="shared" ca="1" si="135"/>
        <v>#NAME?</v>
      </c>
      <c r="C4272">
        <v>4229</v>
      </c>
      <c r="D4272" t="e">
        <f t="shared" ca="1" si="134"/>
        <v>#NAME?</v>
      </c>
      <c r="E4272" s="115" t="e">
        <f t="array" aca="1" ref="E4272" ca="1">IF(OR(C4271=0,AND(B4273=0,C4273=0)),"",IFERROR(INDEX($F$27:$F$36,MATCH(C4272,($F$27:$F$36)*($D$27:$D$36&lt;&gt;0),0)),IF(OR(AND(D4272=0,B4272=0,B4273&lt;&gt;0),AND(D4272*D4271&lt;0,B4272&lt;&gt;0)),IF(D4272=0,C4272,C4272*(1-ABS(D4272)/(ABS(D4272)+ABS(D4271)))+C4271*(1-ABS(D4271)/(ABS(D4272)+ABS(D4271)))),"")))</f>
        <v>#NAME?</v>
      </c>
    </row>
    <row r="4273" spans="2:5" x14ac:dyDescent="0.25">
      <c r="B4273" t="e">
        <f t="shared" ca="1" si="135"/>
        <v>#NAME?</v>
      </c>
      <c r="C4273">
        <v>4230</v>
      </c>
      <c r="D4273" t="e">
        <f t="shared" ca="1" si="134"/>
        <v>#NAME?</v>
      </c>
      <c r="E4273" s="115" t="e">
        <f t="array" aca="1" ref="E4273" ca="1">IF(OR(C4272=0,AND(B4274=0,C4274=0)),"",IFERROR(INDEX($F$27:$F$36,MATCH(C4273,($F$27:$F$36)*($D$27:$D$36&lt;&gt;0),0)),IF(OR(AND(D4273=0,B4273=0,B4274&lt;&gt;0),AND(D4273*D4272&lt;0,B4273&lt;&gt;0)),IF(D4273=0,C4273,C4273*(1-ABS(D4273)/(ABS(D4273)+ABS(D4272)))+C4272*(1-ABS(D4272)/(ABS(D4273)+ABS(D4272)))),"")))</f>
        <v>#NAME?</v>
      </c>
    </row>
    <row r="4274" spans="2:5" x14ac:dyDescent="0.25">
      <c r="B4274" t="e">
        <f t="shared" ca="1" si="135"/>
        <v>#NAME?</v>
      </c>
      <c r="C4274">
        <v>4231</v>
      </c>
      <c r="D4274" t="e">
        <f t="shared" ca="1" si="134"/>
        <v>#NAME?</v>
      </c>
      <c r="E4274" s="115" t="e">
        <f t="array" aca="1" ref="E4274" ca="1">IF(OR(C4273=0,AND(B4275=0,C4275=0)),"",IFERROR(INDEX($F$27:$F$36,MATCH(C4274,($F$27:$F$36)*($D$27:$D$36&lt;&gt;0),0)),IF(OR(AND(D4274=0,B4274=0,B4275&lt;&gt;0),AND(D4274*D4273&lt;0,B4274&lt;&gt;0)),IF(D4274=0,C4274,C4274*(1-ABS(D4274)/(ABS(D4274)+ABS(D4273)))+C4273*(1-ABS(D4273)/(ABS(D4274)+ABS(D4273)))),"")))</f>
        <v>#NAME?</v>
      </c>
    </row>
    <row r="4275" spans="2:5" x14ac:dyDescent="0.25">
      <c r="B4275" t="e">
        <f t="shared" ca="1" si="135"/>
        <v>#NAME?</v>
      </c>
      <c r="C4275">
        <v>4232</v>
      </c>
      <c r="D4275" t="e">
        <f t="shared" ca="1" si="134"/>
        <v>#NAME?</v>
      </c>
      <c r="E4275" s="115" t="e">
        <f t="array" aca="1" ref="E4275" ca="1">IF(OR(C4274=0,AND(B4276=0,C4276=0)),"",IFERROR(INDEX($F$27:$F$36,MATCH(C4275,($F$27:$F$36)*($D$27:$D$36&lt;&gt;0),0)),IF(OR(AND(D4275=0,B4275=0,B4276&lt;&gt;0),AND(D4275*D4274&lt;0,B4275&lt;&gt;0)),IF(D4275=0,C4275,C4275*(1-ABS(D4275)/(ABS(D4275)+ABS(D4274)))+C4274*(1-ABS(D4274)/(ABS(D4275)+ABS(D4274)))),"")))</f>
        <v>#NAME?</v>
      </c>
    </row>
    <row r="4276" spans="2:5" x14ac:dyDescent="0.25">
      <c r="B4276" t="e">
        <f t="shared" ca="1" si="135"/>
        <v>#NAME?</v>
      </c>
      <c r="C4276">
        <v>4233</v>
      </c>
      <c r="D4276" t="e">
        <f t="shared" ca="1" si="134"/>
        <v>#NAME?</v>
      </c>
      <c r="E4276" s="115" t="e">
        <f t="array" aca="1" ref="E4276" ca="1">IF(OR(C4275=0,AND(B4277=0,C4277=0)),"",IFERROR(INDEX($F$27:$F$36,MATCH(C4276,($F$27:$F$36)*($D$27:$D$36&lt;&gt;0),0)),IF(OR(AND(D4276=0,B4276=0,B4277&lt;&gt;0),AND(D4276*D4275&lt;0,B4276&lt;&gt;0)),IF(D4276=0,C4276,C4276*(1-ABS(D4276)/(ABS(D4276)+ABS(D4275)))+C4275*(1-ABS(D4275)/(ABS(D4276)+ABS(D4275)))),"")))</f>
        <v>#NAME?</v>
      </c>
    </row>
    <row r="4277" spans="2:5" x14ac:dyDescent="0.25">
      <c r="B4277" t="e">
        <f t="shared" ca="1" si="135"/>
        <v>#NAME?</v>
      </c>
      <c r="C4277">
        <v>4234</v>
      </c>
      <c r="D4277" t="e">
        <f t="shared" ca="1" si="134"/>
        <v>#NAME?</v>
      </c>
      <c r="E4277" s="115" t="e">
        <f t="array" aca="1" ref="E4277" ca="1">IF(OR(C4276=0,AND(B4278=0,C4278=0)),"",IFERROR(INDEX($F$27:$F$36,MATCH(C4277,($F$27:$F$36)*($D$27:$D$36&lt;&gt;0),0)),IF(OR(AND(D4277=0,B4277=0,B4278&lt;&gt;0),AND(D4277*D4276&lt;0,B4277&lt;&gt;0)),IF(D4277=0,C4277,C4277*(1-ABS(D4277)/(ABS(D4277)+ABS(D4276)))+C4276*(1-ABS(D4276)/(ABS(D4277)+ABS(D4276)))),"")))</f>
        <v>#NAME?</v>
      </c>
    </row>
    <row r="4278" spans="2:5" x14ac:dyDescent="0.25">
      <c r="B4278" t="e">
        <f t="shared" ca="1" si="135"/>
        <v>#NAME?</v>
      </c>
      <c r="C4278">
        <v>4235</v>
      </c>
      <c r="D4278" t="e">
        <f t="shared" ca="1" si="134"/>
        <v>#NAME?</v>
      </c>
      <c r="E4278" s="115" t="e">
        <f t="array" aca="1" ref="E4278" ca="1">IF(OR(C4277=0,AND(B4279=0,C4279=0)),"",IFERROR(INDEX($F$27:$F$36,MATCH(C4278,($F$27:$F$36)*($D$27:$D$36&lt;&gt;0),0)),IF(OR(AND(D4278=0,B4278=0,B4279&lt;&gt;0),AND(D4278*D4277&lt;0,B4278&lt;&gt;0)),IF(D4278=0,C4278,C4278*(1-ABS(D4278)/(ABS(D4278)+ABS(D4277)))+C4277*(1-ABS(D4277)/(ABS(D4278)+ABS(D4277)))),"")))</f>
        <v>#NAME?</v>
      </c>
    </row>
    <row r="4279" spans="2:5" x14ac:dyDescent="0.25">
      <c r="B4279" t="e">
        <f t="shared" ca="1" si="135"/>
        <v>#NAME?</v>
      </c>
      <c r="C4279">
        <v>4236</v>
      </c>
      <c r="D4279" t="e">
        <f t="shared" ca="1" si="134"/>
        <v>#NAME?</v>
      </c>
      <c r="E4279" s="115" t="e">
        <f t="array" aca="1" ref="E4279" ca="1">IF(OR(C4278=0,AND(B4280=0,C4280=0)),"",IFERROR(INDEX($F$27:$F$36,MATCH(C4279,($F$27:$F$36)*($D$27:$D$36&lt;&gt;0),0)),IF(OR(AND(D4279=0,B4279=0,B4280&lt;&gt;0),AND(D4279*D4278&lt;0,B4279&lt;&gt;0)),IF(D4279=0,C4279,C4279*(1-ABS(D4279)/(ABS(D4279)+ABS(D4278)))+C4278*(1-ABS(D4278)/(ABS(D4279)+ABS(D4278)))),"")))</f>
        <v>#NAME?</v>
      </c>
    </row>
    <row r="4280" spans="2:5" x14ac:dyDescent="0.25">
      <c r="B4280" t="e">
        <f t="shared" ca="1" si="135"/>
        <v>#NAME?</v>
      </c>
      <c r="C4280">
        <v>4237</v>
      </c>
      <c r="D4280" t="e">
        <f t="shared" ca="1" si="134"/>
        <v>#NAME?</v>
      </c>
      <c r="E4280" s="115" t="e">
        <f t="array" aca="1" ref="E4280" ca="1">IF(OR(C4279=0,AND(B4281=0,C4281=0)),"",IFERROR(INDEX($F$27:$F$36,MATCH(C4280,($F$27:$F$36)*($D$27:$D$36&lt;&gt;0),0)),IF(OR(AND(D4280=0,B4280=0,B4281&lt;&gt;0),AND(D4280*D4279&lt;0,B4280&lt;&gt;0)),IF(D4280=0,C4280,C4280*(1-ABS(D4280)/(ABS(D4280)+ABS(D4279)))+C4279*(1-ABS(D4279)/(ABS(D4280)+ABS(D4279)))),"")))</f>
        <v>#NAME?</v>
      </c>
    </row>
    <row r="4281" spans="2:5" x14ac:dyDescent="0.25">
      <c r="B4281" t="e">
        <f t="shared" ca="1" si="135"/>
        <v>#NAME?</v>
      </c>
      <c r="C4281">
        <v>4238</v>
      </c>
      <c r="D4281" t="e">
        <f t="shared" ca="1" si="134"/>
        <v>#NAME?</v>
      </c>
      <c r="E4281" s="115" t="e">
        <f t="array" aca="1" ref="E4281" ca="1">IF(OR(C4280=0,AND(B4282=0,C4282=0)),"",IFERROR(INDEX($F$27:$F$36,MATCH(C4281,($F$27:$F$36)*($D$27:$D$36&lt;&gt;0),0)),IF(OR(AND(D4281=0,B4281=0,B4282&lt;&gt;0),AND(D4281*D4280&lt;0,B4281&lt;&gt;0)),IF(D4281=0,C4281,C4281*(1-ABS(D4281)/(ABS(D4281)+ABS(D4280)))+C4280*(1-ABS(D4280)/(ABS(D4281)+ABS(D4280)))),"")))</f>
        <v>#NAME?</v>
      </c>
    </row>
    <row r="4282" spans="2:5" x14ac:dyDescent="0.25">
      <c r="B4282" t="e">
        <f t="shared" ca="1" si="135"/>
        <v>#NAME?</v>
      </c>
      <c r="C4282">
        <v>4239</v>
      </c>
      <c r="D4282" t="e">
        <f t="shared" ca="1" si="134"/>
        <v>#NAME?</v>
      </c>
      <c r="E4282" s="115" t="e">
        <f t="array" aca="1" ref="E4282" ca="1">IF(OR(C4281=0,AND(B4283=0,C4283=0)),"",IFERROR(INDEX($F$27:$F$36,MATCH(C4282,($F$27:$F$36)*($D$27:$D$36&lt;&gt;0),0)),IF(OR(AND(D4282=0,B4282=0,B4283&lt;&gt;0),AND(D4282*D4281&lt;0,B4282&lt;&gt;0)),IF(D4282=0,C4282,C4282*(1-ABS(D4282)/(ABS(D4282)+ABS(D4281)))+C4281*(1-ABS(D4281)/(ABS(D4282)+ABS(D4281)))),"")))</f>
        <v>#NAME?</v>
      </c>
    </row>
    <row r="4283" spans="2:5" x14ac:dyDescent="0.25">
      <c r="B4283" t="e">
        <f t="shared" ca="1" si="135"/>
        <v>#NAME?</v>
      </c>
      <c r="C4283">
        <v>4240</v>
      </c>
      <c r="D4283" t="e">
        <f t="shared" ca="1" si="134"/>
        <v>#NAME?</v>
      </c>
      <c r="E4283" s="115" t="e">
        <f t="array" aca="1" ref="E4283" ca="1">IF(OR(C4282=0,AND(B4284=0,C4284=0)),"",IFERROR(INDEX($F$27:$F$36,MATCH(C4283,($F$27:$F$36)*($D$27:$D$36&lt;&gt;0),0)),IF(OR(AND(D4283=0,B4283=0,B4284&lt;&gt;0),AND(D4283*D4282&lt;0,B4283&lt;&gt;0)),IF(D4283=0,C4283,C4283*(1-ABS(D4283)/(ABS(D4283)+ABS(D4282)))+C4282*(1-ABS(D4282)/(ABS(D4283)+ABS(D4282)))),"")))</f>
        <v>#NAME?</v>
      </c>
    </row>
    <row r="4284" spans="2:5" x14ac:dyDescent="0.25">
      <c r="B4284" t="e">
        <f t="shared" ca="1" si="135"/>
        <v>#NAME?</v>
      </c>
      <c r="C4284">
        <v>4241</v>
      </c>
      <c r="D4284" t="e">
        <f t="shared" ca="1" si="134"/>
        <v>#NAME?</v>
      </c>
      <c r="E4284" s="115" t="e">
        <f t="array" aca="1" ref="E4284" ca="1">IF(OR(C4283=0,AND(B4285=0,C4285=0)),"",IFERROR(INDEX($F$27:$F$36,MATCH(C4284,($F$27:$F$36)*($D$27:$D$36&lt;&gt;0),0)),IF(OR(AND(D4284=0,B4284=0,B4285&lt;&gt;0),AND(D4284*D4283&lt;0,B4284&lt;&gt;0)),IF(D4284=0,C4284,C4284*(1-ABS(D4284)/(ABS(D4284)+ABS(D4283)))+C4283*(1-ABS(D4283)/(ABS(D4284)+ABS(D4283)))),"")))</f>
        <v>#NAME?</v>
      </c>
    </row>
    <row r="4285" spans="2:5" x14ac:dyDescent="0.25">
      <c r="B4285" t="e">
        <f t="shared" ca="1" si="135"/>
        <v>#NAME?</v>
      </c>
      <c r="C4285">
        <v>4242</v>
      </c>
      <c r="D4285" t="e">
        <f t="shared" ca="1" si="134"/>
        <v>#NAME?</v>
      </c>
      <c r="E4285" s="115" t="e">
        <f t="array" aca="1" ref="E4285" ca="1">IF(OR(C4284=0,AND(B4286=0,C4286=0)),"",IFERROR(INDEX($F$27:$F$36,MATCH(C4285,($F$27:$F$36)*($D$27:$D$36&lt;&gt;0),0)),IF(OR(AND(D4285=0,B4285=0,B4286&lt;&gt;0),AND(D4285*D4284&lt;0,B4285&lt;&gt;0)),IF(D4285=0,C4285,C4285*(1-ABS(D4285)/(ABS(D4285)+ABS(D4284)))+C4284*(1-ABS(D4284)/(ABS(D4285)+ABS(D4284)))),"")))</f>
        <v>#NAME?</v>
      </c>
    </row>
    <row r="4286" spans="2:5" x14ac:dyDescent="0.25">
      <c r="B4286" t="e">
        <f t="shared" ca="1" si="135"/>
        <v>#NAME?</v>
      </c>
      <c r="C4286">
        <v>4243</v>
      </c>
      <c r="D4286" t="e">
        <f t="shared" ca="1" si="134"/>
        <v>#NAME?</v>
      </c>
      <c r="E4286" s="115" t="e">
        <f t="array" aca="1" ref="E4286" ca="1">IF(OR(C4285=0,AND(B4287=0,C4287=0)),"",IFERROR(INDEX($F$27:$F$36,MATCH(C4286,($F$27:$F$36)*($D$27:$D$36&lt;&gt;0),0)),IF(OR(AND(D4286=0,B4286=0,B4287&lt;&gt;0),AND(D4286*D4285&lt;0,B4286&lt;&gt;0)),IF(D4286=0,C4286,C4286*(1-ABS(D4286)/(ABS(D4286)+ABS(D4285)))+C4285*(1-ABS(D4285)/(ABS(D4286)+ABS(D4285)))),"")))</f>
        <v>#NAME?</v>
      </c>
    </row>
    <row r="4287" spans="2:5" x14ac:dyDescent="0.25">
      <c r="B4287" t="e">
        <f t="shared" ca="1" si="135"/>
        <v>#NAME?</v>
      </c>
      <c r="C4287">
        <v>4244</v>
      </c>
      <c r="D4287" t="e">
        <f t="shared" ca="1" si="134"/>
        <v>#NAME?</v>
      </c>
      <c r="E4287" s="115" t="e">
        <f t="array" aca="1" ref="E4287" ca="1">IF(OR(C4286=0,AND(B4288=0,C4288=0)),"",IFERROR(INDEX($F$27:$F$36,MATCH(C4287,($F$27:$F$36)*($D$27:$D$36&lt;&gt;0),0)),IF(OR(AND(D4287=0,B4287=0,B4288&lt;&gt;0),AND(D4287*D4286&lt;0,B4287&lt;&gt;0)),IF(D4287=0,C4287,C4287*(1-ABS(D4287)/(ABS(D4287)+ABS(D4286)))+C4286*(1-ABS(D4286)/(ABS(D4287)+ABS(D4286)))),"")))</f>
        <v>#NAME?</v>
      </c>
    </row>
    <row r="4288" spans="2:5" x14ac:dyDescent="0.25">
      <c r="B4288" t="e">
        <f t="shared" ca="1" si="135"/>
        <v>#NAME?</v>
      </c>
      <c r="C4288">
        <v>4245</v>
      </c>
      <c r="D4288" t="e">
        <f t="shared" ca="1" si="134"/>
        <v>#NAME?</v>
      </c>
      <c r="E4288" s="115" t="e">
        <f t="array" aca="1" ref="E4288" ca="1">IF(OR(C4287=0,AND(B4289=0,C4289=0)),"",IFERROR(INDEX($F$27:$F$36,MATCH(C4288,($F$27:$F$36)*($D$27:$D$36&lt;&gt;0),0)),IF(OR(AND(D4288=0,B4288=0,B4289&lt;&gt;0),AND(D4288*D4287&lt;0,B4288&lt;&gt;0)),IF(D4288=0,C4288,C4288*(1-ABS(D4288)/(ABS(D4288)+ABS(D4287)))+C4287*(1-ABS(D4287)/(ABS(D4288)+ABS(D4287)))),"")))</f>
        <v>#NAME?</v>
      </c>
    </row>
    <row r="4289" spans="2:5" x14ac:dyDescent="0.25">
      <c r="B4289" t="e">
        <f t="shared" ca="1" si="135"/>
        <v>#NAME?</v>
      </c>
      <c r="C4289">
        <v>4246</v>
      </c>
      <c r="D4289" t="e">
        <f t="shared" ca="1" si="134"/>
        <v>#NAME?</v>
      </c>
      <c r="E4289" s="115" t="e">
        <f t="array" aca="1" ref="E4289" ca="1">IF(OR(C4288=0,AND(B4290=0,C4290=0)),"",IFERROR(INDEX($F$27:$F$36,MATCH(C4289,($F$27:$F$36)*($D$27:$D$36&lt;&gt;0),0)),IF(OR(AND(D4289=0,B4289=0,B4290&lt;&gt;0),AND(D4289*D4288&lt;0,B4289&lt;&gt;0)),IF(D4289=0,C4289,C4289*(1-ABS(D4289)/(ABS(D4289)+ABS(D4288)))+C4288*(1-ABS(D4288)/(ABS(D4289)+ABS(D4288)))),"")))</f>
        <v>#NAME?</v>
      </c>
    </row>
    <row r="4290" spans="2:5" x14ac:dyDescent="0.25">
      <c r="B4290" t="e">
        <f t="shared" ca="1" si="135"/>
        <v>#NAME?</v>
      </c>
      <c r="C4290">
        <v>4247</v>
      </c>
      <c r="D4290" t="e">
        <f t="shared" ca="1" si="134"/>
        <v>#NAME?</v>
      </c>
      <c r="E4290" s="115" t="e">
        <f t="array" aca="1" ref="E4290" ca="1">IF(OR(C4289=0,AND(B4291=0,C4291=0)),"",IFERROR(INDEX($F$27:$F$36,MATCH(C4290,($F$27:$F$36)*($D$27:$D$36&lt;&gt;0),0)),IF(OR(AND(D4290=0,B4290=0,B4291&lt;&gt;0),AND(D4290*D4289&lt;0,B4290&lt;&gt;0)),IF(D4290=0,C4290,C4290*(1-ABS(D4290)/(ABS(D4290)+ABS(D4289)))+C4289*(1-ABS(D4289)/(ABS(D4290)+ABS(D4289)))),"")))</f>
        <v>#NAME?</v>
      </c>
    </row>
    <row r="4291" spans="2:5" x14ac:dyDescent="0.25">
      <c r="B4291" t="e">
        <f t="shared" ca="1" si="135"/>
        <v>#NAME?</v>
      </c>
      <c r="C4291">
        <v>4248</v>
      </c>
      <c r="D4291" t="e">
        <f t="shared" ca="1" si="134"/>
        <v>#NAME?</v>
      </c>
      <c r="E4291" s="115" t="e">
        <f t="array" aca="1" ref="E4291" ca="1">IF(OR(C4290=0,AND(B4292=0,C4292=0)),"",IFERROR(INDEX($F$27:$F$36,MATCH(C4291,($F$27:$F$36)*($D$27:$D$36&lt;&gt;0),0)),IF(OR(AND(D4291=0,B4291=0,B4292&lt;&gt;0),AND(D4291*D4290&lt;0,B4291&lt;&gt;0)),IF(D4291=0,C4291,C4291*(1-ABS(D4291)/(ABS(D4291)+ABS(D4290)))+C4290*(1-ABS(D4290)/(ABS(D4291)+ABS(D4290)))),"")))</f>
        <v>#NAME?</v>
      </c>
    </row>
    <row r="4292" spans="2:5" x14ac:dyDescent="0.25">
      <c r="B4292" t="e">
        <f t="shared" ca="1" si="135"/>
        <v>#NAME?</v>
      </c>
      <c r="C4292">
        <v>4249</v>
      </c>
      <c r="D4292" t="e">
        <f t="shared" ca="1" si="134"/>
        <v>#NAME?</v>
      </c>
      <c r="E4292" s="115" t="e">
        <f t="array" aca="1" ref="E4292" ca="1">IF(OR(C4291=0,AND(B4293=0,C4293=0)),"",IFERROR(INDEX($F$27:$F$36,MATCH(C4292,($F$27:$F$36)*($D$27:$D$36&lt;&gt;0),0)),IF(OR(AND(D4292=0,B4292=0,B4293&lt;&gt;0),AND(D4292*D4291&lt;0,B4292&lt;&gt;0)),IF(D4292=0,C4292,C4292*(1-ABS(D4292)/(ABS(D4292)+ABS(D4291)))+C4291*(1-ABS(D4291)/(ABS(D4292)+ABS(D4291)))),"")))</f>
        <v>#NAME?</v>
      </c>
    </row>
    <row r="4293" spans="2:5" x14ac:dyDescent="0.25">
      <c r="B4293" t="e">
        <f t="shared" ca="1" si="135"/>
        <v>#NAME?</v>
      </c>
      <c r="C4293">
        <v>4250</v>
      </c>
      <c r="D4293" t="e">
        <f t="shared" ca="1" si="134"/>
        <v>#NAME?</v>
      </c>
      <c r="E4293" s="115" t="e">
        <f t="array" aca="1" ref="E4293" ca="1">IF(OR(C4292=0,AND(B4294=0,C4294=0)),"",IFERROR(INDEX($F$27:$F$36,MATCH(C4293,($F$27:$F$36)*($D$27:$D$36&lt;&gt;0),0)),IF(OR(AND(D4293=0,B4293=0,B4294&lt;&gt;0),AND(D4293*D4292&lt;0,B4293&lt;&gt;0)),IF(D4293=0,C4293,C4293*(1-ABS(D4293)/(ABS(D4293)+ABS(D4292)))+C4292*(1-ABS(D4292)/(ABS(D4293)+ABS(D4292)))),"")))</f>
        <v>#NAME?</v>
      </c>
    </row>
    <row r="4294" spans="2:5" x14ac:dyDescent="0.25">
      <c r="B4294" t="e">
        <f t="shared" ca="1" si="135"/>
        <v>#NAME?</v>
      </c>
      <c r="C4294">
        <v>4251</v>
      </c>
      <c r="D4294" t="e">
        <f t="shared" ca="1" si="134"/>
        <v>#NAME?</v>
      </c>
      <c r="E4294" s="115" t="e">
        <f t="array" aca="1" ref="E4294" ca="1">IF(OR(C4293=0,AND(B4295=0,C4295=0)),"",IFERROR(INDEX($F$27:$F$36,MATCH(C4294,($F$27:$F$36)*($D$27:$D$36&lt;&gt;0),0)),IF(OR(AND(D4294=0,B4294=0,B4295&lt;&gt;0),AND(D4294*D4293&lt;0,B4294&lt;&gt;0)),IF(D4294=0,C4294,C4294*(1-ABS(D4294)/(ABS(D4294)+ABS(D4293)))+C4293*(1-ABS(D4293)/(ABS(D4294)+ABS(D4293)))),"")))</f>
        <v>#NAME?</v>
      </c>
    </row>
    <row r="4295" spans="2:5" x14ac:dyDescent="0.25">
      <c r="B4295" t="e">
        <f t="shared" ca="1" si="135"/>
        <v>#NAME?</v>
      </c>
      <c r="C4295">
        <v>4252</v>
      </c>
      <c r="D4295" t="e">
        <f t="shared" ca="1" si="134"/>
        <v>#NAME?</v>
      </c>
      <c r="E4295" s="115" t="e">
        <f t="array" aca="1" ref="E4295" ca="1">IF(OR(C4294=0,AND(B4296=0,C4296=0)),"",IFERROR(INDEX($F$27:$F$36,MATCH(C4295,($F$27:$F$36)*($D$27:$D$36&lt;&gt;0),0)),IF(OR(AND(D4295=0,B4295=0,B4296&lt;&gt;0),AND(D4295*D4294&lt;0,B4295&lt;&gt;0)),IF(D4295=0,C4295,C4295*(1-ABS(D4295)/(ABS(D4295)+ABS(D4294)))+C4294*(1-ABS(D4294)/(ABS(D4295)+ABS(D4294)))),"")))</f>
        <v>#NAME?</v>
      </c>
    </row>
    <row r="4296" spans="2:5" x14ac:dyDescent="0.25">
      <c r="B4296" t="e">
        <f t="shared" ca="1" si="135"/>
        <v>#NAME?</v>
      </c>
      <c r="C4296">
        <v>4253</v>
      </c>
      <c r="D4296" t="e">
        <f t="shared" ca="1" si="134"/>
        <v>#NAME?</v>
      </c>
      <c r="E4296" s="115" t="e">
        <f t="array" aca="1" ref="E4296" ca="1">IF(OR(C4295=0,AND(B4297=0,C4297=0)),"",IFERROR(INDEX($F$27:$F$36,MATCH(C4296,($F$27:$F$36)*($D$27:$D$36&lt;&gt;0),0)),IF(OR(AND(D4296=0,B4296=0,B4297&lt;&gt;0),AND(D4296*D4295&lt;0,B4296&lt;&gt;0)),IF(D4296=0,C4296,C4296*(1-ABS(D4296)/(ABS(D4296)+ABS(D4295)))+C4295*(1-ABS(D4295)/(ABS(D4296)+ABS(D4295)))),"")))</f>
        <v>#NAME?</v>
      </c>
    </row>
    <row r="4297" spans="2:5" x14ac:dyDescent="0.25">
      <c r="B4297" t="e">
        <f t="shared" ca="1" si="135"/>
        <v>#NAME?</v>
      </c>
      <c r="C4297">
        <v>4254</v>
      </c>
      <c r="D4297" t="e">
        <f t="shared" ca="1" si="134"/>
        <v>#NAME?</v>
      </c>
      <c r="E4297" s="115" t="e">
        <f t="array" aca="1" ref="E4297" ca="1">IF(OR(C4296=0,AND(B4298=0,C4298=0)),"",IFERROR(INDEX($F$27:$F$36,MATCH(C4297,($F$27:$F$36)*($D$27:$D$36&lt;&gt;0),0)),IF(OR(AND(D4297=0,B4297=0,B4298&lt;&gt;0),AND(D4297*D4296&lt;0,B4297&lt;&gt;0)),IF(D4297=0,C4297,C4297*(1-ABS(D4297)/(ABS(D4297)+ABS(D4296)))+C4296*(1-ABS(D4296)/(ABS(D4297)+ABS(D4296)))),"")))</f>
        <v>#NAME?</v>
      </c>
    </row>
    <row r="4298" spans="2:5" x14ac:dyDescent="0.25">
      <c r="B4298" t="e">
        <f t="shared" ca="1" si="135"/>
        <v>#NAME?</v>
      </c>
      <c r="C4298">
        <v>4255</v>
      </c>
      <c r="D4298" t="e">
        <f t="shared" ca="1" si="134"/>
        <v>#NAME?</v>
      </c>
      <c r="E4298" s="115" t="e">
        <f t="array" aca="1" ref="E4298" ca="1">IF(OR(C4297=0,AND(B4299=0,C4299=0)),"",IFERROR(INDEX($F$27:$F$36,MATCH(C4298,($F$27:$F$36)*($D$27:$D$36&lt;&gt;0),0)),IF(OR(AND(D4298=0,B4298=0,B4299&lt;&gt;0),AND(D4298*D4297&lt;0,B4298&lt;&gt;0)),IF(D4298=0,C4298,C4298*(1-ABS(D4298)/(ABS(D4298)+ABS(D4297)))+C4297*(1-ABS(D4297)/(ABS(D4298)+ABS(D4297)))),"")))</f>
        <v>#NAME?</v>
      </c>
    </row>
    <row r="4299" spans="2:5" x14ac:dyDescent="0.25">
      <c r="B4299" t="e">
        <f t="shared" ca="1" si="135"/>
        <v>#NAME?</v>
      </c>
      <c r="C4299">
        <v>4256</v>
      </c>
      <c r="D4299" t="e">
        <f t="shared" ca="1" si="134"/>
        <v>#NAME?</v>
      </c>
      <c r="E4299" s="115" t="e">
        <f t="array" aca="1" ref="E4299" ca="1">IF(OR(C4298=0,AND(B4300=0,C4300=0)),"",IFERROR(INDEX($F$27:$F$36,MATCH(C4299,($F$27:$F$36)*($D$27:$D$36&lt;&gt;0),0)),IF(OR(AND(D4299=0,B4299=0,B4300&lt;&gt;0),AND(D4299*D4298&lt;0,B4299&lt;&gt;0)),IF(D4299=0,C4299,C4299*(1-ABS(D4299)/(ABS(D4299)+ABS(D4298)))+C4298*(1-ABS(D4298)/(ABS(D4299)+ABS(D4298)))),"")))</f>
        <v>#NAME?</v>
      </c>
    </row>
    <row r="4300" spans="2:5" x14ac:dyDescent="0.25">
      <c r="B4300" t="e">
        <f t="shared" ca="1" si="135"/>
        <v>#NAME?</v>
      </c>
      <c r="C4300">
        <v>4257</v>
      </c>
      <c r="D4300" t="e">
        <f t="shared" ca="1" si="134"/>
        <v>#NAME?</v>
      </c>
      <c r="E4300" s="115" t="e">
        <f t="array" aca="1" ref="E4300" ca="1">IF(OR(C4299=0,AND(B4301=0,C4301=0)),"",IFERROR(INDEX($F$27:$F$36,MATCH(C4300,($F$27:$F$36)*($D$27:$D$36&lt;&gt;0),0)),IF(OR(AND(D4300=0,B4300=0,B4301&lt;&gt;0),AND(D4300*D4299&lt;0,B4300&lt;&gt;0)),IF(D4300=0,C4300,C4300*(1-ABS(D4300)/(ABS(D4300)+ABS(D4299)))+C4299*(1-ABS(D4299)/(ABS(D4300)+ABS(D4299)))),"")))</f>
        <v>#NAME?</v>
      </c>
    </row>
    <row r="4301" spans="2:5" x14ac:dyDescent="0.25">
      <c r="B4301" t="e">
        <f t="shared" ca="1" si="135"/>
        <v>#NAME?</v>
      </c>
      <c r="C4301">
        <v>4258</v>
      </c>
      <c r="D4301" t="e">
        <f t="shared" ca="1" si="134"/>
        <v>#NAME?</v>
      </c>
      <c r="E4301" s="115" t="e">
        <f t="array" aca="1" ref="E4301" ca="1">IF(OR(C4300=0,AND(B4302=0,C4302=0)),"",IFERROR(INDEX($F$27:$F$36,MATCH(C4301,($F$27:$F$36)*($D$27:$D$36&lt;&gt;0),0)),IF(OR(AND(D4301=0,B4301=0,B4302&lt;&gt;0),AND(D4301*D4300&lt;0,B4301&lt;&gt;0)),IF(D4301=0,C4301,C4301*(1-ABS(D4301)/(ABS(D4301)+ABS(D4300)))+C4300*(1-ABS(D4300)/(ABS(D4301)+ABS(D4300)))),"")))</f>
        <v>#NAME?</v>
      </c>
    </row>
    <row r="4302" spans="2:5" x14ac:dyDescent="0.25">
      <c r="B4302" t="e">
        <f t="shared" ca="1" si="135"/>
        <v>#NAME?</v>
      </c>
      <c r="C4302">
        <v>4259</v>
      </c>
      <c r="D4302" t="e">
        <f t="shared" ca="1" si="134"/>
        <v>#NAME?</v>
      </c>
      <c r="E4302" s="115" t="e">
        <f t="array" aca="1" ref="E4302" ca="1">IF(OR(C4301=0,AND(B4303=0,C4303=0)),"",IFERROR(INDEX($F$27:$F$36,MATCH(C4302,($F$27:$F$36)*($D$27:$D$36&lt;&gt;0),0)),IF(OR(AND(D4302=0,B4302=0,B4303&lt;&gt;0),AND(D4302*D4301&lt;0,B4302&lt;&gt;0)),IF(D4302=0,C4302,C4302*(1-ABS(D4302)/(ABS(D4302)+ABS(D4301)))+C4301*(1-ABS(D4301)/(ABS(D4302)+ABS(D4301)))),"")))</f>
        <v>#NAME?</v>
      </c>
    </row>
    <row r="4303" spans="2:5" x14ac:dyDescent="0.25">
      <c r="B4303" t="e">
        <f t="shared" ca="1" si="135"/>
        <v>#NAME?</v>
      </c>
      <c r="C4303">
        <v>4260</v>
      </c>
      <c r="D4303" t="e">
        <f t="shared" ca="1" si="134"/>
        <v>#NAME?</v>
      </c>
      <c r="E4303" s="115" t="e">
        <f t="array" aca="1" ref="E4303" ca="1">IF(OR(C4302=0,AND(B4304=0,C4304=0)),"",IFERROR(INDEX($F$27:$F$36,MATCH(C4303,($F$27:$F$36)*($D$27:$D$36&lt;&gt;0),0)),IF(OR(AND(D4303=0,B4303=0,B4304&lt;&gt;0),AND(D4303*D4302&lt;0,B4303&lt;&gt;0)),IF(D4303=0,C4303,C4303*(1-ABS(D4303)/(ABS(D4303)+ABS(D4302)))+C4302*(1-ABS(D4302)/(ABS(D4303)+ABS(D4302)))),"")))</f>
        <v>#NAME?</v>
      </c>
    </row>
    <row r="4304" spans="2:5" x14ac:dyDescent="0.25">
      <c r="B4304" t="e">
        <f t="shared" ca="1" si="135"/>
        <v>#NAME?</v>
      </c>
      <c r="C4304">
        <v>4261</v>
      </c>
      <c r="D4304" t="e">
        <f t="shared" ca="1" si="134"/>
        <v>#NAME?</v>
      </c>
      <c r="E4304" s="115" t="e">
        <f t="array" aca="1" ref="E4304" ca="1">IF(OR(C4303=0,AND(B4305=0,C4305=0)),"",IFERROR(INDEX($F$27:$F$36,MATCH(C4304,($F$27:$F$36)*($D$27:$D$36&lt;&gt;0),0)),IF(OR(AND(D4304=0,B4304=0,B4305&lt;&gt;0),AND(D4304*D4303&lt;0,B4304&lt;&gt;0)),IF(D4304=0,C4304,C4304*(1-ABS(D4304)/(ABS(D4304)+ABS(D4303)))+C4303*(1-ABS(D4303)/(ABS(D4304)+ABS(D4303)))),"")))</f>
        <v>#NAME?</v>
      </c>
    </row>
    <row r="4305" spans="2:5" x14ac:dyDescent="0.25">
      <c r="B4305" t="e">
        <f t="shared" ca="1" si="135"/>
        <v>#NAME?</v>
      </c>
      <c r="C4305">
        <v>4262</v>
      </c>
      <c r="D4305" t="e">
        <f t="shared" ca="1" si="134"/>
        <v>#NAME?</v>
      </c>
      <c r="E4305" s="115" t="e">
        <f t="array" aca="1" ref="E4305" ca="1">IF(OR(C4304=0,AND(B4306=0,C4306=0)),"",IFERROR(INDEX($F$27:$F$36,MATCH(C4305,($F$27:$F$36)*($D$27:$D$36&lt;&gt;0),0)),IF(OR(AND(D4305=0,B4305=0,B4306&lt;&gt;0),AND(D4305*D4304&lt;0,B4305&lt;&gt;0)),IF(D4305=0,C4305,C4305*(1-ABS(D4305)/(ABS(D4305)+ABS(D4304)))+C4304*(1-ABS(D4304)/(ABS(D4305)+ABS(D4304)))),"")))</f>
        <v>#NAME?</v>
      </c>
    </row>
    <row r="4306" spans="2:5" x14ac:dyDescent="0.25">
      <c r="B4306" t="e">
        <f t="shared" ca="1" si="135"/>
        <v>#NAME?</v>
      </c>
      <c r="C4306">
        <v>4263</v>
      </c>
      <c r="D4306" t="e">
        <f t="shared" ca="1" si="134"/>
        <v>#NAME?</v>
      </c>
      <c r="E4306" s="115" t="e">
        <f t="array" aca="1" ref="E4306" ca="1">IF(OR(C4305=0,AND(B4307=0,C4307=0)),"",IFERROR(INDEX($F$27:$F$36,MATCH(C4306,($F$27:$F$36)*($D$27:$D$36&lt;&gt;0),0)),IF(OR(AND(D4306=0,B4306=0,B4307&lt;&gt;0),AND(D4306*D4305&lt;0,B4306&lt;&gt;0)),IF(D4306=0,C4306,C4306*(1-ABS(D4306)/(ABS(D4306)+ABS(D4305)))+C4305*(1-ABS(D4305)/(ABS(D4306)+ABS(D4305)))),"")))</f>
        <v>#NAME?</v>
      </c>
    </row>
    <row r="4307" spans="2:5" x14ac:dyDescent="0.25">
      <c r="B4307" t="e">
        <f t="shared" ca="1" si="135"/>
        <v>#NAME?</v>
      </c>
      <c r="C4307">
        <v>4264</v>
      </c>
      <c r="D4307" t="e">
        <f t="shared" ca="1" si="134"/>
        <v>#NAME?</v>
      </c>
      <c r="E4307" s="115" t="e">
        <f t="array" aca="1" ref="E4307" ca="1">IF(OR(C4306=0,AND(B4308=0,C4308=0)),"",IFERROR(INDEX($F$27:$F$36,MATCH(C4307,($F$27:$F$36)*($D$27:$D$36&lt;&gt;0),0)),IF(OR(AND(D4307=0,B4307=0,B4308&lt;&gt;0),AND(D4307*D4306&lt;0,B4307&lt;&gt;0)),IF(D4307=0,C4307,C4307*(1-ABS(D4307)/(ABS(D4307)+ABS(D4306)))+C4306*(1-ABS(D4306)/(ABS(D4307)+ABS(D4306)))),"")))</f>
        <v>#NAME?</v>
      </c>
    </row>
    <row r="4308" spans="2:5" x14ac:dyDescent="0.25">
      <c r="B4308" t="e">
        <f t="shared" ca="1" si="135"/>
        <v>#NAME?</v>
      </c>
      <c r="C4308">
        <v>4265</v>
      </c>
      <c r="D4308" t="e">
        <f t="shared" ca="1" si="134"/>
        <v>#NAME?</v>
      </c>
      <c r="E4308" s="115" t="e">
        <f t="array" aca="1" ref="E4308" ca="1">IF(OR(C4307=0,AND(B4309=0,C4309=0)),"",IFERROR(INDEX($F$27:$F$36,MATCH(C4308,($F$27:$F$36)*($D$27:$D$36&lt;&gt;0),0)),IF(OR(AND(D4308=0,B4308=0,B4309&lt;&gt;0),AND(D4308*D4307&lt;0,B4308&lt;&gt;0)),IF(D4308=0,C4308,C4308*(1-ABS(D4308)/(ABS(D4308)+ABS(D4307)))+C4307*(1-ABS(D4307)/(ABS(D4308)+ABS(D4307)))),"")))</f>
        <v>#NAME?</v>
      </c>
    </row>
    <row r="4309" spans="2:5" x14ac:dyDescent="0.25">
      <c r="B4309" t="e">
        <f t="shared" ca="1" si="135"/>
        <v>#NAME?</v>
      </c>
      <c r="C4309">
        <v>4266</v>
      </c>
      <c r="D4309" t="e">
        <f t="shared" ca="1" si="134"/>
        <v>#NAME?</v>
      </c>
      <c r="E4309" s="115" t="e">
        <f t="array" aca="1" ref="E4309" ca="1">IF(OR(C4308=0,AND(B4310=0,C4310=0)),"",IFERROR(INDEX($F$27:$F$36,MATCH(C4309,($F$27:$F$36)*($D$27:$D$36&lt;&gt;0),0)),IF(OR(AND(D4309=0,B4309=0,B4310&lt;&gt;0),AND(D4309*D4308&lt;0,B4309&lt;&gt;0)),IF(D4309=0,C4309,C4309*(1-ABS(D4309)/(ABS(D4309)+ABS(D4308)))+C4308*(1-ABS(D4308)/(ABS(D4309)+ABS(D4308)))),"")))</f>
        <v>#NAME?</v>
      </c>
    </row>
    <row r="4310" spans="2:5" x14ac:dyDescent="0.25">
      <c r="B4310" t="e">
        <f t="shared" ca="1" si="135"/>
        <v>#NAME?</v>
      </c>
      <c r="C4310">
        <v>4267</v>
      </c>
      <c r="D4310" t="e">
        <f t="shared" ca="1" si="134"/>
        <v>#NAME?</v>
      </c>
      <c r="E4310" s="115" t="e">
        <f t="array" aca="1" ref="E4310" ca="1">IF(OR(C4309=0,AND(B4311=0,C4311=0)),"",IFERROR(INDEX($F$27:$F$36,MATCH(C4310,($F$27:$F$36)*($D$27:$D$36&lt;&gt;0),0)),IF(OR(AND(D4310=0,B4310=0,B4311&lt;&gt;0),AND(D4310*D4309&lt;0,B4310&lt;&gt;0)),IF(D4310=0,C4310,C4310*(1-ABS(D4310)/(ABS(D4310)+ABS(D4309)))+C4309*(1-ABS(D4309)/(ABS(D4310)+ABS(D4309)))),"")))</f>
        <v>#NAME?</v>
      </c>
    </row>
    <row r="4311" spans="2:5" x14ac:dyDescent="0.25">
      <c r="B4311" t="e">
        <f t="shared" ca="1" si="135"/>
        <v>#NAME?</v>
      </c>
      <c r="C4311">
        <v>4268</v>
      </c>
      <c r="D4311" t="e">
        <f t="shared" ca="1" si="134"/>
        <v>#NAME?</v>
      </c>
      <c r="E4311" s="115" t="e">
        <f t="array" aca="1" ref="E4311" ca="1">IF(OR(C4310=0,AND(B4312=0,C4312=0)),"",IFERROR(INDEX($F$27:$F$36,MATCH(C4311,($F$27:$F$36)*($D$27:$D$36&lt;&gt;0),0)),IF(OR(AND(D4311=0,B4311=0,B4312&lt;&gt;0),AND(D4311*D4310&lt;0,B4311&lt;&gt;0)),IF(D4311=0,C4311,C4311*(1-ABS(D4311)/(ABS(D4311)+ABS(D4310)))+C4310*(1-ABS(D4310)/(ABS(D4311)+ABS(D4310)))),"")))</f>
        <v>#NAME?</v>
      </c>
    </row>
    <row r="4312" spans="2:5" x14ac:dyDescent="0.25">
      <c r="B4312" t="e">
        <f t="shared" ca="1" si="135"/>
        <v>#NAME?</v>
      </c>
      <c r="C4312">
        <v>4269</v>
      </c>
      <c r="D4312" t="e">
        <f t="shared" ca="1" si="134"/>
        <v>#NAME?</v>
      </c>
      <c r="E4312" s="115" t="e">
        <f t="array" aca="1" ref="E4312" ca="1">IF(OR(C4311=0,AND(B4313=0,C4313=0)),"",IFERROR(INDEX($F$27:$F$36,MATCH(C4312,($F$27:$F$36)*($D$27:$D$36&lt;&gt;0),0)),IF(OR(AND(D4312=0,B4312=0,B4313&lt;&gt;0),AND(D4312*D4311&lt;0,B4312&lt;&gt;0)),IF(D4312=0,C4312,C4312*(1-ABS(D4312)/(ABS(D4312)+ABS(D4311)))+C4311*(1-ABS(D4311)/(ABS(D4312)+ABS(D4311)))),"")))</f>
        <v>#NAME?</v>
      </c>
    </row>
    <row r="4313" spans="2:5" x14ac:dyDescent="0.25">
      <c r="B4313" t="e">
        <f t="shared" ca="1" si="135"/>
        <v>#NAME?</v>
      </c>
      <c r="C4313">
        <v>4270</v>
      </c>
      <c r="D4313" t="e">
        <f t="shared" ca="1" si="134"/>
        <v>#NAME?</v>
      </c>
      <c r="E4313" s="115" t="e">
        <f t="array" aca="1" ref="E4313" ca="1">IF(OR(C4312=0,AND(B4314=0,C4314=0)),"",IFERROR(INDEX($F$27:$F$36,MATCH(C4313,($F$27:$F$36)*($D$27:$D$36&lt;&gt;0),0)),IF(OR(AND(D4313=0,B4313=0,B4314&lt;&gt;0),AND(D4313*D4312&lt;0,B4313&lt;&gt;0)),IF(D4313=0,C4313,C4313*(1-ABS(D4313)/(ABS(D4313)+ABS(D4312)))+C4312*(1-ABS(D4312)/(ABS(D4313)+ABS(D4312)))),"")))</f>
        <v>#NAME?</v>
      </c>
    </row>
    <row r="4314" spans="2:5" x14ac:dyDescent="0.25">
      <c r="B4314" t="e">
        <f t="shared" ca="1" si="135"/>
        <v>#NAME?</v>
      </c>
      <c r="C4314">
        <v>4271</v>
      </c>
      <c r="D4314" t="e">
        <f t="shared" ca="1" si="134"/>
        <v>#NAME?</v>
      </c>
      <c r="E4314" s="115" t="e">
        <f t="array" aca="1" ref="E4314" ca="1">IF(OR(C4313=0,AND(B4315=0,C4315=0)),"",IFERROR(INDEX($F$27:$F$36,MATCH(C4314,($F$27:$F$36)*($D$27:$D$36&lt;&gt;0),0)),IF(OR(AND(D4314=0,B4314=0,B4315&lt;&gt;0),AND(D4314*D4313&lt;0,B4314&lt;&gt;0)),IF(D4314=0,C4314,C4314*(1-ABS(D4314)/(ABS(D4314)+ABS(D4313)))+C4313*(1-ABS(D4313)/(ABS(D4314)+ABS(D4313)))),"")))</f>
        <v>#NAME?</v>
      </c>
    </row>
    <row r="4315" spans="2:5" x14ac:dyDescent="0.25">
      <c r="B4315" t="e">
        <f t="shared" ca="1" si="135"/>
        <v>#NAME?</v>
      </c>
      <c r="C4315">
        <v>4272</v>
      </c>
      <c r="D4315" t="e">
        <f t="shared" ca="1" si="134"/>
        <v>#NAME?</v>
      </c>
      <c r="E4315" s="115" t="e">
        <f t="array" aca="1" ref="E4315" ca="1">IF(OR(C4314=0,AND(B4316=0,C4316=0)),"",IFERROR(INDEX($F$27:$F$36,MATCH(C4315,($F$27:$F$36)*($D$27:$D$36&lt;&gt;0),0)),IF(OR(AND(D4315=0,B4315=0,B4316&lt;&gt;0),AND(D4315*D4314&lt;0,B4315&lt;&gt;0)),IF(D4315=0,C4315,C4315*(1-ABS(D4315)/(ABS(D4315)+ABS(D4314)))+C4314*(1-ABS(D4314)/(ABS(D4315)+ABS(D4314)))),"")))</f>
        <v>#NAME?</v>
      </c>
    </row>
    <row r="4316" spans="2:5" x14ac:dyDescent="0.25">
      <c r="B4316" t="e">
        <f t="shared" ca="1" si="135"/>
        <v>#NAME?</v>
      </c>
      <c r="C4316">
        <v>4273</v>
      </c>
      <c r="D4316" t="e">
        <f t="shared" ca="1" si="134"/>
        <v>#NAME?</v>
      </c>
      <c r="E4316" s="115" t="e">
        <f t="array" aca="1" ref="E4316" ca="1">IF(OR(C4315=0,AND(B4317=0,C4317=0)),"",IFERROR(INDEX($F$27:$F$36,MATCH(C4316,($F$27:$F$36)*($D$27:$D$36&lt;&gt;0),0)),IF(OR(AND(D4316=0,B4316=0,B4317&lt;&gt;0),AND(D4316*D4315&lt;0,B4316&lt;&gt;0)),IF(D4316=0,C4316,C4316*(1-ABS(D4316)/(ABS(D4316)+ABS(D4315)))+C4315*(1-ABS(D4315)/(ABS(D4316)+ABS(D4315)))),"")))</f>
        <v>#NAME?</v>
      </c>
    </row>
    <row r="4317" spans="2:5" x14ac:dyDescent="0.25">
      <c r="B4317" t="e">
        <f t="shared" ca="1" si="135"/>
        <v>#NAME?</v>
      </c>
      <c r="C4317">
        <v>4274</v>
      </c>
      <c r="D4317" t="e">
        <f t="shared" ca="1" si="134"/>
        <v>#NAME?</v>
      </c>
      <c r="E4317" s="115" t="e">
        <f t="array" aca="1" ref="E4317" ca="1">IF(OR(C4316=0,AND(B4318=0,C4318=0)),"",IFERROR(INDEX($F$27:$F$36,MATCH(C4317,($F$27:$F$36)*($D$27:$D$36&lt;&gt;0),0)),IF(OR(AND(D4317=0,B4317=0,B4318&lt;&gt;0),AND(D4317*D4316&lt;0,B4317&lt;&gt;0)),IF(D4317=0,C4317,C4317*(1-ABS(D4317)/(ABS(D4317)+ABS(D4316)))+C4316*(1-ABS(D4316)/(ABS(D4317)+ABS(D4316)))),"")))</f>
        <v>#NAME?</v>
      </c>
    </row>
    <row r="4318" spans="2:5" x14ac:dyDescent="0.25">
      <c r="B4318" t="e">
        <f t="shared" ca="1" si="135"/>
        <v>#NAME?</v>
      </c>
      <c r="C4318">
        <v>4275</v>
      </c>
      <c r="D4318" t="e">
        <f t="shared" ca="1" si="134"/>
        <v>#NAME?</v>
      </c>
      <c r="E4318" s="115" t="e">
        <f t="array" aca="1" ref="E4318" ca="1">IF(OR(C4317=0,AND(B4319=0,C4319=0)),"",IFERROR(INDEX($F$27:$F$36,MATCH(C4318,($F$27:$F$36)*($D$27:$D$36&lt;&gt;0),0)),IF(OR(AND(D4318=0,B4318=0,B4319&lt;&gt;0),AND(D4318*D4317&lt;0,B4318&lt;&gt;0)),IF(D4318=0,C4318,C4318*(1-ABS(D4318)/(ABS(D4318)+ABS(D4317)))+C4317*(1-ABS(D4317)/(ABS(D4318)+ABS(D4317)))),"")))</f>
        <v>#NAME?</v>
      </c>
    </row>
    <row r="4319" spans="2:5" x14ac:dyDescent="0.25">
      <c r="B4319" t="e">
        <f t="shared" ca="1" si="135"/>
        <v>#NAME?</v>
      </c>
      <c r="C4319">
        <v>4276</v>
      </c>
      <c r="D4319" t="e">
        <f t="shared" ca="1" si="134"/>
        <v>#NAME?</v>
      </c>
      <c r="E4319" s="115" t="e">
        <f t="array" aca="1" ref="E4319" ca="1">IF(OR(C4318=0,AND(B4320=0,C4320=0)),"",IFERROR(INDEX($F$27:$F$36,MATCH(C4319,($F$27:$F$36)*($D$27:$D$36&lt;&gt;0),0)),IF(OR(AND(D4319=0,B4319=0,B4320&lt;&gt;0),AND(D4319*D4318&lt;0,B4319&lt;&gt;0)),IF(D4319=0,C4319,C4319*(1-ABS(D4319)/(ABS(D4319)+ABS(D4318)))+C4318*(1-ABS(D4318)/(ABS(D4319)+ABS(D4318)))),"")))</f>
        <v>#NAME?</v>
      </c>
    </row>
    <row r="4320" spans="2:5" x14ac:dyDescent="0.25">
      <c r="B4320" t="e">
        <f t="shared" ca="1" si="135"/>
        <v>#NAME?</v>
      </c>
      <c r="C4320">
        <v>4277</v>
      </c>
      <c r="D4320" t="e">
        <f t="shared" ca="1" si="134"/>
        <v>#NAME?</v>
      </c>
      <c r="E4320" s="115" t="e">
        <f t="array" aca="1" ref="E4320" ca="1">IF(OR(C4319=0,AND(B4321=0,C4321=0)),"",IFERROR(INDEX($F$27:$F$36,MATCH(C4320,($F$27:$F$36)*($D$27:$D$36&lt;&gt;0),0)),IF(OR(AND(D4320=0,B4320=0,B4321&lt;&gt;0),AND(D4320*D4319&lt;0,B4320&lt;&gt;0)),IF(D4320=0,C4320,C4320*(1-ABS(D4320)/(ABS(D4320)+ABS(D4319)))+C4319*(1-ABS(D4319)/(ABS(D4320)+ABS(D4319)))),"")))</f>
        <v>#NAME?</v>
      </c>
    </row>
    <row r="4321" spans="2:5" x14ac:dyDescent="0.25">
      <c r="B4321" t="e">
        <f t="shared" ca="1" si="135"/>
        <v>#NAME?</v>
      </c>
      <c r="C4321">
        <v>4278</v>
      </c>
      <c r="D4321" t="e">
        <f t="shared" ca="1" si="134"/>
        <v>#NAME?</v>
      </c>
      <c r="E4321" s="115" t="e">
        <f t="array" aca="1" ref="E4321" ca="1">IF(OR(C4320=0,AND(B4322=0,C4322=0)),"",IFERROR(INDEX($F$27:$F$36,MATCH(C4321,($F$27:$F$36)*($D$27:$D$36&lt;&gt;0),0)),IF(OR(AND(D4321=0,B4321=0,B4322&lt;&gt;0),AND(D4321*D4320&lt;0,B4321&lt;&gt;0)),IF(D4321=0,C4321,C4321*(1-ABS(D4321)/(ABS(D4321)+ABS(D4320)))+C4320*(1-ABS(D4320)/(ABS(D4321)+ABS(D4320)))),"")))</f>
        <v>#NAME?</v>
      </c>
    </row>
    <row r="4322" spans="2:5" x14ac:dyDescent="0.25">
      <c r="B4322" t="e">
        <f t="shared" ca="1" si="135"/>
        <v>#NAME?</v>
      </c>
      <c r="C4322">
        <v>4279</v>
      </c>
      <c r="D4322" t="e">
        <f t="shared" ca="1" si="134"/>
        <v>#NAME?</v>
      </c>
      <c r="E4322" s="115" t="e">
        <f t="array" aca="1" ref="E4322" ca="1">IF(OR(C4321=0,AND(B4323=0,C4323=0)),"",IFERROR(INDEX($F$27:$F$36,MATCH(C4322,($F$27:$F$36)*($D$27:$D$36&lt;&gt;0),0)),IF(OR(AND(D4322=0,B4322=0,B4323&lt;&gt;0),AND(D4322*D4321&lt;0,B4322&lt;&gt;0)),IF(D4322=0,C4322,C4322*(1-ABS(D4322)/(ABS(D4322)+ABS(D4321)))+C4321*(1-ABS(D4321)/(ABS(D4322)+ABS(D4321)))),"")))</f>
        <v>#NAME?</v>
      </c>
    </row>
    <row r="4323" spans="2:5" x14ac:dyDescent="0.25">
      <c r="B4323" t="e">
        <f t="shared" ca="1" si="135"/>
        <v>#NAME?</v>
      </c>
      <c r="C4323">
        <v>4280</v>
      </c>
      <c r="D4323" t="e">
        <f t="shared" ca="1" si="134"/>
        <v>#NAME?</v>
      </c>
      <c r="E4323" s="115" t="e">
        <f t="array" aca="1" ref="E4323" ca="1">IF(OR(C4322=0,AND(B4324=0,C4324=0)),"",IFERROR(INDEX($F$27:$F$36,MATCH(C4323,($F$27:$F$36)*($D$27:$D$36&lt;&gt;0),0)),IF(OR(AND(D4323=0,B4323=0,B4324&lt;&gt;0),AND(D4323*D4322&lt;0,B4323&lt;&gt;0)),IF(D4323=0,C4323,C4323*(1-ABS(D4323)/(ABS(D4323)+ABS(D4322)))+C4322*(1-ABS(D4322)/(ABS(D4323)+ABS(D4322)))),"")))</f>
        <v>#NAME?</v>
      </c>
    </row>
    <row r="4324" spans="2:5" x14ac:dyDescent="0.25">
      <c r="B4324" t="e">
        <f t="shared" ca="1" si="135"/>
        <v>#NAME?</v>
      </c>
      <c r="C4324">
        <v>4281</v>
      </c>
      <c r="D4324" t="e">
        <f t="shared" ca="1" si="134"/>
        <v>#NAME?</v>
      </c>
      <c r="E4324" s="115" t="e">
        <f t="array" aca="1" ref="E4324" ca="1">IF(OR(C4323=0,AND(B4325=0,C4325=0)),"",IFERROR(INDEX($F$27:$F$36,MATCH(C4324,($F$27:$F$36)*($D$27:$D$36&lt;&gt;0),0)),IF(OR(AND(D4324=0,B4324=0,B4325&lt;&gt;0),AND(D4324*D4323&lt;0,B4324&lt;&gt;0)),IF(D4324=0,C4324,C4324*(1-ABS(D4324)/(ABS(D4324)+ABS(D4323)))+C4323*(1-ABS(D4323)/(ABS(D4324)+ABS(D4323)))),"")))</f>
        <v>#NAME?</v>
      </c>
    </row>
    <row r="4325" spans="2:5" x14ac:dyDescent="0.25">
      <c r="B4325" t="e">
        <f t="shared" ca="1" si="135"/>
        <v>#NAME?</v>
      </c>
      <c r="C4325">
        <v>4282</v>
      </c>
      <c r="D4325" t="e">
        <f t="shared" ca="1" si="134"/>
        <v>#NAME?</v>
      </c>
      <c r="E4325" s="115" t="e">
        <f t="array" aca="1" ref="E4325" ca="1">IF(OR(C4324=0,AND(B4326=0,C4326=0)),"",IFERROR(INDEX($F$27:$F$36,MATCH(C4325,($F$27:$F$36)*($D$27:$D$36&lt;&gt;0),0)),IF(OR(AND(D4325=0,B4325=0,B4326&lt;&gt;0),AND(D4325*D4324&lt;0,B4325&lt;&gt;0)),IF(D4325=0,C4325,C4325*(1-ABS(D4325)/(ABS(D4325)+ABS(D4324)))+C4324*(1-ABS(D4324)/(ABS(D4325)+ABS(D4324)))),"")))</f>
        <v>#NAME?</v>
      </c>
    </row>
    <row r="4326" spans="2:5" x14ac:dyDescent="0.25">
      <c r="B4326" t="e">
        <f t="shared" ca="1" si="135"/>
        <v>#NAME?</v>
      </c>
      <c r="C4326">
        <v>4283</v>
      </c>
      <c r="D4326" t="e">
        <f t="shared" ca="1" si="134"/>
        <v>#NAME?</v>
      </c>
      <c r="E4326" s="115" t="e">
        <f t="array" aca="1" ref="E4326" ca="1">IF(OR(C4325=0,AND(B4327=0,C4327=0)),"",IFERROR(INDEX($F$27:$F$36,MATCH(C4326,($F$27:$F$36)*($D$27:$D$36&lt;&gt;0),0)),IF(OR(AND(D4326=0,B4326=0,B4327&lt;&gt;0),AND(D4326*D4325&lt;0,B4326&lt;&gt;0)),IF(D4326=0,C4326,C4326*(1-ABS(D4326)/(ABS(D4326)+ABS(D4325)))+C4325*(1-ABS(D4325)/(ABS(D4326)+ABS(D4325)))),"")))</f>
        <v>#NAME?</v>
      </c>
    </row>
    <row r="4327" spans="2:5" x14ac:dyDescent="0.25">
      <c r="B4327" t="e">
        <f t="shared" ca="1" si="135"/>
        <v>#NAME?</v>
      </c>
      <c r="C4327">
        <v>4284</v>
      </c>
      <c r="D4327" t="e">
        <f t="shared" ca="1" si="134"/>
        <v>#NAME?</v>
      </c>
      <c r="E4327" s="115" t="e">
        <f t="array" aca="1" ref="E4327" ca="1">IF(OR(C4326=0,AND(B4328=0,C4328=0)),"",IFERROR(INDEX($F$27:$F$36,MATCH(C4327,($F$27:$F$36)*($D$27:$D$36&lt;&gt;0),0)),IF(OR(AND(D4327=0,B4327=0,B4328&lt;&gt;0),AND(D4327*D4326&lt;0,B4327&lt;&gt;0)),IF(D4327=0,C4327,C4327*(1-ABS(D4327)/(ABS(D4327)+ABS(D4326)))+C4326*(1-ABS(D4326)/(ABS(D4327)+ABS(D4326)))),"")))</f>
        <v>#NAME?</v>
      </c>
    </row>
    <row r="4328" spans="2:5" x14ac:dyDescent="0.25">
      <c r="B4328" t="e">
        <f t="shared" ca="1" si="135"/>
        <v>#NAME?</v>
      </c>
      <c r="C4328">
        <v>4285</v>
      </c>
      <c r="D4328" t="e">
        <f t="shared" ca="1" si="134"/>
        <v>#NAME?</v>
      </c>
      <c r="E4328" s="115" t="e">
        <f t="array" aca="1" ref="E4328" ca="1">IF(OR(C4327=0,AND(B4329=0,C4329=0)),"",IFERROR(INDEX($F$27:$F$36,MATCH(C4328,($F$27:$F$36)*($D$27:$D$36&lt;&gt;0),0)),IF(OR(AND(D4328=0,B4328=0,B4329&lt;&gt;0),AND(D4328*D4327&lt;0,B4328&lt;&gt;0)),IF(D4328=0,C4328,C4328*(1-ABS(D4328)/(ABS(D4328)+ABS(D4327)))+C4327*(1-ABS(D4327)/(ABS(D4328)+ABS(D4327)))),"")))</f>
        <v>#NAME?</v>
      </c>
    </row>
    <row r="4329" spans="2:5" x14ac:dyDescent="0.25">
      <c r="B4329" t="e">
        <f t="shared" ca="1" si="135"/>
        <v>#NAME?</v>
      </c>
      <c r="C4329">
        <v>4286</v>
      </c>
      <c r="D4329" t="e">
        <f t="shared" ca="1" si="134"/>
        <v>#NAME?</v>
      </c>
      <c r="E4329" s="115" t="e">
        <f t="array" aca="1" ref="E4329" ca="1">IF(OR(C4328=0,AND(B4330=0,C4330=0)),"",IFERROR(INDEX($F$27:$F$36,MATCH(C4329,($F$27:$F$36)*($D$27:$D$36&lt;&gt;0),0)),IF(OR(AND(D4329=0,B4329=0,B4330&lt;&gt;0),AND(D4329*D4328&lt;0,B4329&lt;&gt;0)),IF(D4329=0,C4329,C4329*(1-ABS(D4329)/(ABS(D4329)+ABS(D4328)))+C4328*(1-ABS(D4328)/(ABS(D4329)+ABS(D4328)))),"")))</f>
        <v>#NAME?</v>
      </c>
    </row>
    <row r="4330" spans="2:5" x14ac:dyDescent="0.25">
      <c r="B4330" t="e">
        <f t="shared" ca="1" si="135"/>
        <v>#NAME?</v>
      </c>
      <c r="C4330">
        <v>4287</v>
      </c>
      <c r="D4330" t="e">
        <f t="shared" ca="1" si="134"/>
        <v>#NAME?</v>
      </c>
      <c r="E4330" s="115" t="e">
        <f t="array" aca="1" ref="E4330" ca="1">IF(OR(C4329=0,AND(B4331=0,C4331=0)),"",IFERROR(INDEX($F$27:$F$36,MATCH(C4330,($F$27:$F$36)*($D$27:$D$36&lt;&gt;0),0)),IF(OR(AND(D4330=0,B4330=0,B4331&lt;&gt;0),AND(D4330*D4329&lt;0,B4330&lt;&gt;0)),IF(D4330=0,C4330,C4330*(1-ABS(D4330)/(ABS(D4330)+ABS(D4329)))+C4329*(1-ABS(D4329)/(ABS(D4330)+ABS(D4329)))),"")))</f>
        <v>#NAME?</v>
      </c>
    </row>
    <row r="4331" spans="2:5" x14ac:dyDescent="0.25">
      <c r="B4331" t="e">
        <f t="shared" ca="1" si="135"/>
        <v>#NAME?</v>
      </c>
      <c r="C4331">
        <v>4288</v>
      </c>
      <c r="D4331" t="e">
        <f t="shared" ref="D4331:D4394" ca="1" si="136">SUMPRODUCT(--($J$27:$J$37&gt;0),--($C4331-$F$27:$F$37&gt;0),($D$27:$D$37),($C4331-$F$27:$F$37))+SUMPRODUCT(--($J$27:$J$37&lt;0),--($F$27:$F$37-$C4331&gt;0),($D$27:$D$37),($F$27:$F$37-$C4331))-SUMPRODUCT($D$27:$D$37,$E$27:$E$37)</f>
        <v>#NAME?</v>
      </c>
      <c r="E4331" s="115" t="e">
        <f t="array" aca="1" ref="E4331" ca="1">IF(OR(C4330=0,AND(B4332=0,C4332=0)),"",IFERROR(INDEX($F$27:$F$36,MATCH(C4331,($F$27:$F$36)*($D$27:$D$36&lt;&gt;0),0)),IF(OR(AND(D4331=0,B4331=0,B4332&lt;&gt;0),AND(D4331*D4330&lt;0,B4331&lt;&gt;0)),IF(D4331=0,C4331,C4331*(1-ABS(D4331)/(ABS(D4331)+ABS(D4330)))+C4330*(1-ABS(D4330)/(ABS(D4331)+ABS(D4330)))),"")))</f>
        <v>#NAME?</v>
      </c>
    </row>
    <row r="4332" spans="2:5" x14ac:dyDescent="0.25">
      <c r="B4332" t="e">
        <f t="shared" ref="B4332:B4395" ca="1" si="137">ROUND((D4332-D4331)/(C4332-C4331),12)</f>
        <v>#NAME?</v>
      </c>
      <c r="C4332">
        <v>4289</v>
      </c>
      <c r="D4332" t="e">
        <f t="shared" ca="1" si="136"/>
        <v>#NAME?</v>
      </c>
      <c r="E4332" s="115" t="e">
        <f t="array" aca="1" ref="E4332" ca="1">IF(OR(C4331=0,AND(B4333=0,C4333=0)),"",IFERROR(INDEX($F$27:$F$36,MATCH(C4332,($F$27:$F$36)*($D$27:$D$36&lt;&gt;0),0)),IF(OR(AND(D4332=0,B4332=0,B4333&lt;&gt;0),AND(D4332*D4331&lt;0,B4332&lt;&gt;0)),IF(D4332=0,C4332,C4332*(1-ABS(D4332)/(ABS(D4332)+ABS(D4331)))+C4331*(1-ABS(D4331)/(ABS(D4332)+ABS(D4331)))),"")))</f>
        <v>#NAME?</v>
      </c>
    </row>
    <row r="4333" spans="2:5" x14ac:dyDescent="0.25">
      <c r="B4333" t="e">
        <f t="shared" ca="1" si="137"/>
        <v>#NAME?</v>
      </c>
      <c r="C4333">
        <v>4290</v>
      </c>
      <c r="D4333" t="e">
        <f t="shared" ca="1" si="136"/>
        <v>#NAME?</v>
      </c>
      <c r="E4333" s="115" t="e">
        <f t="array" aca="1" ref="E4333" ca="1">IF(OR(C4332=0,AND(B4334=0,C4334=0)),"",IFERROR(INDEX($F$27:$F$36,MATCH(C4333,($F$27:$F$36)*($D$27:$D$36&lt;&gt;0),0)),IF(OR(AND(D4333=0,B4333=0,B4334&lt;&gt;0),AND(D4333*D4332&lt;0,B4333&lt;&gt;0)),IF(D4333=0,C4333,C4333*(1-ABS(D4333)/(ABS(D4333)+ABS(D4332)))+C4332*(1-ABS(D4332)/(ABS(D4333)+ABS(D4332)))),"")))</f>
        <v>#NAME?</v>
      </c>
    </row>
    <row r="4334" spans="2:5" x14ac:dyDescent="0.25">
      <c r="B4334" t="e">
        <f t="shared" ca="1" si="137"/>
        <v>#NAME?</v>
      </c>
      <c r="C4334">
        <v>4291</v>
      </c>
      <c r="D4334" t="e">
        <f t="shared" ca="1" si="136"/>
        <v>#NAME?</v>
      </c>
      <c r="E4334" s="115" t="e">
        <f t="array" aca="1" ref="E4334" ca="1">IF(OR(C4333=0,AND(B4335=0,C4335=0)),"",IFERROR(INDEX($F$27:$F$36,MATCH(C4334,($F$27:$F$36)*($D$27:$D$36&lt;&gt;0),0)),IF(OR(AND(D4334=0,B4334=0,B4335&lt;&gt;0),AND(D4334*D4333&lt;0,B4334&lt;&gt;0)),IF(D4334=0,C4334,C4334*(1-ABS(D4334)/(ABS(D4334)+ABS(D4333)))+C4333*(1-ABS(D4333)/(ABS(D4334)+ABS(D4333)))),"")))</f>
        <v>#NAME?</v>
      </c>
    </row>
    <row r="4335" spans="2:5" x14ac:dyDescent="0.25">
      <c r="B4335" t="e">
        <f t="shared" ca="1" si="137"/>
        <v>#NAME?</v>
      </c>
      <c r="C4335">
        <v>4292</v>
      </c>
      <c r="D4335" t="e">
        <f t="shared" ca="1" si="136"/>
        <v>#NAME?</v>
      </c>
      <c r="E4335" s="115" t="e">
        <f t="array" aca="1" ref="E4335" ca="1">IF(OR(C4334=0,AND(B4336=0,C4336=0)),"",IFERROR(INDEX($F$27:$F$36,MATCH(C4335,($F$27:$F$36)*($D$27:$D$36&lt;&gt;0),0)),IF(OR(AND(D4335=0,B4335=0,B4336&lt;&gt;0),AND(D4335*D4334&lt;0,B4335&lt;&gt;0)),IF(D4335=0,C4335,C4335*(1-ABS(D4335)/(ABS(D4335)+ABS(D4334)))+C4334*(1-ABS(D4334)/(ABS(D4335)+ABS(D4334)))),"")))</f>
        <v>#NAME?</v>
      </c>
    </row>
    <row r="4336" spans="2:5" x14ac:dyDescent="0.25">
      <c r="B4336" t="e">
        <f t="shared" ca="1" si="137"/>
        <v>#NAME?</v>
      </c>
      <c r="C4336">
        <v>4293</v>
      </c>
      <c r="D4336" t="e">
        <f t="shared" ca="1" si="136"/>
        <v>#NAME?</v>
      </c>
      <c r="E4336" s="115" t="e">
        <f t="array" aca="1" ref="E4336" ca="1">IF(OR(C4335=0,AND(B4337=0,C4337=0)),"",IFERROR(INDEX($F$27:$F$36,MATCH(C4336,($F$27:$F$36)*($D$27:$D$36&lt;&gt;0),0)),IF(OR(AND(D4336=0,B4336=0,B4337&lt;&gt;0),AND(D4336*D4335&lt;0,B4336&lt;&gt;0)),IF(D4336=0,C4336,C4336*(1-ABS(D4336)/(ABS(D4336)+ABS(D4335)))+C4335*(1-ABS(D4335)/(ABS(D4336)+ABS(D4335)))),"")))</f>
        <v>#NAME?</v>
      </c>
    </row>
    <row r="4337" spans="2:5" x14ac:dyDescent="0.25">
      <c r="B4337" t="e">
        <f t="shared" ca="1" si="137"/>
        <v>#NAME?</v>
      </c>
      <c r="C4337">
        <v>4294</v>
      </c>
      <c r="D4337" t="e">
        <f t="shared" ca="1" si="136"/>
        <v>#NAME?</v>
      </c>
      <c r="E4337" s="115" t="e">
        <f t="array" aca="1" ref="E4337" ca="1">IF(OR(C4336=0,AND(B4338=0,C4338=0)),"",IFERROR(INDEX($F$27:$F$36,MATCH(C4337,($F$27:$F$36)*($D$27:$D$36&lt;&gt;0),0)),IF(OR(AND(D4337=0,B4337=0,B4338&lt;&gt;0),AND(D4337*D4336&lt;0,B4337&lt;&gt;0)),IF(D4337=0,C4337,C4337*(1-ABS(D4337)/(ABS(D4337)+ABS(D4336)))+C4336*(1-ABS(D4336)/(ABS(D4337)+ABS(D4336)))),"")))</f>
        <v>#NAME?</v>
      </c>
    </row>
    <row r="4338" spans="2:5" x14ac:dyDescent="0.25">
      <c r="B4338" t="e">
        <f t="shared" ca="1" si="137"/>
        <v>#NAME?</v>
      </c>
      <c r="C4338">
        <v>4295</v>
      </c>
      <c r="D4338" t="e">
        <f t="shared" ca="1" si="136"/>
        <v>#NAME?</v>
      </c>
      <c r="E4338" s="115" t="e">
        <f t="array" aca="1" ref="E4338" ca="1">IF(OR(C4337=0,AND(B4339=0,C4339=0)),"",IFERROR(INDEX($F$27:$F$36,MATCH(C4338,($F$27:$F$36)*($D$27:$D$36&lt;&gt;0),0)),IF(OR(AND(D4338=0,B4338=0,B4339&lt;&gt;0),AND(D4338*D4337&lt;0,B4338&lt;&gt;0)),IF(D4338=0,C4338,C4338*(1-ABS(D4338)/(ABS(D4338)+ABS(D4337)))+C4337*(1-ABS(D4337)/(ABS(D4338)+ABS(D4337)))),"")))</f>
        <v>#NAME?</v>
      </c>
    </row>
    <row r="4339" spans="2:5" x14ac:dyDescent="0.25">
      <c r="B4339" t="e">
        <f t="shared" ca="1" si="137"/>
        <v>#NAME?</v>
      </c>
      <c r="C4339">
        <v>4296</v>
      </c>
      <c r="D4339" t="e">
        <f t="shared" ca="1" si="136"/>
        <v>#NAME?</v>
      </c>
      <c r="E4339" s="115" t="e">
        <f t="array" aca="1" ref="E4339" ca="1">IF(OR(C4338=0,AND(B4340=0,C4340=0)),"",IFERROR(INDEX($F$27:$F$36,MATCH(C4339,($F$27:$F$36)*($D$27:$D$36&lt;&gt;0),0)),IF(OR(AND(D4339=0,B4339=0,B4340&lt;&gt;0),AND(D4339*D4338&lt;0,B4339&lt;&gt;0)),IF(D4339=0,C4339,C4339*(1-ABS(D4339)/(ABS(D4339)+ABS(D4338)))+C4338*(1-ABS(D4338)/(ABS(D4339)+ABS(D4338)))),"")))</f>
        <v>#NAME?</v>
      </c>
    </row>
    <row r="4340" spans="2:5" x14ac:dyDescent="0.25">
      <c r="B4340" t="e">
        <f t="shared" ca="1" si="137"/>
        <v>#NAME?</v>
      </c>
      <c r="C4340">
        <v>4297</v>
      </c>
      <c r="D4340" t="e">
        <f t="shared" ca="1" si="136"/>
        <v>#NAME?</v>
      </c>
      <c r="E4340" s="115" t="e">
        <f t="array" aca="1" ref="E4340" ca="1">IF(OR(C4339=0,AND(B4341=0,C4341=0)),"",IFERROR(INDEX($F$27:$F$36,MATCH(C4340,($F$27:$F$36)*($D$27:$D$36&lt;&gt;0),0)),IF(OR(AND(D4340=0,B4340=0,B4341&lt;&gt;0),AND(D4340*D4339&lt;0,B4340&lt;&gt;0)),IF(D4340=0,C4340,C4340*(1-ABS(D4340)/(ABS(D4340)+ABS(D4339)))+C4339*(1-ABS(D4339)/(ABS(D4340)+ABS(D4339)))),"")))</f>
        <v>#NAME?</v>
      </c>
    </row>
    <row r="4341" spans="2:5" x14ac:dyDescent="0.25">
      <c r="B4341" t="e">
        <f t="shared" ca="1" si="137"/>
        <v>#NAME?</v>
      </c>
      <c r="C4341">
        <v>4298</v>
      </c>
      <c r="D4341" t="e">
        <f t="shared" ca="1" si="136"/>
        <v>#NAME?</v>
      </c>
      <c r="E4341" s="115" t="e">
        <f t="array" aca="1" ref="E4341" ca="1">IF(OR(C4340=0,AND(B4342=0,C4342=0)),"",IFERROR(INDEX($F$27:$F$36,MATCH(C4341,($F$27:$F$36)*($D$27:$D$36&lt;&gt;0),0)),IF(OR(AND(D4341=0,B4341=0,B4342&lt;&gt;0),AND(D4341*D4340&lt;0,B4341&lt;&gt;0)),IF(D4341=0,C4341,C4341*(1-ABS(D4341)/(ABS(D4341)+ABS(D4340)))+C4340*(1-ABS(D4340)/(ABS(D4341)+ABS(D4340)))),"")))</f>
        <v>#NAME?</v>
      </c>
    </row>
    <row r="4342" spans="2:5" x14ac:dyDescent="0.25">
      <c r="B4342" t="e">
        <f t="shared" ca="1" si="137"/>
        <v>#NAME?</v>
      </c>
      <c r="C4342">
        <v>4299</v>
      </c>
      <c r="D4342" t="e">
        <f t="shared" ca="1" si="136"/>
        <v>#NAME?</v>
      </c>
      <c r="E4342" s="115" t="e">
        <f t="array" aca="1" ref="E4342" ca="1">IF(OR(C4341=0,AND(B4343=0,C4343=0)),"",IFERROR(INDEX($F$27:$F$36,MATCH(C4342,($F$27:$F$36)*($D$27:$D$36&lt;&gt;0),0)),IF(OR(AND(D4342=0,B4342=0,B4343&lt;&gt;0),AND(D4342*D4341&lt;0,B4342&lt;&gt;0)),IF(D4342=0,C4342,C4342*(1-ABS(D4342)/(ABS(D4342)+ABS(D4341)))+C4341*(1-ABS(D4341)/(ABS(D4342)+ABS(D4341)))),"")))</f>
        <v>#NAME?</v>
      </c>
    </row>
    <row r="4343" spans="2:5" x14ac:dyDescent="0.25">
      <c r="B4343" t="e">
        <f t="shared" ca="1" si="137"/>
        <v>#NAME?</v>
      </c>
      <c r="C4343">
        <v>4300</v>
      </c>
      <c r="D4343" t="e">
        <f t="shared" ca="1" si="136"/>
        <v>#NAME?</v>
      </c>
      <c r="E4343" s="115" t="e">
        <f t="array" aca="1" ref="E4343" ca="1">IF(OR(C4342=0,AND(B4344=0,C4344=0)),"",IFERROR(INDEX($F$27:$F$36,MATCH(C4343,($F$27:$F$36)*($D$27:$D$36&lt;&gt;0),0)),IF(OR(AND(D4343=0,B4343=0,B4344&lt;&gt;0),AND(D4343*D4342&lt;0,B4343&lt;&gt;0)),IF(D4343=0,C4343,C4343*(1-ABS(D4343)/(ABS(D4343)+ABS(D4342)))+C4342*(1-ABS(D4342)/(ABS(D4343)+ABS(D4342)))),"")))</f>
        <v>#NAME?</v>
      </c>
    </row>
    <row r="4344" spans="2:5" x14ac:dyDescent="0.25">
      <c r="B4344" t="e">
        <f t="shared" ca="1" si="137"/>
        <v>#NAME?</v>
      </c>
      <c r="C4344">
        <v>4301</v>
      </c>
      <c r="D4344" t="e">
        <f t="shared" ca="1" si="136"/>
        <v>#NAME?</v>
      </c>
      <c r="E4344" s="115" t="e">
        <f t="array" aca="1" ref="E4344" ca="1">IF(OR(C4343=0,AND(B4345=0,C4345=0)),"",IFERROR(INDEX($F$27:$F$36,MATCH(C4344,($F$27:$F$36)*($D$27:$D$36&lt;&gt;0),0)),IF(OR(AND(D4344=0,B4344=0,B4345&lt;&gt;0),AND(D4344*D4343&lt;0,B4344&lt;&gt;0)),IF(D4344=0,C4344,C4344*(1-ABS(D4344)/(ABS(D4344)+ABS(D4343)))+C4343*(1-ABS(D4343)/(ABS(D4344)+ABS(D4343)))),"")))</f>
        <v>#NAME?</v>
      </c>
    </row>
    <row r="4345" spans="2:5" x14ac:dyDescent="0.25">
      <c r="B4345" t="e">
        <f t="shared" ca="1" si="137"/>
        <v>#NAME?</v>
      </c>
      <c r="C4345">
        <v>4302</v>
      </c>
      <c r="D4345" t="e">
        <f t="shared" ca="1" si="136"/>
        <v>#NAME?</v>
      </c>
      <c r="E4345" s="115" t="e">
        <f t="array" aca="1" ref="E4345" ca="1">IF(OR(C4344=0,AND(B4346=0,C4346=0)),"",IFERROR(INDEX($F$27:$F$36,MATCH(C4345,($F$27:$F$36)*($D$27:$D$36&lt;&gt;0),0)),IF(OR(AND(D4345=0,B4345=0,B4346&lt;&gt;0),AND(D4345*D4344&lt;0,B4345&lt;&gt;0)),IF(D4345=0,C4345,C4345*(1-ABS(D4345)/(ABS(D4345)+ABS(D4344)))+C4344*(1-ABS(D4344)/(ABS(D4345)+ABS(D4344)))),"")))</f>
        <v>#NAME?</v>
      </c>
    </row>
    <row r="4346" spans="2:5" x14ac:dyDescent="0.25">
      <c r="B4346" t="e">
        <f t="shared" ca="1" si="137"/>
        <v>#NAME?</v>
      </c>
      <c r="C4346">
        <v>4303</v>
      </c>
      <c r="D4346" t="e">
        <f t="shared" ca="1" si="136"/>
        <v>#NAME?</v>
      </c>
      <c r="E4346" s="115" t="e">
        <f t="array" aca="1" ref="E4346" ca="1">IF(OR(C4345=0,AND(B4347=0,C4347=0)),"",IFERROR(INDEX($F$27:$F$36,MATCH(C4346,($F$27:$F$36)*($D$27:$D$36&lt;&gt;0),0)),IF(OR(AND(D4346=0,B4346=0,B4347&lt;&gt;0),AND(D4346*D4345&lt;0,B4346&lt;&gt;0)),IF(D4346=0,C4346,C4346*(1-ABS(D4346)/(ABS(D4346)+ABS(D4345)))+C4345*(1-ABS(D4345)/(ABS(D4346)+ABS(D4345)))),"")))</f>
        <v>#NAME?</v>
      </c>
    </row>
    <row r="4347" spans="2:5" x14ac:dyDescent="0.25">
      <c r="B4347" t="e">
        <f t="shared" ca="1" si="137"/>
        <v>#NAME?</v>
      </c>
      <c r="C4347">
        <v>4304</v>
      </c>
      <c r="D4347" t="e">
        <f t="shared" ca="1" si="136"/>
        <v>#NAME?</v>
      </c>
      <c r="E4347" s="115" t="e">
        <f t="array" aca="1" ref="E4347" ca="1">IF(OR(C4346=0,AND(B4348=0,C4348=0)),"",IFERROR(INDEX($F$27:$F$36,MATCH(C4347,($F$27:$F$36)*($D$27:$D$36&lt;&gt;0),0)),IF(OR(AND(D4347=0,B4347=0,B4348&lt;&gt;0),AND(D4347*D4346&lt;0,B4347&lt;&gt;0)),IF(D4347=0,C4347,C4347*(1-ABS(D4347)/(ABS(D4347)+ABS(D4346)))+C4346*(1-ABS(D4346)/(ABS(D4347)+ABS(D4346)))),"")))</f>
        <v>#NAME?</v>
      </c>
    </row>
    <row r="4348" spans="2:5" x14ac:dyDescent="0.25">
      <c r="B4348" t="e">
        <f t="shared" ca="1" si="137"/>
        <v>#NAME?</v>
      </c>
      <c r="C4348">
        <v>4305</v>
      </c>
      <c r="D4348" t="e">
        <f t="shared" ca="1" si="136"/>
        <v>#NAME?</v>
      </c>
      <c r="E4348" s="115" t="e">
        <f t="array" aca="1" ref="E4348" ca="1">IF(OR(C4347=0,AND(B4349=0,C4349=0)),"",IFERROR(INDEX($F$27:$F$36,MATCH(C4348,($F$27:$F$36)*($D$27:$D$36&lt;&gt;0),0)),IF(OR(AND(D4348=0,B4348=0,B4349&lt;&gt;0),AND(D4348*D4347&lt;0,B4348&lt;&gt;0)),IF(D4348=0,C4348,C4348*(1-ABS(D4348)/(ABS(D4348)+ABS(D4347)))+C4347*(1-ABS(D4347)/(ABS(D4348)+ABS(D4347)))),"")))</f>
        <v>#NAME?</v>
      </c>
    </row>
    <row r="4349" spans="2:5" x14ac:dyDescent="0.25">
      <c r="B4349" t="e">
        <f t="shared" ca="1" si="137"/>
        <v>#NAME?</v>
      </c>
      <c r="C4349">
        <v>4306</v>
      </c>
      <c r="D4349" t="e">
        <f t="shared" ca="1" si="136"/>
        <v>#NAME?</v>
      </c>
      <c r="E4349" s="115" t="e">
        <f t="array" aca="1" ref="E4349" ca="1">IF(OR(C4348=0,AND(B4350=0,C4350=0)),"",IFERROR(INDEX($F$27:$F$36,MATCH(C4349,($F$27:$F$36)*($D$27:$D$36&lt;&gt;0),0)),IF(OR(AND(D4349=0,B4349=0,B4350&lt;&gt;0),AND(D4349*D4348&lt;0,B4349&lt;&gt;0)),IF(D4349=0,C4349,C4349*(1-ABS(D4349)/(ABS(D4349)+ABS(D4348)))+C4348*(1-ABS(D4348)/(ABS(D4349)+ABS(D4348)))),"")))</f>
        <v>#NAME?</v>
      </c>
    </row>
    <row r="4350" spans="2:5" x14ac:dyDescent="0.25">
      <c r="B4350" t="e">
        <f t="shared" ca="1" si="137"/>
        <v>#NAME?</v>
      </c>
      <c r="C4350">
        <v>4307</v>
      </c>
      <c r="D4350" t="e">
        <f t="shared" ca="1" si="136"/>
        <v>#NAME?</v>
      </c>
      <c r="E4350" s="115" t="e">
        <f t="array" aca="1" ref="E4350" ca="1">IF(OR(C4349=0,AND(B4351=0,C4351=0)),"",IFERROR(INDEX($F$27:$F$36,MATCH(C4350,($F$27:$F$36)*($D$27:$D$36&lt;&gt;0),0)),IF(OR(AND(D4350=0,B4350=0,B4351&lt;&gt;0),AND(D4350*D4349&lt;0,B4350&lt;&gt;0)),IF(D4350=0,C4350,C4350*(1-ABS(D4350)/(ABS(D4350)+ABS(D4349)))+C4349*(1-ABS(D4349)/(ABS(D4350)+ABS(D4349)))),"")))</f>
        <v>#NAME?</v>
      </c>
    </row>
    <row r="4351" spans="2:5" x14ac:dyDescent="0.25">
      <c r="B4351" t="e">
        <f t="shared" ca="1" si="137"/>
        <v>#NAME?</v>
      </c>
      <c r="C4351">
        <v>4308</v>
      </c>
      <c r="D4351" t="e">
        <f t="shared" ca="1" si="136"/>
        <v>#NAME?</v>
      </c>
      <c r="E4351" s="115" t="e">
        <f t="array" aca="1" ref="E4351" ca="1">IF(OR(C4350=0,AND(B4352=0,C4352=0)),"",IFERROR(INDEX($F$27:$F$36,MATCH(C4351,($F$27:$F$36)*($D$27:$D$36&lt;&gt;0),0)),IF(OR(AND(D4351=0,B4351=0,B4352&lt;&gt;0),AND(D4351*D4350&lt;0,B4351&lt;&gt;0)),IF(D4351=0,C4351,C4351*(1-ABS(D4351)/(ABS(D4351)+ABS(D4350)))+C4350*(1-ABS(D4350)/(ABS(D4351)+ABS(D4350)))),"")))</f>
        <v>#NAME?</v>
      </c>
    </row>
    <row r="4352" spans="2:5" x14ac:dyDescent="0.25">
      <c r="B4352" t="e">
        <f t="shared" ca="1" si="137"/>
        <v>#NAME?</v>
      </c>
      <c r="C4352">
        <v>4309</v>
      </c>
      <c r="D4352" t="e">
        <f t="shared" ca="1" si="136"/>
        <v>#NAME?</v>
      </c>
      <c r="E4352" s="115" t="e">
        <f t="array" aca="1" ref="E4352" ca="1">IF(OR(C4351=0,AND(B4353=0,C4353=0)),"",IFERROR(INDEX($F$27:$F$36,MATCH(C4352,($F$27:$F$36)*($D$27:$D$36&lt;&gt;0),0)),IF(OR(AND(D4352=0,B4352=0,B4353&lt;&gt;0),AND(D4352*D4351&lt;0,B4352&lt;&gt;0)),IF(D4352=0,C4352,C4352*(1-ABS(D4352)/(ABS(D4352)+ABS(D4351)))+C4351*(1-ABS(D4351)/(ABS(D4352)+ABS(D4351)))),"")))</f>
        <v>#NAME?</v>
      </c>
    </row>
    <row r="4353" spans="2:5" x14ac:dyDescent="0.25">
      <c r="B4353" t="e">
        <f t="shared" ca="1" si="137"/>
        <v>#NAME?</v>
      </c>
      <c r="C4353">
        <v>4310</v>
      </c>
      <c r="D4353" t="e">
        <f t="shared" ca="1" si="136"/>
        <v>#NAME?</v>
      </c>
      <c r="E4353" s="115" t="e">
        <f t="array" aca="1" ref="E4353" ca="1">IF(OR(C4352=0,AND(B4354=0,C4354=0)),"",IFERROR(INDEX($F$27:$F$36,MATCH(C4353,($F$27:$F$36)*($D$27:$D$36&lt;&gt;0),0)),IF(OR(AND(D4353=0,B4353=0,B4354&lt;&gt;0),AND(D4353*D4352&lt;0,B4353&lt;&gt;0)),IF(D4353=0,C4353,C4353*(1-ABS(D4353)/(ABS(D4353)+ABS(D4352)))+C4352*(1-ABS(D4352)/(ABS(D4353)+ABS(D4352)))),"")))</f>
        <v>#NAME?</v>
      </c>
    </row>
    <row r="4354" spans="2:5" x14ac:dyDescent="0.25">
      <c r="B4354" t="e">
        <f t="shared" ca="1" si="137"/>
        <v>#NAME?</v>
      </c>
      <c r="C4354">
        <v>4311</v>
      </c>
      <c r="D4354" t="e">
        <f t="shared" ca="1" si="136"/>
        <v>#NAME?</v>
      </c>
      <c r="E4354" s="115" t="e">
        <f t="array" aca="1" ref="E4354" ca="1">IF(OR(C4353=0,AND(B4355=0,C4355=0)),"",IFERROR(INDEX($F$27:$F$36,MATCH(C4354,($F$27:$F$36)*($D$27:$D$36&lt;&gt;0),0)),IF(OR(AND(D4354=0,B4354=0,B4355&lt;&gt;0),AND(D4354*D4353&lt;0,B4354&lt;&gt;0)),IF(D4354=0,C4354,C4354*(1-ABS(D4354)/(ABS(D4354)+ABS(D4353)))+C4353*(1-ABS(D4353)/(ABS(D4354)+ABS(D4353)))),"")))</f>
        <v>#NAME?</v>
      </c>
    </row>
    <row r="4355" spans="2:5" x14ac:dyDescent="0.25">
      <c r="B4355" t="e">
        <f t="shared" ca="1" si="137"/>
        <v>#NAME?</v>
      </c>
      <c r="C4355">
        <v>4312</v>
      </c>
      <c r="D4355" t="e">
        <f t="shared" ca="1" si="136"/>
        <v>#NAME?</v>
      </c>
      <c r="E4355" s="115" t="e">
        <f t="array" aca="1" ref="E4355" ca="1">IF(OR(C4354=0,AND(B4356=0,C4356=0)),"",IFERROR(INDEX($F$27:$F$36,MATCH(C4355,($F$27:$F$36)*($D$27:$D$36&lt;&gt;0),0)),IF(OR(AND(D4355=0,B4355=0,B4356&lt;&gt;0),AND(D4355*D4354&lt;0,B4355&lt;&gt;0)),IF(D4355=0,C4355,C4355*(1-ABS(D4355)/(ABS(D4355)+ABS(D4354)))+C4354*(1-ABS(D4354)/(ABS(D4355)+ABS(D4354)))),"")))</f>
        <v>#NAME?</v>
      </c>
    </row>
    <row r="4356" spans="2:5" x14ac:dyDescent="0.25">
      <c r="B4356" t="e">
        <f t="shared" ca="1" si="137"/>
        <v>#NAME?</v>
      </c>
      <c r="C4356">
        <v>4313</v>
      </c>
      <c r="D4356" t="e">
        <f t="shared" ca="1" si="136"/>
        <v>#NAME?</v>
      </c>
      <c r="E4356" s="115" t="e">
        <f t="array" aca="1" ref="E4356" ca="1">IF(OR(C4355=0,AND(B4357=0,C4357=0)),"",IFERROR(INDEX($F$27:$F$36,MATCH(C4356,($F$27:$F$36)*($D$27:$D$36&lt;&gt;0),0)),IF(OR(AND(D4356=0,B4356=0,B4357&lt;&gt;0),AND(D4356*D4355&lt;0,B4356&lt;&gt;0)),IF(D4356=0,C4356,C4356*(1-ABS(D4356)/(ABS(D4356)+ABS(D4355)))+C4355*(1-ABS(D4355)/(ABS(D4356)+ABS(D4355)))),"")))</f>
        <v>#NAME?</v>
      </c>
    </row>
    <row r="4357" spans="2:5" x14ac:dyDescent="0.25">
      <c r="B4357" t="e">
        <f t="shared" ca="1" si="137"/>
        <v>#NAME?</v>
      </c>
      <c r="C4357">
        <v>4314</v>
      </c>
      <c r="D4357" t="e">
        <f t="shared" ca="1" si="136"/>
        <v>#NAME?</v>
      </c>
      <c r="E4357" s="115" t="e">
        <f t="array" aca="1" ref="E4357" ca="1">IF(OR(C4356=0,AND(B4358=0,C4358=0)),"",IFERROR(INDEX($F$27:$F$36,MATCH(C4357,($F$27:$F$36)*($D$27:$D$36&lt;&gt;0),0)),IF(OR(AND(D4357=0,B4357=0,B4358&lt;&gt;0),AND(D4357*D4356&lt;0,B4357&lt;&gt;0)),IF(D4357=0,C4357,C4357*(1-ABS(D4357)/(ABS(D4357)+ABS(D4356)))+C4356*(1-ABS(D4356)/(ABS(D4357)+ABS(D4356)))),"")))</f>
        <v>#NAME?</v>
      </c>
    </row>
    <row r="4358" spans="2:5" x14ac:dyDescent="0.25">
      <c r="B4358" t="e">
        <f t="shared" ca="1" si="137"/>
        <v>#NAME?</v>
      </c>
      <c r="C4358">
        <v>4315</v>
      </c>
      <c r="D4358" t="e">
        <f t="shared" ca="1" si="136"/>
        <v>#NAME?</v>
      </c>
      <c r="E4358" s="115" t="e">
        <f t="array" aca="1" ref="E4358" ca="1">IF(OR(C4357=0,AND(B4359=0,C4359=0)),"",IFERROR(INDEX($F$27:$F$36,MATCH(C4358,($F$27:$F$36)*($D$27:$D$36&lt;&gt;0),0)),IF(OR(AND(D4358=0,B4358=0,B4359&lt;&gt;0),AND(D4358*D4357&lt;0,B4358&lt;&gt;0)),IF(D4358=0,C4358,C4358*(1-ABS(D4358)/(ABS(D4358)+ABS(D4357)))+C4357*(1-ABS(D4357)/(ABS(D4358)+ABS(D4357)))),"")))</f>
        <v>#NAME?</v>
      </c>
    </row>
    <row r="4359" spans="2:5" x14ac:dyDescent="0.25">
      <c r="B4359" t="e">
        <f t="shared" ca="1" si="137"/>
        <v>#NAME?</v>
      </c>
      <c r="C4359">
        <v>4316</v>
      </c>
      <c r="D4359" t="e">
        <f t="shared" ca="1" si="136"/>
        <v>#NAME?</v>
      </c>
      <c r="E4359" s="115" t="e">
        <f t="array" aca="1" ref="E4359" ca="1">IF(OR(C4358=0,AND(B4360=0,C4360=0)),"",IFERROR(INDEX($F$27:$F$36,MATCH(C4359,($F$27:$F$36)*($D$27:$D$36&lt;&gt;0),0)),IF(OR(AND(D4359=0,B4359=0,B4360&lt;&gt;0),AND(D4359*D4358&lt;0,B4359&lt;&gt;0)),IF(D4359=0,C4359,C4359*(1-ABS(D4359)/(ABS(D4359)+ABS(D4358)))+C4358*(1-ABS(D4358)/(ABS(D4359)+ABS(D4358)))),"")))</f>
        <v>#NAME?</v>
      </c>
    </row>
    <row r="4360" spans="2:5" x14ac:dyDescent="0.25">
      <c r="B4360" t="e">
        <f t="shared" ca="1" si="137"/>
        <v>#NAME?</v>
      </c>
      <c r="C4360">
        <v>4317</v>
      </c>
      <c r="D4360" t="e">
        <f t="shared" ca="1" si="136"/>
        <v>#NAME?</v>
      </c>
      <c r="E4360" s="115" t="e">
        <f t="array" aca="1" ref="E4360" ca="1">IF(OR(C4359=0,AND(B4361=0,C4361=0)),"",IFERROR(INDEX($F$27:$F$36,MATCH(C4360,($F$27:$F$36)*($D$27:$D$36&lt;&gt;0),0)),IF(OR(AND(D4360=0,B4360=0,B4361&lt;&gt;0),AND(D4360*D4359&lt;0,B4360&lt;&gt;0)),IF(D4360=0,C4360,C4360*(1-ABS(D4360)/(ABS(D4360)+ABS(D4359)))+C4359*(1-ABS(D4359)/(ABS(D4360)+ABS(D4359)))),"")))</f>
        <v>#NAME?</v>
      </c>
    </row>
    <row r="4361" spans="2:5" x14ac:dyDescent="0.25">
      <c r="B4361" t="e">
        <f t="shared" ca="1" si="137"/>
        <v>#NAME?</v>
      </c>
      <c r="C4361">
        <v>4318</v>
      </c>
      <c r="D4361" t="e">
        <f t="shared" ca="1" si="136"/>
        <v>#NAME?</v>
      </c>
      <c r="E4361" s="115" t="e">
        <f t="array" aca="1" ref="E4361" ca="1">IF(OR(C4360=0,AND(B4362=0,C4362=0)),"",IFERROR(INDEX($F$27:$F$36,MATCH(C4361,($F$27:$F$36)*($D$27:$D$36&lt;&gt;0),0)),IF(OR(AND(D4361=0,B4361=0,B4362&lt;&gt;0),AND(D4361*D4360&lt;0,B4361&lt;&gt;0)),IF(D4361=0,C4361,C4361*(1-ABS(D4361)/(ABS(D4361)+ABS(D4360)))+C4360*(1-ABS(D4360)/(ABS(D4361)+ABS(D4360)))),"")))</f>
        <v>#NAME?</v>
      </c>
    </row>
    <row r="4362" spans="2:5" x14ac:dyDescent="0.25">
      <c r="B4362" t="e">
        <f t="shared" ca="1" si="137"/>
        <v>#NAME?</v>
      </c>
      <c r="C4362">
        <v>4319</v>
      </c>
      <c r="D4362" t="e">
        <f t="shared" ca="1" si="136"/>
        <v>#NAME?</v>
      </c>
      <c r="E4362" s="115" t="e">
        <f t="array" aca="1" ref="E4362" ca="1">IF(OR(C4361=0,AND(B4363=0,C4363=0)),"",IFERROR(INDEX($F$27:$F$36,MATCH(C4362,($F$27:$F$36)*($D$27:$D$36&lt;&gt;0),0)),IF(OR(AND(D4362=0,B4362=0,B4363&lt;&gt;0),AND(D4362*D4361&lt;0,B4362&lt;&gt;0)),IF(D4362=0,C4362,C4362*(1-ABS(D4362)/(ABS(D4362)+ABS(D4361)))+C4361*(1-ABS(D4361)/(ABS(D4362)+ABS(D4361)))),"")))</f>
        <v>#NAME?</v>
      </c>
    </row>
    <row r="4363" spans="2:5" x14ac:dyDescent="0.25">
      <c r="B4363" t="e">
        <f t="shared" ca="1" si="137"/>
        <v>#NAME?</v>
      </c>
      <c r="C4363">
        <v>4320</v>
      </c>
      <c r="D4363" t="e">
        <f t="shared" ca="1" si="136"/>
        <v>#NAME?</v>
      </c>
      <c r="E4363" s="115" t="e">
        <f t="array" aca="1" ref="E4363" ca="1">IF(OR(C4362=0,AND(B4364=0,C4364=0)),"",IFERROR(INDEX($F$27:$F$36,MATCH(C4363,($F$27:$F$36)*($D$27:$D$36&lt;&gt;0),0)),IF(OR(AND(D4363=0,B4363=0,B4364&lt;&gt;0),AND(D4363*D4362&lt;0,B4363&lt;&gt;0)),IF(D4363=0,C4363,C4363*(1-ABS(D4363)/(ABS(D4363)+ABS(D4362)))+C4362*(1-ABS(D4362)/(ABS(D4363)+ABS(D4362)))),"")))</f>
        <v>#NAME?</v>
      </c>
    </row>
    <row r="4364" spans="2:5" x14ac:dyDescent="0.25">
      <c r="B4364" t="e">
        <f t="shared" ca="1" si="137"/>
        <v>#NAME?</v>
      </c>
      <c r="C4364">
        <v>4321</v>
      </c>
      <c r="D4364" t="e">
        <f t="shared" ca="1" si="136"/>
        <v>#NAME?</v>
      </c>
      <c r="E4364" s="115" t="e">
        <f t="array" aca="1" ref="E4364" ca="1">IF(OR(C4363=0,AND(B4365=0,C4365=0)),"",IFERROR(INDEX($F$27:$F$36,MATCH(C4364,($F$27:$F$36)*($D$27:$D$36&lt;&gt;0),0)),IF(OR(AND(D4364=0,B4364=0,B4365&lt;&gt;0),AND(D4364*D4363&lt;0,B4364&lt;&gt;0)),IF(D4364=0,C4364,C4364*(1-ABS(D4364)/(ABS(D4364)+ABS(D4363)))+C4363*(1-ABS(D4363)/(ABS(D4364)+ABS(D4363)))),"")))</f>
        <v>#NAME?</v>
      </c>
    </row>
    <row r="4365" spans="2:5" x14ac:dyDescent="0.25">
      <c r="B4365" t="e">
        <f t="shared" ca="1" si="137"/>
        <v>#NAME?</v>
      </c>
      <c r="C4365">
        <v>4322</v>
      </c>
      <c r="D4365" t="e">
        <f t="shared" ca="1" si="136"/>
        <v>#NAME?</v>
      </c>
      <c r="E4365" s="115" t="e">
        <f t="array" aca="1" ref="E4365" ca="1">IF(OR(C4364=0,AND(B4366=0,C4366=0)),"",IFERROR(INDEX($F$27:$F$36,MATCH(C4365,($F$27:$F$36)*($D$27:$D$36&lt;&gt;0),0)),IF(OR(AND(D4365=0,B4365=0,B4366&lt;&gt;0),AND(D4365*D4364&lt;0,B4365&lt;&gt;0)),IF(D4365=0,C4365,C4365*(1-ABS(D4365)/(ABS(D4365)+ABS(D4364)))+C4364*(1-ABS(D4364)/(ABS(D4365)+ABS(D4364)))),"")))</f>
        <v>#NAME?</v>
      </c>
    </row>
    <row r="4366" spans="2:5" x14ac:dyDescent="0.25">
      <c r="B4366" t="e">
        <f t="shared" ca="1" si="137"/>
        <v>#NAME?</v>
      </c>
      <c r="C4366">
        <v>4323</v>
      </c>
      <c r="D4366" t="e">
        <f t="shared" ca="1" si="136"/>
        <v>#NAME?</v>
      </c>
      <c r="E4366" s="115" t="e">
        <f t="array" aca="1" ref="E4366" ca="1">IF(OR(C4365=0,AND(B4367=0,C4367=0)),"",IFERROR(INDEX($F$27:$F$36,MATCH(C4366,($F$27:$F$36)*($D$27:$D$36&lt;&gt;0),0)),IF(OR(AND(D4366=0,B4366=0,B4367&lt;&gt;0),AND(D4366*D4365&lt;0,B4366&lt;&gt;0)),IF(D4366=0,C4366,C4366*(1-ABS(D4366)/(ABS(D4366)+ABS(D4365)))+C4365*(1-ABS(D4365)/(ABS(D4366)+ABS(D4365)))),"")))</f>
        <v>#NAME?</v>
      </c>
    </row>
    <row r="4367" spans="2:5" x14ac:dyDescent="0.25">
      <c r="B4367" t="e">
        <f t="shared" ca="1" si="137"/>
        <v>#NAME?</v>
      </c>
      <c r="C4367">
        <v>4324</v>
      </c>
      <c r="D4367" t="e">
        <f t="shared" ca="1" si="136"/>
        <v>#NAME?</v>
      </c>
      <c r="E4367" s="115" t="e">
        <f t="array" aca="1" ref="E4367" ca="1">IF(OR(C4366=0,AND(B4368=0,C4368=0)),"",IFERROR(INDEX($F$27:$F$36,MATCH(C4367,($F$27:$F$36)*($D$27:$D$36&lt;&gt;0),0)),IF(OR(AND(D4367=0,B4367=0,B4368&lt;&gt;0),AND(D4367*D4366&lt;0,B4367&lt;&gt;0)),IF(D4367=0,C4367,C4367*(1-ABS(D4367)/(ABS(D4367)+ABS(D4366)))+C4366*(1-ABS(D4366)/(ABS(D4367)+ABS(D4366)))),"")))</f>
        <v>#NAME?</v>
      </c>
    </row>
    <row r="4368" spans="2:5" x14ac:dyDescent="0.25">
      <c r="B4368" t="e">
        <f t="shared" ca="1" si="137"/>
        <v>#NAME?</v>
      </c>
      <c r="C4368">
        <v>4325</v>
      </c>
      <c r="D4368" t="e">
        <f t="shared" ca="1" si="136"/>
        <v>#NAME?</v>
      </c>
      <c r="E4368" s="115" t="e">
        <f t="array" aca="1" ref="E4368" ca="1">IF(OR(C4367=0,AND(B4369=0,C4369=0)),"",IFERROR(INDEX($F$27:$F$36,MATCH(C4368,($F$27:$F$36)*($D$27:$D$36&lt;&gt;0),0)),IF(OR(AND(D4368=0,B4368=0,B4369&lt;&gt;0),AND(D4368*D4367&lt;0,B4368&lt;&gt;0)),IF(D4368=0,C4368,C4368*(1-ABS(D4368)/(ABS(D4368)+ABS(D4367)))+C4367*(1-ABS(D4367)/(ABS(D4368)+ABS(D4367)))),"")))</f>
        <v>#NAME?</v>
      </c>
    </row>
    <row r="4369" spans="2:5" x14ac:dyDescent="0.25">
      <c r="B4369" t="e">
        <f t="shared" ca="1" si="137"/>
        <v>#NAME?</v>
      </c>
      <c r="C4369">
        <v>4326</v>
      </c>
      <c r="D4369" t="e">
        <f t="shared" ca="1" si="136"/>
        <v>#NAME?</v>
      </c>
      <c r="E4369" s="115" t="e">
        <f t="array" aca="1" ref="E4369" ca="1">IF(OR(C4368=0,AND(B4370=0,C4370=0)),"",IFERROR(INDEX($F$27:$F$36,MATCH(C4369,($F$27:$F$36)*($D$27:$D$36&lt;&gt;0),0)),IF(OR(AND(D4369=0,B4369=0,B4370&lt;&gt;0),AND(D4369*D4368&lt;0,B4369&lt;&gt;0)),IF(D4369=0,C4369,C4369*(1-ABS(D4369)/(ABS(D4369)+ABS(D4368)))+C4368*(1-ABS(D4368)/(ABS(D4369)+ABS(D4368)))),"")))</f>
        <v>#NAME?</v>
      </c>
    </row>
    <row r="4370" spans="2:5" x14ac:dyDescent="0.25">
      <c r="B4370" t="e">
        <f t="shared" ca="1" si="137"/>
        <v>#NAME?</v>
      </c>
      <c r="C4370">
        <v>4327</v>
      </c>
      <c r="D4370" t="e">
        <f t="shared" ca="1" si="136"/>
        <v>#NAME?</v>
      </c>
      <c r="E4370" s="115" t="e">
        <f t="array" aca="1" ref="E4370" ca="1">IF(OR(C4369=0,AND(B4371=0,C4371=0)),"",IFERROR(INDEX($F$27:$F$36,MATCH(C4370,($F$27:$F$36)*($D$27:$D$36&lt;&gt;0),0)),IF(OR(AND(D4370=0,B4370=0,B4371&lt;&gt;0),AND(D4370*D4369&lt;0,B4370&lt;&gt;0)),IF(D4370=0,C4370,C4370*(1-ABS(D4370)/(ABS(D4370)+ABS(D4369)))+C4369*(1-ABS(D4369)/(ABS(D4370)+ABS(D4369)))),"")))</f>
        <v>#NAME?</v>
      </c>
    </row>
    <row r="4371" spans="2:5" x14ac:dyDescent="0.25">
      <c r="B4371" t="e">
        <f t="shared" ca="1" si="137"/>
        <v>#NAME?</v>
      </c>
      <c r="C4371">
        <v>4328</v>
      </c>
      <c r="D4371" t="e">
        <f t="shared" ca="1" si="136"/>
        <v>#NAME?</v>
      </c>
      <c r="E4371" s="115" t="e">
        <f t="array" aca="1" ref="E4371" ca="1">IF(OR(C4370=0,AND(B4372=0,C4372=0)),"",IFERROR(INDEX($F$27:$F$36,MATCH(C4371,($F$27:$F$36)*($D$27:$D$36&lt;&gt;0),0)),IF(OR(AND(D4371=0,B4371=0,B4372&lt;&gt;0),AND(D4371*D4370&lt;0,B4371&lt;&gt;0)),IF(D4371=0,C4371,C4371*(1-ABS(D4371)/(ABS(D4371)+ABS(D4370)))+C4370*(1-ABS(D4370)/(ABS(D4371)+ABS(D4370)))),"")))</f>
        <v>#NAME?</v>
      </c>
    </row>
    <row r="4372" spans="2:5" x14ac:dyDescent="0.25">
      <c r="B4372" t="e">
        <f t="shared" ca="1" si="137"/>
        <v>#NAME?</v>
      </c>
      <c r="C4372">
        <v>4329</v>
      </c>
      <c r="D4372" t="e">
        <f t="shared" ca="1" si="136"/>
        <v>#NAME?</v>
      </c>
      <c r="E4372" s="115" t="e">
        <f t="array" aca="1" ref="E4372" ca="1">IF(OR(C4371=0,AND(B4373=0,C4373=0)),"",IFERROR(INDEX($F$27:$F$36,MATCH(C4372,($F$27:$F$36)*($D$27:$D$36&lt;&gt;0),0)),IF(OR(AND(D4372=0,B4372=0,B4373&lt;&gt;0),AND(D4372*D4371&lt;0,B4372&lt;&gt;0)),IF(D4372=0,C4372,C4372*(1-ABS(D4372)/(ABS(D4372)+ABS(D4371)))+C4371*(1-ABS(D4371)/(ABS(D4372)+ABS(D4371)))),"")))</f>
        <v>#NAME?</v>
      </c>
    </row>
    <row r="4373" spans="2:5" x14ac:dyDescent="0.25">
      <c r="B4373" t="e">
        <f t="shared" ca="1" si="137"/>
        <v>#NAME?</v>
      </c>
      <c r="C4373">
        <v>4330</v>
      </c>
      <c r="D4373" t="e">
        <f t="shared" ca="1" si="136"/>
        <v>#NAME?</v>
      </c>
      <c r="E4373" s="115" t="e">
        <f t="array" aca="1" ref="E4373" ca="1">IF(OR(C4372=0,AND(B4374=0,C4374=0)),"",IFERROR(INDEX($F$27:$F$36,MATCH(C4373,($F$27:$F$36)*($D$27:$D$36&lt;&gt;0),0)),IF(OR(AND(D4373=0,B4373=0,B4374&lt;&gt;0),AND(D4373*D4372&lt;0,B4373&lt;&gt;0)),IF(D4373=0,C4373,C4373*(1-ABS(D4373)/(ABS(D4373)+ABS(D4372)))+C4372*(1-ABS(D4372)/(ABS(D4373)+ABS(D4372)))),"")))</f>
        <v>#NAME?</v>
      </c>
    </row>
    <row r="4374" spans="2:5" x14ac:dyDescent="0.25">
      <c r="B4374" t="e">
        <f t="shared" ca="1" si="137"/>
        <v>#NAME?</v>
      </c>
      <c r="C4374">
        <v>4331</v>
      </c>
      <c r="D4374" t="e">
        <f t="shared" ca="1" si="136"/>
        <v>#NAME?</v>
      </c>
      <c r="E4374" s="115" t="e">
        <f t="array" aca="1" ref="E4374" ca="1">IF(OR(C4373=0,AND(B4375=0,C4375=0)),"",IFERROR(INDEX($F$27:$F$36,MATCH(C4374,($F$27:$F$36)*($D$27:$D$36&lt;&gt;0),0)),IF(OR(AND(D4374=0,B4374=0,B4375&lt;&gt;0),AND(D4374*D4373&lt;0,B4374&lt;&gt;0)),IF(D4374=0,C4374,C4374*(1-ABS(D4374)/(ABS(D4374)+ABS(D4373)))+C4373*(1-ABS(D4373)/(ABS(D4374)+ABS(D4373)))),"")))</f>
        <v>#NAME?</v>
      </c>
    </row>
    <row r="4375" spans="2:5" x14ac:dyDescent="0.25">
      <c r="B4375" t="e">
        <f t="shared" ca="1" si="137"/>
        <v>#NAME?</v>
      </c>
      <c r="C4375">
        <v>4332</v>
      </c>
      <c r="D4375" t="e">
        <f t="shared" ca="1" si="136"/>
        <v>#NAME?</v>
      </c>
      <c r="E4375" s="115" t="e">
        <f t="array" aca="1" ref="E4375" ca="1">IF(OR(C4374=0,AND(B4376=0,C4376=0)),"",IFERROR(INDEX($F$27:$F$36,MATCH(C4375,($F$27:$F$36)*($D$27:$D$36&lt;&gt;0),0)),IF(OR(AND(D4375=0,B4375=0,B4376&lt;&gt;0),AND(D4375*D4374&lt;0,B4375&lt;&gt;0)),IF(D4375=0,C4375,C4375*(1-ABS(D4375)/(ABS(D4375)+ABS(D4374)))+C4374*(1-ABS(D4374)/(ABS(D4375)+ABS(D4374)))),"")))</f>
        <v>#NAME?</v>
      </c>
    </row>
    <row r="4376" spans="2:5" x14ac:dyDescent="0.25">
      <c r="B4376" t="e">
        <f t="shared" ca="1" si="137"/>
        <v>#NAME?</v>
      </c>
      <c r="C4376">
        <v>4333</v>
      </c>
      <c r="D4376" t="e">
        <f t="shared" ca="1" si="136"/>
        <v>#NAME?</v>
      </c>
      <c r="E4376" s="115" t="e">
        <f t="array" aca="1" ref="E4376" ca="1">IF(OR(C4375=0,AND(B4377=0,C4377=0)),"",IFERROR(INDEX($F$27:$F$36,MATCH(C4376,($F$27:$F$36)*($D$27:$D$36&lt;&gt;0),0)),IF(OR(AND(D4376=0,B4376=0,B4377&lt;&gt;0),AND(D4376*D4375&lt;0,B4376&lt;&gt;0)),IF(D4376=0,C4376,C4376*(1-ABS(D4376)/(ABS(D4376)+ABS(D4375)))+C4375*(1-ABS(D4375)/(ABS(D4376)+ABS(D4375)))),"")))</f>
        <v>#NAME?</v>
      </c>
    </row>
    <row r="4377" spans="2:5" x14ac:dyDescent="0.25">
      <c r="B4377" t="e">
        <f t="shared" ca="1" si="137"/>
        <v>#NAME?</v>
      </c>
      <c r="C4377">
        <v>4334</v>
      </c>
      <c r="D4377" t="e">
        <f t="shared" ca="1" si="136"/>
        <v>#NAME?</v>
      </c>
      <c r="E4377" s="115" t="e">
        <f t="array" aca="1" ref="E4377" ca="1">IF(OR(C4376=0,AND(B4378=0,C4378=0)),"",IFERROR(INDEX($F$27:$F$36,MATCH(C4377,($F$27:$F$36)*($D$27:$D$36&lt;&gt;0),0)),IF(OR(AND(D4377=0,B4377=0,B4378&lt;&gt;0),AND(D4377*D4376&lt;0,B4377&lt;&gt;0)),IF(D4377=0,C4377,C4377*(1-ABS(D4377)/(ABS(D4377)+ABS(D4376)))+C4376*(1-ABS(D4376)/(ABS(D4377)+ABS(D4376)))),"")))</f>
        <v>#NAME?</v>
      </c>
    </row>
    <row r="4378" spans="2:5" x14ac:dyDescent="0.25">
      <c r="B4378" t="e">
        <f t="shared" ca="1" si="137"/>
        <v>#NAME?</v>
      </c>
      <c r="C4378">
        <v>4335</v>
      </c>
      <c r="D4378" t="e">
        <f t="shared" ca="1" si="136"/>
        <v>#NAME?</v>
      </c>
      <c r="E4378" s="115" t="e">
        <f t="array" aca="1" ref="E4378" ca="1">IF(OR(C4377=0,AND(B4379=0,C4379=0)),"",IFERROR(INDEX($F$27:$F$36,MATCH(C4378,($F$27:$F$36)*($D$27:$D$36&lt;&gt;0),0)),IF(OR(AND(D4378=0,B4378=0,B4379&lt;&gt;0),AND(D4378*D4377&lt;0,B4378&lt;&gt;0)),IF(D4378=0,C4378,C4378*(1-ABS(D4378)/(ABS(D4378)+ABS(D4377)))+C4377*(1-ABS(D4377)/(ABS(D4378)+ABS(D4377)))),"")))</f>
        <v>#NAME?</v>
      </c>
    </row>
    <row r="4379" spans="2:5" x14ac:dyDescent="0.25">
      <c r="B4379" t="e">
        <f t="shared" ca="1" si="137"/>
        <v>#NAME?</v>
      </c>
      <c r="C4379">
        <v>4336</v>
      </c>
      <c r="D4379" t="e">
        <f t="shared" ca="1" si="136"/>
        <v>#NAME?</v>
      </c>
      <c r="E4379" s="115" t="e">
        <f t="array" aca="1" ref="E4379" ca="1">IF(OR(C4378=0,AND(B4380=0,C4380=0)),"",IFERROR(INDEX($F$27:$F$36,MATCH(C4379,($F$27:$F$36)*($D$27:$D$36&lt;&gt;0),0)),IF(OR(AND(D4379=0,B4379=0,B4380&lt;&gt;0),AND(D4379*D4378&lt;0,B4379&lt;&gt;0)),IF(D4379=0,C4379,C4379*(1-ABS(D4379)/(ABS(D4379)+ABS(D4378)))+C4378*(1-ABS(D4378)/(ABS(D4379)+ABS(D4378)))),"")))</f>
        <v>#NAME?</v>
      </c>
    </row>
    <row r="4380" spans="2:5" x14ac:dyDescent="0.25">
      <c r="B4380" t="e">
        <f t="shared" ca="1" si="137"/>
        <v>#NAME?</v>
      </c>
      <c r="C4380">
        <v>4337</v>
      </c>
      <c r="D4380" t="e">
        <f t="shared" ca="1" si="136"/>
        <v>#NAME?</v>
      </c>
      <c r="E4380" s="115" t="e">
        <f t="array" aca="1" ref="E4380" ca="1">IF(OR(C4379=0,AND(B4381=0,C4381=0)),"",IFERROR(INDEX($F$27:$F$36,MATCH(C4380,($F$27:$F$36)*($D$27:$D$36&lt;&gt;0),0)),IF(OR(AND(D4380=0,B4380=0,B4381&lt;&gt;0),AND(D4380*D4379&lt;0,B4380&lt;&gt;0)),IF(D4380=0,C4380,C4380*(1-ABS(D4380)/(ABS(D4380)+ABS(D4379)))+C4379*(1-ABS(D4379)/(ABS(D4380)+ABS(D4379)))),"")))</f>
        <v>#NAME?</v>
      </c>
    </row>
    <row r="4381" spans="2:5" x14ac:dyDescent="0.25">
      <c r="B4381" t="e">
        <f t="shared" ca="1" si="137"/>
        <v>#NAME?</v>
      </c>
      <c r="C4381">
        <v>4338</v>
      </c>
      <c r="D4381" t="e">
        <f t="shared" ca="1" si="136"/>
        <v>#NAME?</v>
      </c>
      <c r="E4381" s="115" t="e">
        <f t="array" aca="1" ref="E4381" ca="1">IF(OR(C4380=0,AND(B4382=0,C4382=0)),"",IFERROR(INDEX($F$27:$F$36,MATCH(C4381,($F$27:$F$36)*($D$27:$D$36&lt;&gt;0),0)),IF(OR(AND(D4381=0,B4381=0,B4382&lt;&gt;0),AND(D4381*D4380&lt;0,B4381&lt;&gt;0)),IF(D4381=0,C4381,C4381*(1-ABS(D4381)/(ABS(D4381)+ABS(D4380)))+C4380*(1-ABS(D4380)/(ABS(D4381)+ABS(D4380)))),"")))</f>
        <v>#NAME?</v>
      </c>
    </row>
    <row r="4382" spans="2:5" x14ac:dyDescent="0.25">
      <c r="B4382" t="e">
        <f t="shared" ca="1" si="137"/>
        <v>#NAME?</v>
      </c>
      <c r="C4382">
        <v>4339</v>
      </c>
      <c r="D4382" t="e">
        <f t="shared" ca="1" si="136"/>
        <v>#NAME?</v>
      </c>
      <c r="E4382" s="115" t="e">
        <f t="array" aca="1" ref="E4382" ca="1">IF(OR(C4381=0,AND(B4383=0,C4383=0)),"",IFERROR(INDEX($F$27:$F$36,MATCH(C4382,($F$27:$F$36)*($D$27:$D$36&lt;&gt;0),0)),IF(OR(AND(D4382=0,B4382=0,B4383&lt;&gt;0),AND(D4382*D4381&lt;0,B4382&lt;&gt;0)),IF(D4382=0,C4382,C4382*(1-ABS(D4382)/(ABS(D4382)+ABS(D4381)))+C4381*(1-ABS(D4381)/(ABS(D4382)+ABS(D4381)))),"")))</f>
        <v>#NAME?</v>
      </c>
    </row>
    <row r="4383" spans="2:5" x14ac:dyDescent="0.25">
      <c r="B4383" t="e">
        <f t="shared" ca="1" si="137"/>
        <v>#NAME?</v>
      </c>
      <c r="C4383">
        <v>4340</v>
      </c>
      <c r="D4383" t="e">
        <f t="shared" ca="1" si="136"/>
        <v>#NAME?</v>
      </c>
      <c r="E4383" s="115" t="e">
        <f t="array" aca="1" ref="E4383" ca="1">IF(OR(C4382=0,AND(B4384=0,C4384=0)),"",IFERROR(INDEX($F$27:$F$36,MATCH(C4383,($F$27:$F$36)*($D$27:$D$36&lt;&gt;0),0)),IF(OR(AND(D4383=0,B4383=0,B4384&lt;&gt;0),AND(D4383*D4382&lt;0,B4383&lt;&gt;0)),IF(D4383=0,C4383,C4383*(1-ABS(D4383)/(ABS(D4383)+ABS(D4382)))+C4382*(1-ABS(D4382)/(ABS(D4383)+ABS(D4382)))),"")))</f>
        <v>#NAME?</v>
      </c>
    </row>
    <row r="4384" spans="2:5" x14ac:dyDescent="0.25">
      <c r="B4384" t="e">
        <f t="shared" ca="1" si="137"/>
        <v>#NAME?</v>
      </c>
      <c r="C4384">
        <v>4341</v>
      </c>
      <c r="D4384" t="e">
        <f t="shared" ca="1" si="136"/>
        <v>#NAME?</v>
      </c>
      <c r="E4384" s="115" t="e">
        <f t="array" aca="1" ref="E4384" ca="1">IF(OR(C4383=0,AND(B4385=0,C4385=0)),"",IFERROR(INDEX($F$27:$F$36,MATCH(C4384,($F$27:$F$36)*($D$27:$D$36&lt;&gt;0),0)),IF(OR(AND(D4384=0,B4384=0,B4385&lt;&gt;0),AND(D4384*D4383&lt;0,B4384&lt;&gt;0)),IF(D4384=0,C4384,C4384*(1-ABS(D4384)/(ABS(D4384)+ABS(D4383)))+C4383*(1-ABS(D4383)/(ABS(D4384)+ABS(D4383)))),"")))</f>
        <v>#NAME?</v>
      </c>
    </row>
    <row r="4385" spans="2:5" x14ac:dyDescent="0.25">
      <c r="B4385" t="e">
        <f t="shared" ca="1" si="137"/>
        <v>#NAME?</v>
      </c>
      <c r="C4385">
        <v>4342</v>
      </c>
      <c r="D4385" t="e">
        <f t="shared" ca="1" si="136"/>
        <v>#NAME?</v>
      </c>
      <c r="E4385" s="115" t="e">
        <f t="array" aca="1" ref="E4385" ca="1">IF(OR(C4384=0,AND(B4386=0,C4386=0)),"",IFERROR(INDEX($F$27:$F$36,MATCH(C4385,($F$27:$F$36)*($D$27:$D$36&lt;&gt;0),0)),IF(OR(AND(D4385=0,B4385=0,B4386&lt;&gt;0),AND(D4385*D4384&lt;0,B4385&lt;&gt;0)),IF(D4385=0,C4385,C4385*(1-ABS(D4385)/(ABS(D4385)+ABS(D4384)))+C4384*(1-ABS(D4384)/(ABS(D4385)+ABS(D4384)))),"")))</f>
        <v>#NAME?</v>
      </c>
    </row>
    <row r="4386" spans="2:5" x14ac:dyDescent="0.25">
      <c r="B4386" t="e">
        <f t="shared" ca="1" si="137"/>
        <v>#NAME?</v>
      </c>
      <c r="C4386">
        <v>4343</v>
      </c>
      <c r="D4386" t="e">
        <f t="shared" ca="1" si="136"/>
        <v>#NAME?</v>
      </c>
      <c r="E4386" s="115" t="e">
        <f t="array" aca="1" ref="E4386" ca="1">IF(OR(C4385=0,AND(B4387=0,C4387=0)),"",IFERROR(INDEX($F$27:$F$36,MATCH(C4386,($F$27:$F$36)*($D$27:$D$36&lt;&gt;0),0)),IF(OR(AND(D4386=0,B4386=0,B4387&lt;&gt;0),AND(D4386*D4385&lt;0,B4386&lt;&gt;0)),IF(D4386=0,C4386,C4386*(1-ABS(D4386)/(ABS(D4386)+ABS(D4385)))+C4385*(1-ABS(D4385)/(ABS(D4386)+ABS(D4385)))),"")))</f>
        <v>#NAME?</v>
      </c>
    </row>
    <row r="4387" spans="2:5" x14ac:dyDescent="0.25">
      <c r="B4387" t="e">
        <f t="shared" ca="1" si="137"/>
        <v>#NAME?</v>
      </c>
      <c r="C4387">
        <v>4344</v>
      </c>
      <c r="D4387" t="e">
        <f t="shared" ca="1" si="136"/>
        <v>#NAME?</v>
      </c>
      <c r="E4387" s="115" t="e">
        <f t="array" aca="1" ref="E4387" ca="1">IF(OR(C4386=0,AND(B4388=0,C4388=0)),"",IFERROR(INDEX($F$27:$F$36,MATCH(C4387,($F$27:$F$36)*($D$27:$D$36&lt;&gt;0),0)),IF(OR(AND(D4387=0,B4387=0,B4388&lt;&gt;0),AND(D4387*D4386&lt;0,B4387&lt;&gt;0)),IF(D4387=0,C4387,C4387*(1-ABS(D4387)/(ABS(D4387)+ABS(D4386)))+C4386*(1-ABS(D4386)/(ABS(D4387)+ABS(D4386)))),"")))</f>
        <v>#NAME?</v>
      </c>
    </row>
    <row r="4388" spans="2:5" x14ac:dyDescent="0.25">
      <c r="B4388" t="e">
        <f t="shared" ca="1" si="137"/>
        <v>#NAME?</v>
      </c>
      <c r="C4388">
        <v>4345</v>
      </c>
      <c r="D4388" t="e">
        <f t="shared" ca="1" si="136"/>
        <v>#NAME?</v>
      </c>
      <c r="E4388" s="115" t="e">
        <f t="array" aca="1" ref="E4388" ca="1">IF(OR(C4387=0,AND(B4389=0,C4389=0)),"",IFERROR(INDEX($F$27:$F$36,MATCH(C4388,($F$27:$F$36)*($D$27:$D$36&lt;&gt;0),0)),IF(OR(AND(D4388=0,B4388=0,B4389&lt;&gt;0),AND(D4388*D4387&lt;0,B4388&lt;&gt;0)),IF(D4388=0,C4388,C4388*(1-ABS(D4388)/(ABS(D4388)+ABS(D4387)))+C4387*(1-ABS(D4387)/(ABS(D4388)+ABS(D4387)))),"")))</f>
        <v>#NAME?</v>
      </c>
    </row>
    <row r="4389" spans="2:5" x14ac:dyDescent="0.25">
      <c r="B4389" t="e">
        <f t="shared" ca="1" si="137"/>
        <v>#NAME?</v>
      </c>
      <c r="C4389">
        <v>4346</v>
      </c>
      <c r="D4389" t="e">
        <f t="shared" ca="1" si="136"/>
        <v>#NAME?</v>
      </c>
      <c r="E4389" s="115" t="e">
        <f t="array" aca="1" ref="E4389" ca="1">IF(OR(C4388=0,AND(B4390=0,C4390=0)),"",IFERROR(INDEX($F$27:$F$36,MATCH(C4389,($F$27:$F$36)*($D$27:$D$36&lt;&gt;0),0)),IF(OR(AND(D4389=0,B4389=0,B4390&lt;&gt;0),AND(D4389*D4388&lt;0,B4389&lt;&gt;0)),IF(D4389=0,C4389,C4389*(1-ABS(D4389)/(ABS(D4389)+ABS(D4388)))+C4388*(1-ABS(D4388)/(ABS(D4389)+ABS(D4388)))),"")))</f>
        <v>#NAME?</v>
      </c>
    </row>
    <row r="4390" spans="2:5" x14ac:dyDescent="0.25">
      <c r="B4390" t="e">
        <f t="shared" ca="1" si="137"/>
        <v>#NAME?</v>
      </c>
      <c r="C4390">
        <v>4347</v>
      </c>
      <c r="D4390" t="e">
        <f t="shared" ca="1" si="136"/>
        <v>#NAME?</v>
      </c>
      <c r="E4390" s="115" t="e">
        <f t="array" aca="1" ref="E4390" ca="1">IF(OR(C4389=0,AND(B4391=0,C4391=0)),"",IFERROR(INDEX($F$27:$F$36,MATCH(C4390,($F$27:$F$36)*($D$27:$D$36&lt;&gt;0),0)),IF(OR(AND(D4390=0,B4390=0,B4391&lt;&gt;0),AND(D4390*D4389&lt;0,B4390&lt;&gt;0)),IF(D4390=0,C4390,C4390*(1-ABS(D4390)/(ABS(D4390)+ABS(D4389)))+C4389*(1-ABS(D4389)/(ABS(D4390)+ABS(D4389)))),"")))</f>
        <v>#NAME?</v>
      </c>
    </row>
    <row r="4391" spans="2:5" x14ac:dyDescent="0.25">
      <c r="B4391" t="e">
        <f t="shared" ca="1" si="137"/>
        <v>#NAME?</v>
      </c>
      <c r="C4391">
        <v>4348</v>
      </c>
      <c r="D4391" t="e">
        <f t="shared" ca="1" si="136"/>
        <v>#NAME?</v>
      </c>
      <c r="E4391" s="115" t="e">
        <f t="array" aca="1" ref="E4391" ca="1">IF(OR(C4390=0,AND(B4392=0,C4392=0)),"",IFERROR(INDEX($F$27:$F$36,MATCH(C4391,($F$27:$F$36)*($D$27:$D$36&lt;&gt;0),0)),IF(OR(AND(D4391=0,B4391=0,B4392&lt;&gt;0),AND(D4391*D4390&lt;0,B4391&lt;&gt;0)),IF(D4391=0,C4391,C4391*(1-ABS(D4391)/(ABS(D4391)+ABS(D4390)))+C4390*(1-ABS(D4390)/(ABS(D4391)+ABS(D4390)))),"")))</f>
        <v>#NAME?</v>
      </c>
    </row>
    <row r="4392" spans="2:5" x14ac:dyDescent="0.25">
      <c r="B4392" t="e">
        <f t="shared" ca="1" si="137"/>
        <v>#NAME?</v>
      </c>
      <c r="C4392">
        <v>4349</v>
      </c>
      <c r="D4392" t="e">
        <f t="shared" ca="1" si="136"/>
        <v>#NAME?</v>
      </c>
      <c r="E4392" s="115" t="e">
        <f t="array" aca="1" ref="E4392" ca="1">IF(OR(C4391=0,AND(B4393=0,C4393=0)),"",IFERROR(INDEX($F$27:$F$36,MATCH(C4392,($F$27:$F$36)*($D$27:$D$36&lt;&gt;0),0)),IF(OR(AND(D4392=0,B4392=0,B4393&lt;&gt;0),AND(D4392*D4391&lt;0,B4392&lt;&gt;0)),IF(D4392=0,C4392,C4392*(1-ABS(D4392)/(ABS(D4392)+ABS(D4391)))+C4391*(1-ABS(D4391)/(ABS(D4392)+ABS(D4391)))),"")))</f>
        <v>#NAME?</v>
      </c>
    </row>
    <row r="4393" spans="2:5" x14ac:dyDescent="0.25">
      <c r="B4393" t="e">
        <f t="shared" ca="1" si="137"/>
        <v>#NAME?</v>
      </c>
      <c r="C4393">
        <v>4350</v>
      </c>
      <c r="D4393" t="e">
        <f t="shared" ca="1" si="136"/>
        <v>#NAME?</v>
      </c>
      <c r="E4393" s="115" t="e">
        <f t="array" aca="1" ref="E4393" ca="1">IF(OR(C4392=0,AND(B4394=0,C4394=0)),"",IFERROR(INDEX($F$27:$F$36,MATCH(C4393,($F$27:$F$36)*($D$27:$D$36&lt;&gt;0),0)),IF(OR(AND(D4393=0,B4393=0,B4394&lt;&gt;0),AND(D4393*D4392&lt;0,B4393&lt;&gt;0)),IF(D4393=0,C4393,C4393*(1-ABS(D4393)/(ABS(D4393)+ABS(D4392)))+C4392*(1-ABS(D4392)/(ABS(D4393)+ABS(D4392)))),"")))</f>
        <v>#NAME?</v>
      </c>
    </row>
    <row r="4394" spans="2:5" x14ac:dyDescent="0.25">
      <c r="B4394" t="e">
        <f t="shared" ca="1" si="137"/>
        <v>#NAME?</v>
      </c>
      <c r="C4394">
        <v>4351</v>
      </c>
      <c r="D4394" t="e">
        <f t="shared" ca="1" si="136"/>
        <v>#NAME?</v>
      </c>
      <c r="E4394" s="115" t="e">
        <f t="array" aca="1" ref="E4394" ca="1">IF(OR(C4393=0,AND(B4395=0,C4395=0)),"",IFERROR(INDEX($F$27:$F$36,MATCH(C4394,($F$27:$F$36)*($D$27:$D$36&lt;&gt;0),0)),IF(OR(AND(D4394=0,B4394=0,B4395&lt;&gt;0),AND(D4394*D4393&lt;0,B4394&lt;&gt;0)),IF(D4394=0,C4394,C4394*(1-ABS(D4394)/(ABS(D4394)+ABS(D4393)))+C4393*(1-ABS(D4393)/(ABS(D4394)+ABS(D4393)))),"")))</f>
        <v>#NAME?</v>
      </c>
    </row>
    <row r="4395" spans="2:5" x14ac:dyDescent="0.25">
      <c r="B4395" t="e">
        <f t="shared" ca="1" si="137"/>
        <v>#NAME?</v>
      </c>
      <c r="C4395">
        <v>4352</v>
      </c>
      <c r="D4395" t="e">
        <f t="shared" ref="D4395:D4458" ca="1" si="138">SUMPRODUCT(--($J$27:$J$37&gt;0),--($C4395-$F$27:$F$37&gt;0),($D$27:$D$37),($C4395-$F$27:$F$37))+SUMPRODUCT(--($J$27:$J$37&lt;0),--($F$27:$F$37-$C4395&gt;0),($D$27:$D$37),($F$27:$F$37-$C4395))-SUMPRODUCT($D$27:$D$37,$E$27:$E$37)</f>
        <v>#NAME?</v>
      </c>
      <c r="E4395" s="115" t="e">
        <f t="array" aca="1" ref="E4395" ca="1">IF(OR(C4394=0,AND(B4396=0,C4396=0)),"",IFERROR(INDEX($F$27:$F$36,MATCH(C4395,($F$27:$F$36)*($D$27:$D$36&lt;&gt;0),0)),IF(OR(AND(D4395=0,B4395=0,B4396&lt;&gt;0),AND(D4395*D4394&lt;0,B4395&lt;&gt;0)),IF(D4395=0,C4395,C4395*(1-ABS(D4395)/(ABS(D4395)+ABS(D4394)))+C4394*(1-ABS(D4394)/(ABS(D4395)+ABS(D4394)))),"")))</f>
        <v>#NAME?</v>
      </c>
    </row>
    <row r="4396" spans="2:5" x14ac:dyDescent="0.25">
      <c r="B4396" t="e">
        <f t="shared" ref="B4396:B4459" ca="1" si="139">ROUND((D4396-D4395)/(C4396-C4395),12)</f>
        <v>#NAME?</v>
      </c>
      <c r="C4396">
        <v>4353</v>
      </c>
      <c r="D4396" t="e">
        <f t="shared" ca="1" si="138"/>
        <v>#NAME?</v>
      </c>
      <c r="E4396" s="115" t="e">
        <f t="array" aca="1" ref="E4396" ca="1">IF(OR(C4395=0,AND(B4397=0,C4397=0)),"",IFERROR(INDEX($F$27:$F$36,MATCH(C4396,($F$27:$F$36)*($D$27:$D$36&lt;&gt;0),0)),IF(OR(AND(D4396=0,B4396=0,B4397&lt;&gt;0),AND(D4396*D4395&lt;0,B4396&lt;&gt;0)),IF(D4396=0,C4396,C4396*(1-ABS(D4396)/(ABS(D4396)+ABS(D4395)))+C4395*(1-ABS(D4395)/(ABS(D4396)+ABS(D4395)))),"")))</f>
        <v>#NAME?</v>
      </c>
    </row>
    <row r="4397" spans="2:5" x14ac:dyDescent="0.25">
      <c r="B4397" t="e">
        <f t="shared" ca="1" si="139"/>
        <v>#NAME?</v>
      </c>
      <c r="C4397">
        <v>4354</v>
      </c>
      <c r="D4397" t="e">
        <f t="shared" ca="1" si="138"/>
        <v>#NAME?</v>
      </c>
      <c r="E4397" s="115" t="e">
        <f t="array" aca="1" ref="E4397" ca="1">IF(OR(C4396=0,AND(B4398=0,C4398=0)),"",IFERROR(INDEX($F$27:$F$36,MATCH(C4397,($F$27:$F$36)*($D$27:$D$36&lt;&gt;0),0)),IF(OR(AND(D4397=0,B4397=0,B4398&lt;&gt;0),AND(D4397*D4396&lt;0,B4397&lt;&gt;0)),IF(D4397=0,C4397,C4397*(1-ABS(D4397)/(ABS(D4397)+ABS(D4396)))+C4396*(1-ABS(D4396)/(ABS(D4397)+ABS(D4396)))),"")))</f>
        <v>#NAME?</v>
      </c>
    </row>
    <row r="4398" spans="2:5" x14ac:dyDescent="0.25">
      <c r="B4398" t="e">
        <f t="shared" ca="1" si="139"/>
        <v>#NAME?</v>
      </c>
      <c r="C4398">
        <v>4355</v>
      </c>
      <c r="D4398" t="e">
        <f t="shared" ca="1" si="138"/>
        <v>#NAME?</v>
      </c>
      <c r="E4398" s="115" t="e">
        <f t="array" aca="1" ref="E4398" ca="1">IF(OR(C4397=0,AND(B4399=0,C4399=0)),"",IFERROR(INDEX($F$27:$F$36,MATCH(C4398,($F$27:$F$36)*($D$27:$D$36&lt;&gt;0),0)),IF(OR(AND(D4398=0,B4398=0,B4399&lt;&gt;0),AND(D4398*D4397&lt;0,B4398&lt;&gt;0)),IF(D4398=0,C4398,C4398*(1-ABS(D4398)/(ABS(D4398)+ABS(D4397)))+C4397*(1-ABS(D4397)/(ABS(D4398)+ABS(D4397)))),"")))</f>
        <v>#NAME?</v>
      </c>
    </row>
    <row r="4399" spans="2:5" x14ac:dyDescent="0.25">
      <c r="B4399" t="e">
        <f t="shared" ca="1" si="139"/>
        <v>#NAME?</v>
      </c>
      <c r="C4399">
        <v>4356</v>
      </c>
      <c r="D4399" t="e">
        <f t="shared" ca="1" si="138"/>
        <v>#NAME?</v>
      </c>
      <c r="E4399" s="115" t="e">
        <f t="array" aca="1" ref="E4399" ca="1">IF(OR(C4398=0,AND(B4400=0,C4400=0)),"",IFERROR(INDEX($F$27:$F$36,MATCH(C4399,($F$27:$F$36)*($D$27:$D$36&lt;&gt;0),0)),IF(OR(AND(D4399=0,B4399=0,B4400&lt;&gt;0),AND(D4399*D4398&lt;0,B4399&lt;&gt;0)),IF(D4399=0,C4399,C4399*(1-ABS(D4399)/(ABS(D4399)+ABS(D4398)))+C4398*(1-ABS(D4398)/(ABS(D4399)+ABS(D4398)))),"")))</f>
        <v>#NAME?</v>
      </c>
    </row>
    <row r="4400" spans="2:5" x14ac:dyDescent="0.25">
      <c r="B4400" t="e">
        <f t="shared" ca="1" si="139"/>
        <v>#NAME?</v>
      </c>
      <c r="C4400">
        <v>4357</v>
      </c>
      <c r="D4400" t="e">
        <f t="shared" ca="1" si="138"/>
        <v>#NAME?</v>
      </c>
      <c r="E4400" s="115" t="e">
        <f t="array" aca="1" ref="E4400" ca="1">IF(OR(C4399=0,AND(B4401=0,C4401=0)),"",IFERROR(INDEX($F$27:$F$36,MATCH(C4400,($F$27:$F$36)*($D$27:$D$36&lt;&gt;0),0)),IF(OR(AND(D4400=0,B4400=0,B4401&lt;&gt;0),AND(D4400*D4399&lt;0,B4400&lt;&gt;0)),IF(D4400=0,C4400,C4400*(1-ABS(D4400)/(ABS(D4400)+ABS(D4399)))+C4399*(1-ABS(D4399)/(ABS(D4400)+ABS(D4399)))),"")))</f>
        <v>#NAME?</v>
      </c>
    </row>
    <row r="4401" spans="2:5" x14ac:dyDescent="0.25">
      <c r="B4401" t="e">
        <f t="shared" ca="1" si="139"/>
        <v>#NAME?</v>
      </c>
      <c r="C4401">
        <v>4358</v>
      </c>
      <c r="D4401" t="e">
        <f t="shared" ca="1" si="138"/>
        <v>#NAME?</v>
      </c>
      <c r="E4401" s="115" t="e">
        <f t="array" aca="1" ref="E4401" ca="1">IF(OR(C4400=0,AND(B4402=0,C4402=0)),"",IFERROR(INDEX($F$27:$F$36,MATCH(C4401,($F$27:$F$36)*($D$27:$D$36&lt;&gt;0),0)),IF(OR(AND(D4401=0,B4401=0,B4402&lt;&gt;0),AND(D4401*D4400&lt;0,B4401&lt;&gt;0)),IF(D4401=0,C4401,C4401*(1-ABS(D4401)/(ABS(D4401)+ABS(D4400)))+C4400*(1-ABS(D4400)/(ABS(D4401)+ABS(D4400)))),"")))</f>
        <v>#NAME?</v>
      </c>
    </row>
    <row r="4402" spans="2:5" x14ac:dyDescent="0.25">
      <c r="B4402" t="e">
        <f t="shared" ca="1" si="139"/>
        <v>#NAME?</v>
      </c>
      <c r="C4402">
        <v>4359</v>
      </c>
      <c r="D4402" t="e">
        <f t="shared" ca="1" si="138"/>
        <v>#NAME?</v>
      </c>
      <c r="E4402" s="115" t="e">
        <f t="array" aca="1" ref="E4402" ca="1">IF(OR(C4401=0,AND(B4403=0,C4403=0)),"",IFERROR(INDEX($F$27:$F$36,MATCH(C4402,($F$27:$F$36)*($D$27:$D$36&lt;&gt;0),0)),IF(OR(AND(D4402=0,B4402=0,B4403&lt;&gt;0),AND(D4402*D4401&lt;0,B4402&lt;&gt;0)),IF(D4402=0,C4402,C4402*(1-ABS(D4402)/(ABS(D4402)+ABS(D4401)))+C4401*(1-ABS(D4401)/(ABS(D4402)+ABS(D4401)))),"")))</f>
        <v>#NAME?</v>
      </c>
    </row>
    <row r="4403" spans="2:5" x14ac:dyDescent="0.25">
      <c r="B4403" t="e">
        <f t="shared" ca="1" si="139"/>
        <v>#NAME?</v>
      </c>
      <c r="C4403">
        <v>4360</v>
      </c>
      <c r="D4403" t="e">
        <f t="shared" ca="1" si="138"/>
        <v>#NAME?</v>
      </c>
      <c r="E4403" s="115" t="e">
        <f t="array" aca="1" ref="E4403" ca="1">IF(OR(C4402=0,AND(B4404=0,C4404=0)),"",IFERROR(INDEX($F$27:$F$36,MATCH(C4403,($F$27:$F$36)*($D$27:$D$36&lt;&gt;0),0)),IF(OR(AND(D4403=0,B4403=0,B4404&lt;&gt;0),AND(D4403*D4402&lt;0,B4403&lt;&gt;0)),IF(D4403=0,C4403,C4403*(1-ABS(D4403)/(ABS(D4403)+ABS(D4402)))+C4402*(1-ABS(D4402)/(ABS(D4403)+ABS(D4402)))),"")))</f>
        <v>#NAME?</v>
      </c>
    </row>
    <row r="4404" spans="2:5" x14ac:dyDescent="0.25">
      <c r="B4404" t="e">
        <f t="shared" ca="1" si="139"/>
        <v>#NAME?</v>
      </c>
      <c r="C4404">
        <v>4361</v>
      </c>
      <c r="D4404" t="e">
        <f t="shared" ca="1" si="138"/>
        <v>#NAME?</v>
      </c>
      <c r="E4404" s="115" t="e">
        <f t="array" aca="1" ref="E4404" ca="1">IF(OR(C4403=0,AND(B4405=0,C4405=0)),"",IFERROR(INDEX($F$27:$F$36,MATCH(C4404,($F$27:$F$36)*($D$27:$D$36&lt;&gt;0),0)),IF(OR(AND(D4404=0,B4404=0,B4405&lt;&gt;0),AND(D4404*D4403&lt;0,B4404&lt;&gt;0)),IF(D4404=0,C4404,C4404*(1-ABS(D4404)/(ABS(D4404)+ABS(D4403)))+C4403*(1-ABS(D4403)/(ABS(D4404)+ABS(D4403)))),"")))</f>
        <v>#NAME?</v>
      </c>
    </row>
    <row r="4405" spans="2:5" x14ac:dyDescent="0.25">
      <c r="B4405" t="e">
        <f t="shared" ca="1" si="139"/>
        <v>#NAME?</v>
      </c>
      <c r="C4405">
        <v>4362</v>
      </c>
      <c r="D4405" t="e">
        <f t="shared" ca="1" si="138"/>
        <v>#NAME?</v>
      </c>
      <c r="E4405" s="115" t="e">
        <f t="array" aca="1" ref="E4405" ca="1">IF(OR(C4404=0,AND(B4406=0,C4406=0)),"",IFERROR(INDEX($F$27:$F$36,MATCH(C4405,($F$27:$F$36)*($D$27:$D$36&lt;&gt;0),0)),IF(OR(AND(D4405=0,B4405=0,B4406&lt;&gt;0),AND(D4405*D4404&lt;0,B4405&lt;&gt;0)),IF(D4405=0,C4405,C4405*(1-ABS(D4405)/(ABS(D4405)+ABS(D4404)))+C4404*(1-ABS(D4404)/(ABS(D4405)+ABS(D4404)))),"")))</f>
        <v>#NAME?</v>
      </c>
    </row>
    <row r="4406" spans="2:5" x14ac:dyDescent="0.25">
      <c r="B4406" t="e">
        <f t="shared" ca="1" si="139"/>
        <v>#NAME?</v>
      </c>
      <c r="C4406">
        <v>4363</v>
      </c>
      <c r="D4406" t="e">
        <f t="shared" ca="1" si="138"/>
        <v>#NAME?</v>
      </c>
      <c r="E4406" s="115" t="e">
        <f t="array" aca="1" ref="E4406" ca="1">IF(OR(C4405=0,AND(B4407=0,C4407=0)),"",IFERROR(INDEX($F$27:$F$36,MATCH(C4406,($F$27:$F$36)*($D$27:$D$36&lt;&gt;0),0)),IF(OR(AND(D4406=0,B4406=0,B4407&lt;&gt;0),AND(D4406*D4405&lt;0,B4406&lt;&gt;0)),IF(D4406=0,C4406,C4406*(1-ABS(D4406)/(ABS(D4406)+ABS(D4405)))+C4405*(1-ABS(D4405)/(ABS(D4406)+ABS(D4405)))),"")))</f>
        <v>#NAME?</v>
      </c>
    </row>
    <row r="4407" spans="2:5" x14ac:dyDescent="0.25">
      <c r="B4407" t="e">
        <f t="shared" ca="1" si="139"/>
        <v>#NAME?</v>
      </c>
      <c r="C4407">
        <v>4364</v>
      </c>
      <c r="D4407" t="e">
        <f t="shared" ca="1" si="138"/>
        <v>#NAME?</v>
      </c>
      <c r="E4407" s="115" t="e">
        <f t="array" aca="1" ref="E4407" ca="1">IF(OR(C4406=0,AND(B4408=0,C4408=0)),"",IFERROR(INDEX($F$27:$F$36,MATCH(C4407,($F$27:$F$36)*($D$27:$D$36&lt;&gt;0),0)),IF(OR(AND(D4407=0,B4407=0,B4408&lt;&gt;0),AND(D4407*D4406&lt;0,B4407&lt;&gt;0)),IF(D4407=0,C4407,C4407*(1-ABS(D4407)/(ABS(D4407)+ABS(D4406)))+C4406*(1-ABS(D4406)/(ABS(D4407)+ABS(D4406)))),"")))</f>
        <v>#NAME?</v>
      </c>
    </row>
    <row r="4408" spans="2:5" x14ac:dyDescent="0.25">
      <c r="B4408" t="e">
        <f t="shared" ca="1" si="139"/>
        <v>#NAME?</v>
      </c>
      <c r="C4408">
        <v>4365</v>
      </c>
      <c r="D4408" t="e">
        <f t="shared" ca="1" si="138"/>
        <v>#NAME?</v>
      </c>
      <c r="E4408" s="115" t="e">
        <f t="array" aca="1" ref="E4408" ca="1">IF(OR(C4407=0,AND(B4409=0,C4409=0)),"",IFERROR(INDEX($F$27:$F$36,MATCH(C4408,($F$27:$F$36)*($D$27:$D$36&lt;&gt;0),0)),IF(OR(AND(D4408=0,B4408=0,B4409&lt;&gt;0),AND(D4408*D4407&lt;0,B4408&lt;&gt;0)),IF(D4408=0,C4408,C4408*(1-ABS(D4408)/(ABS(D4408)+ABS(D4407)))+C4407*(1-ABS(D4407)/(ABS(D4408)+ABS(D4407)))),"")))</f>
        <v>#NAME?</v>
      </c>
    </row>
    <row r="4409" spans="2:5" x14ac:dyDescent="0.25">
      <c r="B4409" t="e">
        <f t="shared" ca="1" si="139"/>
        <v>#NAME?</v>
      </c>
      <c r="C4409">
        <v>4366</v>
      </c>
      <c r="D4409" t="e">
        <f t="shared" ca="1" si="138"/>
        <v>#NAME?</v>
      </c>
      <c r="E4409" s="115" t="e">
        <f t="array" aca="1" ref="E4409" ca="1">IF(OR(C4408=0,AND(B4410=0,C4410=0)),"",IFERROR(INDEX($F$27:$F$36,MATCH(C4409,($F$27:$F$36)*($D$27:$D$36&lt;&gt;0),0)),IF(OR(AND(D4409=0,B4409=0,B4410&lt;&gt;0),AND(D4409*D4408&lt;0,B4409&lt;&gt;0)),IF(D4409=0,C4409,C4409*(1-ABS(D4409)/(ABS(D4409)+ABS(D4408)))+C4408*(1-ABS(D4408)/(ABS(D4409)+ABS(D4408)))),"")))</f>
        <v>#NAME?</v>
      </c>
    </row>
    <row r="4410" spans="2:5" x14ac:dyDescent="0.25">
      <c r="B4410" t="e">
        <f t="shared" ca="1" si="139"/>
        <v>#NAME?</v>
      </c>
      <c r="C4410">
        <v>4367</v>
      </c>
      <c r="D4410" t="e">
        <f t="shared" ca="1" si="138"/>
        <v>#NAME?</v>
      </c>
      <c r="E4410" s="115" t="e">
        <f t="array" aca="1" ref="E4410" ca="1">IF(OR(C4409=0,AND(B4411=0,C4411=0)),"",IFERROR(INDEX($F$27:$F$36,MATCH(C4410,($F$27:$F$36)*($D$27:$D$36&lt;&gt;0),0)),IF(OR(AND(D4410=0,B4410=0,B4411&lt;&gt;0),AND(D4410*D4409&lt;0,B4410&lt;&gt;0)),IF(D4410=0,C4410,C4410*(1-ABS(D4410)/(ABS(D4410)+ABS(D4409)))+C4409*(1-ABS(D4409)/(ABS(D4410)+ABS(D4409)))),"")))</f>
        <v>#NAME?</v>
      </c>
    </row>
    <row r="4411" spans="2:5" x14ac:dyDescent="0.25">
      <c r="B4411" t="e">
        <f t="shared" ca="1" si="139"/>
        <v>#NAME?</v>
      </c>
      <c r="C4411">
        <v>4368</v>
      </c>
      <c r="D4411" t="e">
        <f t="shared" ca="1" si="138"/>
        <v>#NAME?</v>
      </c>
      <c r="E4411" s="115" t="e">
        <f t="array" aca="1" ref="E4411" ca="1">IF(OR(C4410=0,AND(B4412=0,C4412=0)),"",IFERROR(INDEX($F$27:$F$36,MATCH(C4411,($F$27:$F$36)*($D$27:$D$36&lt;&gt;0),0)),IF(OR(AND(D4411=0,B4411=0,B4412&lt;&gt;0),AND(D4411*D4410&lt;0,B4411&lt;&gt;0)),IF(D4411=0,C4411,C4411*(1-ABS(D4411)/(ABS(D4411)+ABS(D4410)))+C4410*(1-ABS(D4410)/(ABS(D4411)+ABS(D4410)))),"")))</f>
        <v>#NAME?</v>
      </c>
    </row>
    <row r="4412" spans="2:5" x14ac:dyDescent="0.25">
      <c r="B4412" t="e">
        <f t="shared" ca="1" si="139"/>
        <v>#NAME?</v>
      </c>
      <c r="C4412">
        <v>4369</v>
      </c>
      <c r="D4412" t="e">
        <f t="shared" ca="1" si="138"/>
        <v>#NAME?</v>
      </c>
      <c r="E4412" s="115" t="e">
        <f t="array" aca="1" ref="E4412" ca="1">IF(OR(C4411=0,AND(B4413=0,C4413=0)),"",IFERROR(INDEX($F$27:$F$36,MATCH(C4412,($F$27:$F$36)*($D$27:$D$36&lt;&gt;0),0)),IF(OR(AND(D4412=0,B4412=0,B4413&lt;&gt;0),AND(D4412*D4411&lt;0,B4412&lt;&gt;0)),IF(D4412=0,C4412,C4412*(1-ABS(D4412)/(ABS(D4412)+ABS(D4411)))+C4411*(1-ABS(D4411)/(ABS(D4412)+ABS(D4411)))),"")))</f>
        <v>#NAME?</v>
      </c>
    </row>
    <row r="4413" spans="2:5" x14ac:dyDescent="0.25">
      <c r="B4413" t="e">
        <f t="shared" ca="1" si="139"/>
        <v>#NAME?</v>
      </c>
      <c r="C4413">
        <v>4370</v>
      </c>
      <c r="D4413" t="e">
        <f t="shared" ca="1" si="138"/>
        <v>#NAME?</v>
      </c>
      <c r="E4413" s="115" t="e">
        <f t="array" aca="1" ref="E4413" ca="1">IF(OR(C4412=0,AND(B4414=0,C4414=0)),"",IFERROR(INDEX($F$27:$F$36,MATCH(C4413,($F$27:$F$36)*($D$27:$D$36&lt;&gt;0),0)),IF(OR(AND(D4413=0,B4413=0,B4414&lt;&gt;0),AND(D4413*D4412&lt;0,B4413&lt;&gt;0)),IF(D4413=0,C4413,C4413*(1-ABS(D4413)/(ABS(D4413)+ABS(D4412)))+C4412*(1-ABS(D4412)/(ABS(D4413)+ABS(D4412)))),"")))</f>
        <v>#NAME?</v>
      </c>
    </row>
    <row r="4414" spans="2:5" x14ac:dyDescent="0.25">
      <c r="B4414" t="e">
        <f t="shared" ca="1" si="139"/>
        <v>#NAME?</v>
      </c>
      <c r="C4414">
        <v>4371</v>
      </c>
      <c r="D4414" t="e">
        <f t="shared" ca="1" si="138"/>
        <v>#NAME?</v>
      </c>
      <c r="E4414" s="115" t="e">
        <f t="array" aca="1" ref="E4414" ca="1">IF(OR(C4413=0,AND(B4415=0,C4415=0)),"",IFERROR(INDEX($F$27:$F$36,MATCH(C4414,($F$27:$F$36)*($D$27:$D$36&lt;&gt;0),0)),IF(OR(AND(D4414=0,B4414=0,B4415&lt;&gt;0),AND(D4414*D4413&lt;0,B4414&lt;&gt;0)),IF(D4414=0,C4414,C4414*(1-ABS(D4414)/(ABS(D4414)+ABS(D4413)))+C4413*(1-ABS(D4413)/(ABS(D4414)+ABS(D4413)))),"")))</f>
        <v>#NAME?</v>
      </c>
    </row>
    <row r="4415" spans="2:5" x14ac:dyDescent="0.25">
      <c r="B4415" t="e">
        <f t="shared" ca="1" si="139"/>
        <v>#NAME?</v>
      </c>
      <c r="C4415">
        <v>4372</v>
      </c>
      <c r="D4415" t="e">
        <f t="shared" ca="1" si="138"/>
        <v>#NAME?</v>
      </c>
      <c r="E4415" s="115" t="e">
        <f t="array" aca="1" ref="E4415" ca="1">IF(OR(C4414=0,AND(B4416=0,C4416=0)),"",IFERROR(INDEX($F$27:$F$36,MATCH(C4415,($F$27:$F$36)*($D$27:$D$36&lt;&gt;0),0)),IF(OR(AND(D4415=0,B4415=0,B4416&lt;&gt;0),AND(D4415*D4414&lt;0,B4415&lt;&gt;0)),IF(D4415=0,C4415,C4415*(1-ABS(D4415)/(ABS(D4415)+ABS(D4414)))+C4414*(1-ABS(D4414)/(ABS(D4415)+ABS(D4414)))),"")))</f>
        <v>#NAME?</v>
      </c>
    </row>
    <row r="4416" spans="2:5" x14ac:dyDescent="0.25">
      <c r="B4416" t="e">
        <f t="shared" ca="1" si="139"/>
        <v>#NAME?</v>
      </c>
      <c r="C4416">
        <v>4373</v>
      </c>
      <c r="D4416" t="e">
        <f t="shared" ca="1" si="138"/>
        <v>#NAME?</v>
      </c>
      <c r="E4416" s="115" t="e">
        <f t="array" aca="1" ref="E4416" ca="1">IF(OR(C4415=0,AND(B4417=0,C4417=0)),"",IFERROR(INDEX($F$27:$F$36,MATCH(C4416,($F$27:$F$36)*($D$27:$D$36&lt;&gt;0),0)),IF(OR(AND(D4416=0,B4416=0,B4417&lt;&gt;0),AND(D4416*D4415&lt;0,B4416&lt;&gt;0)),IF(D4416=0,C4416,C4416*(1-ABS(D4416)/(ABS(D4416)+ABS(D4415)))+C4415*(1-ABS(D4415)/(ABS(D4416)+ABS(D4415)))),"")))</f>
        <v>#NAME?</v>
      </c>
    </row>
    <row r="4417" spans="2:5" x14ac:dyDescent="0.25">
      <c r="B4417" t="e">
        <f t="shared" ca="1" si="139"/>
        <v>#NAME?</v>
      </c>
      <c r="C4417">
        <v>4374</v>
      </c>
      <c r="D4417" t="e">
        <f t="shared" ca="1" si="138"/>
        <v>#NAME?</v>
      </c>
      <c r="E4417" s="115" t="e">
        <f t="array" aca="1" ref="E4417" ca="1">IF(OR(C4416=0,AND(B4418=0,C4418=0)),"",IFERROR(INDEX($F$27:$F$36,MATCH(C4417,($F$27:$F$36)*($D$27:$D$36&lt;&gt;0),0)),IF(OR(AND(D4417=0,B4417=0,B4418&lt;&gt;0),AND(D4417*D4416&lt;0,B4417&lt;&gt;0)),IF(D4417=0,C4417,C4417*(1-ABS(D4417)/(ABS(D4417)+ABS(D4416)))+C4416*(1-ABS(D4416)/(ABS(D4417)+ABS(D4416)))),"")))</f>
        <v>#NAME?</v>
      </c>
    </row>
    <row r="4418" spans="2:5" x14ac:dyDescent="0.25">
      <c r="B4418" t="e">
        <f t="shared" ca="1" si="139"/>
        <v>#NAME?</v>
      </c>
      <c r="C4418">
        <v>4375</v>
      </c>
      <c r="D4418" t="e">
        <f t="shared" ca="1" si="138"/>
        <v>#NAME?</v>
      </c>
      <c r="E4418" s="115" t="e">
        <f t="array" aca="1" ref="E4418" ca="1">IF(OR(C4417=0,AND(B4419=0,C4419=0)),"",IFERROR(INDEX($F$27:$F$36,MATCH(C4418,($F$27:$F$36)*($D$27:$D$36&lt;&gt;0),0)),IF(OR(AND(D4418=0,B4418=0,B4419&lt;&gt;0),AND(D4418*D4417&lt;0,B4418&lt;&gt;0)),IF(D4418=0,C4418,C4418*(1-ABS(D4418)/(ABS(D4418)+ABS(D4417)))+C4417*(1-ABS(D4417)/(ABS(D4418)+ABS(D4417)))),"")))</f>
        <v>#NAME?</v>
      </c>
    </row>
    <row r="4419" spans="2:5" x14ac:dyDescent="0.25">
      <c r="B4419" t="e">
        <f t="shared" ca="1" si="139"/>
        <v>#NAME?</v>
      </c>
      <c r="C4419">
        <v>4376</v>
      </c>
      <c r="D4419" t="e">
        <f t="shared" ca="1" si="138"/>
        <v>#NAME?</v>
      </c>
      <c r="E4419" s="115" t="e">
        <f t="array" aca="1" ref="E4419" ca="1">IF(OR(C4418=0,AND(B4420=0,C4420=0)),"",IFERROR(INDEX($F$27:$F$36,MATCH(C4419,($F$27:$F$36)*($D$27:$D$36&lt;&gt;0),0)),IF(OR(AND(D4419=0,B4419=0,B4420&lt;&gt;0),AND(D4419*D4418&lt;0,B4419&lt;&gt;0)),IF(D4419=0,C4419,C4419*(1-ABS(D4419)/(ABS(D4419)+ABS(D4418)))+C4418*(1-ABS(D4418)/(ABS(D4419)+ABS(D4418)))),"")))</f>
        <v>#NAME?</v>
      </c>
    </row>
    <row r="4420" spans="2:5" x14ac:dyDescent="0.25">
      <c r="B4420" t="e">
        <f t="shared" ca="1" si="139"/>
        <v>#NAME?</v>
      </c>
      <c r="C4420">
        <v>4377</v>
      </c>
      <c r="D4420" t="e">
        <f t="shared" ca="1" si="138"/>
        <v>#NAME?</v>
      </c>
      <c r="E4420" s="115" t="e">
        <f t="array" aca="1" ref="E4420" ca="1">IF(OR(C4419=0,AND(B4421=0,C4421=0)),"",IFERROR(INDEX($F$27:$F$36,MATCH(C4420,($F$27:$F$36)*($D$27:$D$36&lt;&gt;0),0)),IF(OR(AND(D4420=0,B4420=0,B4421&lt;&gt;0),AND(D4420*D4419&lt;0,B4420&lt;&gt;0)),IF(D4420=0,C4420,C4420*(1-ABS(D4420)/(ABS(D4420)+ABS(D4419)))+C4419*(1-ABS(D4419)/(ABS(D4420)+ABS(D4419)))),"")))</f>
        <v>#NAME?</v>
      </c>
    </row>
    <row r="4421" spans="2:5" x14ac:dyDescent="0.25">
      <c r="B4421" t="e">
        <f t="shared" ca="1" si="139"/>
        <v>#NAME?</v>
      </c>
      <c r="C4421">
        <v>4378</v>
      </c>
      <c r="D4421" t="e">
        <f t="shared" ca="1" si="138"/>
        <v>#NAME?</v>
      </c>
      <c r="E4421" s="115" t="e">
        <f t="array" aca="1" ref="E4421" ca="1">IF(OR(C4420=0,AND(B4422=0,C4422=0)),"",IFERROR(INDEX($F$27:$F$36,MATCH(C4421,($F$27:$F$36)*($D$27:$D$36&lt;&gt;0),0)),IF(OR(AND(D4421=0,B4421=0,B4422&lt;&gt;0),AND(D4421*D4420&lt;0,B4421&lt;&gt;0)),IF(D4421=0,C4421,C4421*(1-ABS(D4421)/(ABS(D4421)+ABS(D4420)))+C4420*(1-ABS(D4420)/(ABS(D4421)+ABS(D4420)))),"")))</f>
        <v>#NAME?</v>
      </c>
    </row>
    <row r="4422" spans="2:5" x14ac:dyDescent="0.25">
      <c r="B4422" t="e">
        <f t="shared" ca="1" si="139"/>
        <v>#NAME?</v>
      </c>
      <c r="C4422">
        <v>4379</v>
      </c>
      <c r="D4422" t="e">
        <f t="shared" ca="1" si="138"/>
        <v>#NAME?</v>
      </c>
      <c r="E4422" s="115" t="e">
        <f t="array" aca="1" ref="E4422" ca="1">IF(OR(C4421=0,AND(B4423=0,C4423=0)),"",IFERROR(INDEX($F$27:$F$36,MATCH(C4422,($F$27:$F$36)*($D$27:$D$36&lt;&gt;0),0)),IF(OR(AND(D4422=0,B4422=0,B4423&lt;&gt;0),AND(D4422*D4421&lt;0,B4422&lt;&gt;0)),IF(D4422=0,C4422,C4422*(1-ABS(D4422)/(ABS(D4422)+ABS(D4421)))+C4421*(1-ABS(D4421)/(ABS(D4422)+ABS(D4421)))),"")))</f>
        <v>#NAME?</v>
      </c>
    </row>
    <row r="4423" spans="2:5" x14ac:dyDescent="0.25">
      <c r="B4423" t="e">
        <f t="shared" ca="1" si="139"/>
        <v>#NAME?</v>
      </c>
      <c r="C4423">
        <v>4380</v>
      </c>
      <c r="D4423" t="e">
        <f t="shared" ca="1" si="138"/>
        <v>#NAME?</v>
      </c>
      <c r="E4423" s="115" t="e">
        <f t="array" aca="1" ref="E4423" ca="1">IF(OR(C4422=0,AND(B4424=0,C4424=0)),"",IFERROR(INDEX($F$27:$F$36,MATCH(C4423,($F$27:$F$36)*($D$27:$D$36&lt;&gt;0),0)),IF(OR(AND(D4423=0,B4423=0,B4424&lt;&gt;0),AND(D4423*D4422&lt;0,B4423&lt;&gt;0)),IF(D4423=0,C4423,C4423*(1-ABS(D4423)/(ABS(D4423)+ABS(D4422)))+C4422*(1-ABS(D4422)/(ABS(D4423)+ABS(D4422)))),"")))</f>
        <v>#NAME?</v>
      </c>
    </row>
    <row r="4424" spans="2:5" x14ac:dyDescent="0.25">
      <c r="B4424" t="e">
        <f t="shared" ca="1" si="139"/>
        <v>#NAME?</v>
      </c>
      <c r="C4424">
        <v>4381</v>
      </c>
      <c r="D4424" t="e">
        <f t="shared" ca="1" si="138"/>
        <v>#NAME?</v>
      </c>
      <c r="E4424" s="115" t="e">
        <f t="array" aca="1" ref="E4424" ca="1">IF(OR(C4423=0,AND(B4425=0,C4425=0)),"",IFERROR(INDEX($F$27:$F$36,MATCH(C4424,($F$27:$F$36)*($D$27:$D$36&lt;&gt;0),0)),IF(OR(AND(D4424=0,B4424=0,B4425&lt;&gt;0),AND(D4424*D4423&lt;0,B4424&lt;&gt;0)),IF(D4424=0,C4424,C4424*(1-ABS(D4424)/(ABS(D4424)+ABS(D4423)))+C4423*(1-ABS(D4423)/(ABS(D4424)+ABS(D4423)))),"")))</f>
        <v>#NAME?</v>
      </c>
    </row>
    <row r="4425" spans="2:5" x14ac:dyDescent="0.25">
      <c r="B4425" t="e">
        <f t="shared" ca="1" si="139"/>
        <v>#NAME?</v>
      </c>
      <c r="C4425">
        <v>4382</v>
      </c>
      <c r="D4425" t="e">
        <f t="shared" ca="1" si="138"/>
        <v>#NAME?</v>
      </c>
      <c r="E4425" s="115" t="e">
        <f t="array" aca="1" ref="E4425" ca="1">IF(OR(C4424=0,AND(B4426=0,C4426=0)),"",IFERROR(INDEX($F$27:$F$36,MATCH(C4425,($F$27:$F$36)*($D$27:$D$36&lt;&gt;0),0)),IF(OR(AND(D4425=0,B4425=0,B4426&lt;&gt;0),AND(D4425*D4424&lt;0,B4425&lt;&gt;0)),IF(D4425=0,C4425,C4425*(1-ABS(D4425)/(ABS(D4425)+ABS(D4424)))+C4424*(1-ABS(D4424)/(ABS(D4425)+ABS(D4424)))),"")))</f>
        <v>#NAME?</v>
      </c>
    </row>
    <row r="4426" spans="2:5" x14ac:dyDescent="0.25">
      <c r="B4426" t="e">
        <f t="shared" ca="1" si="139"/>
        <v>#NAME?</v>
      </c>
      <c r="C4426">
        <v>4383</v>
      </c>
      <c r="D4426" t="e">
        <f t="shared" ca="1" si="138"/>
        <v>#NAME?</v>
      </c>
      <c r="E4426" s="115" t="e">
        <f t="array" aca="1" ref="E4426" ca="1">IF(OR(C4425=0,AND(B4427=0,C4427=0)),"",IFERROR(INDEX($F$27:$F$36,MATCH(C4426,($F$27:$F$36)*($D$27:$D$36&lt;&gt;0),0)),IF(OR(AND(D4426=0,B4426=0,B4427&lt;&gt;0),AND(D4426*D4425&lt;0,B4426&lt;&gt;0)),IF(D4426=0,C4426,C4426*(1-ABS(D4426)/(ABS(D4426)+ABS(D4425)))+C4425*(1-ABS(D4425)/(ABS(D4426)+ABS(D4425)))),"")))</f>
        <v>#NAME?</v>
      </c>
    </row>
    <row r="4427" spans="2:5" x14ac:dyDescent="0.25">
      <c r="B4427" t="e">
        <f t="shared" ca="1" si="139"/>
        <v>#NAME?</v>
      </c>
      <c r="C4427">
        <v>4384</v>
      </c>
      <c r="D4427" t="e">
        <f t="shared" ca="1" si="138"/>
        <v>#NAME?</v>
      </c>
      <c r="E4427" s="115" t="e">
        <f t="array" aca="1" ref="E4427" ca="1">IF(OR(C4426=0,AND(B4428=0,C4428=0)),"",IFERROR(INDEX($F$27:$F$36,MATCH(C4427,($F$27:$F$36)*($D$27:$D$36&lt;&gt;0),0)),IF(OR(AND(D4427=0,B4427=0,B4428&lt;&gt;0),AND(D4427*D4426&lt;0,B4427&lt;&gt;0)),IF(D4427=0,C4427,C4427*(1-ABS(D4427)/(ABS(D4427)+ABS(D4426)))+C4426*(1-ABS(D4426)/(ABS(D4427)+ABS(D4426)))),"")))</f>
        <v>#NAME?</v>
      </c>
    </row>
    <row r="4428" spans="2:5" x14ac:dyDescent="0.25">
      <c r="B4428" t="e">
        <f t="shared" ca="1" si="139"/>
        <v>#NAME?</v>
      </c>
      <c r="C4428">
        <v>4385</v>
      </c>
      <c r="D4428" t="e">
        <f t="shared" ca="1" si="138"/>
        <v>#NAME?</v>
      </c>
      <c r="E4428" s="115" t="e">
        <f t="array" aca="1" ref="E4428" ca="1">IF(OR(C4427=0,AND(B4429=0,C4429=0)),"",IFERROR(INDEX($F$27:$F$36,MATCH(C4428,($F$27:$F$36)*($D$27:$D$36&lt;&gt;0),0)),IF(OR(AND(D4428=0,B4428=0,B4429&lt;&gt;0),AND(D4428*D4427&lt;0,B4428&lt;&gt;0)),IF(D4428=0,C4428,C4428*(1-ABS(D4428)/(ABS(D4428)+ABS(D4427)))+C4427*(1-ABS(D4427)/(ABS(D4428)+ABS(D4427)))),"")))</f>
        <v>#NAME?</v>
      </c>
    </row>
    <row r="4429" spans="2:5" x14ac:dyDescent="0.25">
      <c r="B4429" t="e">
        <f t="shared" ca="1" si="139"/>
        <v>#NAME?</v>
      </c>
      <c r="C4429">
        <v>4386</v>
      </c>
      <c r="D4429" t="e">
        <f t="shared" ca="1" si="138"/>
        <v>#NAME?</v>
      </c>
      <c r="E4429" s="115" t="e">
        <f t="array" aca="1" ref="E4429" ca="1">IF(OR(C4428=0,AND(B4430=0,C4430=0)),"",IFERROR(INDEX($F$27:$F$36,MATCH(C4429,($F$27:$F$36)*($D$27:$D$36&lt;&gt;0),0)),IF(OR(AND(D4429=0,B4429=0,B4430&lt;&gt;0),AND(D4429*D4428&lt;0,B4429&lt;&gt;0)),IF(D4429=0,C4429,C4429*(1-ABS(D4429)/(ABS(D4429)+ABS(D4428)))+C4428*(1-ABS(D4428)/(ABS(D4429)+ABS(D4428)))),"")))</f>
        <v>#NAME?</v>
      </c>
    </row>
    <row r="4430" spans="2:5" x14ac:dyDescent="0.25">
      <c r="B4430" t="e">
        <f t="shared" ca="1" si="139"/>
        <v>#NAME?</v>
      </c>
      <c r="C4430">
        <v>4387</v>
      </c>
      <c r="D4430" t="e">
        <f t="shared" ca="1" si="138"/>
        <v>#NAME?</v>
      </c>
      <c r="E4430" s="115" t="e">
        <f t="array" aca="1" ref="E4430" ca="1">IF(OR(C4429=0,AND(B4431=0,C4431=0)),"",IFERROR(INDEX($F$27:$F$36,MATCH(C4430,($F$27:$F$36)*($D$27:$D$36&lt;&gt;0),0)),IF(OR(AND(D4430=0,B4430=0,B4431&lt;&gt;0),AND(D4430*D4429&lt;0,B4430&lt;&gt;0)),IF(D4430=0,C4430,C4430*(1-ABS(D4430)/(ABS(D4430)+ABS(D4429)))+C4429*(1-ABS(D4429)/(ABS(D4430)+ABS(D4429)))),"")))</f>
        <v>#NAME?</v>
      </c>
    </row>
    <row r="4431" spans="2:5" x14ac:dyDescent="0.25">
      <c r="B4431" t="e">
        <f t="shared" ca="1" si="139"/>
        <v>#NAME?</v>
      </c>
      <c r="C4431">
        <v>4388</v>
      </c>
      <c r="D4431" t="e">
        <f t="shared" ca="1" si="138"/>
        <v>#NAME?</v>
      </c>
      <c r="E4431" s="115" t="e">
        <f t="array" aca="1" ref="E4431" ca="1">IF(OR(C4430=0,AND(B4432=0,C4432=0)),"",IFERROR(INDEX($F$27:$F$36,MATCH(C4431,($F$27:$F$36)*($D$27:$D$36&lt;&gt;0),0)),IF(OR(AND(D4431=0,B4431=0,B4432&lt;&gt;0),AND(D4431*D4430&lt;0,B4431&lt;&gt;0)),IF(D4431=0,C4431,C4431*(1-ABS(D4431)/(ABS(D4431)+ABS(D4430)))+C4430*(1-ABS(D4430)/(ABS(D4431)+ABS(D4430)))),"")))</f>
        <v>#NAME?</v>
      </c>
    </row>
    <row r="4432" spans="2:5" x14ac:dyDescent="0.25">
      <c r="B4432" t="e">
        <f t="shared" ca="1" si="139"/>
        <v>#NAME?</v>
      </c>
      <c r="C4432">
        <v>4389</v>
      </c>
      <c r="D4432" t="e">
        <f t="shared" ca="1" si="138"/>
        <v>#NAME?</v>
      </c>
      <c r="E4432" s="115" t="e">
        <f t="array" aca="1" ref="E4432" ca="1">IF(OR(C4431=0,AND(B4433=0,C4433=0)),"",IFERROR(INDEX($F$27:$F$36,MATCH(C4432,($F$27:$F$36)*($D$27:$D$36&lt;&gt;0),0)),IF(OR(AND(D4432=0,B4432=0,B4433&lt;&gt;0),AND(D4432*D4431&lt;0,B4432&lt;&gt;0)),IF(D4432=0,C4432,C4432*(1-ABS(D4432)/(ABS(D4432)+ABS(D4431)))+C4431*(1-ABS(D4431)/(ABS(D4432)+ABS(D4431)))),"")))</f>
        <v>#NAME?</v>
      </c>
    </row>
    <row r="4433" spans="2:5" x14ac:dyDescent="0.25">
      <c r="B4433" t="e">
        <f t="shared" ca="1" si="139"/>
        <v>#NAME?</v>
      </c>
      <c r="C4433">
        <v>4390</v>
      </c>
      <c r="D4433" t="e">
        <f t="shared" ca="1" si="138"/>
        <v>#NAME?</v>
      </c>
      <c r="E4433" s="115" t="e">
        <f t="array" aca="1" ref="E4433" ca="1">IF(OR(C4432=0,AND(B4434=0,C4434=0)),"",IFERROR(INDEX($F$27:$F$36,MATCH(C4433,($F$27:$F$36)*($D$27:$D$36&lt;&gt;0),0)),IF(OR(AND(D4433=0,B4433=0,B4434&lt;&gt;0),AND(D4433*D4432&lt;0,B4433&lt;&gt;0)),IF(D4433=0,C4433,C4433*(1-ABS(D4433)/(ABS(D4433)+ABS(D4432)))+C4432*(1-ABS(D4432)/(ABS(D4433)+ABS(D4432)))),"")))</f>
        <v>#NAME?</v>
      </c>
    </row>
    <row r="4434" spans="2:5" x14ac:dyDescent="0.25">
      <c r="B4434" t="e">
        <f t="shared" ca="1" si="139"/>
        <v>#NAME?</v>
      </c>
      <c r="C4434">
        <v>4391</v>
      </c>
      <c r="D4434" t="e">
        <f t="shared" ca="1" si="138"/>
        <v>#NAME?</v>
      </c>
      <c r="E4434" s="115" t="e">
        <f t="array" aca="1" ref="E4434" ca="1">IF(OR(C4433=0,AND(B4435=0,C4435=0)),"",IFERROR(INDEX($F$27:$F$36,MATCH(C4434,($F$27:$F$36)*($D$27:$D$36&lt;&gt;0),0)),IF(OR(AND(D4434=0,B4434=0,B4435&lt;&gt;0),AND(D4434*D4433&lt;0,B4434&lt;&gt;0)),IF(D4434=0,C4434,C4434*(1-ABS(D4434)/(ABS(D4434)+ABS(D4433)))+C4433*(1-ABS(D4433)/(ABS(D4434)+ABS(D4433)))),"")))</f>
        <v>#NAME?</v>
      </c>
    </row>
    <row r="4435" spans="2:5" x14ac:dyDescent="0.25">
      <c r="B4435" t="e">
        <f t="shared" ca="1" si="139"/>
        <v>#NAME?</v>
      </c>
      <c r="C4435">
        <v>4392</v>
      </c>
      <c r="D4435" t="e">
        <f t="shared" ca="1" si="138"/>
        <v>#NAME?</v>
      </c>
      <c r="E4435" s="115" t="e">
        <f t="array" aca="1" ref="E4435" ca="1">IF(OR(C4434=0,AND(B4436=0,C4436=0)),"",IFERROR(INDEX($F$27:$F$36,MATCH(C4435,($F$27:$F$36)*($D$27:$D$36&lt;&gt;0),0)),IF(OR(AND(D4435=0,B4435=0,B4436&lt;&gt;0),AND(D4435*D4434&lt;0,B4435&lt;&gt;0)),IF(D4435=0,C4435,C4435*(1-ABS(D4435)/(ABS(D4435)+ABS(D4434)))+C4434*(1-ABS(D4434)/(ABS(D4435)+ABS(D4434)))),"")))</f>
        <v>#NAME?</v>
      </c>
    </row>
    <row r="4436" spans="2:5" x14ac:dyDescent="0.25">
      <c r="B4436" t="e">
        <f t="shared" ca="1" si="139"/>
        <v>#NAME?</v>
      </c>
      <c r="C4436">
        <v>4393</v>
      </c>
      <c r="D4436" t="e">
        <f t="shared" ca="1" si="138"/>
        <v>#NAME?</v>
      </c>
      <c r="E4436" s="115" t="e">
        <f t="array" aca="1" ref="E4436" ca="1">IF(OR(C4435=0,AND(B4437=0,C4437=0)),"",IFERROR(INDEX($F$27:$F$36,MATCH(C4436,($F$27:$F$36)*($D$27:$D$36&lt;&gt;0),0)),IF(OR(AND(D4436=0,B4436=0,B4437&lt;&gt;0),AND(D4436*D4435&lt;0,B4436&lt;&gt;0)),IF(D4436=0,C4436,C4436*(1-ABS(D4436)/(ABS(D4436)+ABS(D4435)))+C4435*(1-ABS(D4435)/(ABS(D4436)+ABS(D4435)))),"")))</f>
        <v>#NAME?</v>
      </c>
    </row>
    <row r="4437" spans="2:5" x14ac:dyDescent="0.25">
      <c r="B4437" t="e">
        <f t="shared" ca="1" si="139"/>
        <v>#NAME?</v>
      </c>
      <c r="C4437">
        <v>4394</v>
      </c>
      <c r="D4437" t="e">
        <f t="shared" ca="1" si="138"/>
        <v>#NAME?</v>
      </c>
      <c r="E4437" s="115" t="e">
        <f t="array" aca="1" ref="E4437" ca="1">IF(OR(C4436=0,AND(B4438=0,C4438=0)),"",IFERROR(INDEX($F$27:$F$36,MATCH(C4437,($F$27:$F$36)*($D$27:$D$36&lt;&gt;0),0)),IF(OR(AND(D4437=0,B4437=0,B4438&lt;&gt;0),AND(D4437*D4436&lt;0,B4437&lt;&gt;0)),IF(D4437=0,C4437,C4437*(1-ABS(D4437)/(ABS(D4437)+ABS(D4436)))+C4436*(1-ABS(D4436)/(ABS(D4437)+ABS(D4436)))),"")))</f>
        <v>#NAME?</v>
      </c>
    </row>
    <row r="4438" spans="2:5" x14ac:dyDescent="0.25">
      <c r="B4438" t="e">
        <f t="shared" ca="1" si="139"/>
        <v>#NAME?</v>
      </c>
      <c r="C4438">
        <v>4395</v>
      </c>
      <c r="D4438" t="e">
        <f t="shared" ca="1" si="138"/>
        <v>#NAME?</v>
      </c>
      <c r="E4438" s="115" t="e">
        <f t="array" aca="1" ref="E4438" ca="1">IF(OR(C4437=0,AND(B4439=0,C4439=0)),"",IFERROR(INDEX($F$27:$F$36,MATCH(C4438,($F$27:$F$36)*($D$27:$D$36&lt;&gt;0),0)),IF(OR(AND(D4438=0,B4438=0,B4439&lt;&gt;0),AND(D4438*D4437&lt;0,B4438&lt;&gt;0)),IF(D4438=0,C4438,C4438*(1-ABS(D4438)/(ABS(D4438)+ABS(D4437)))+C4437*(1-ABS(D4437)/(ABS(D4438)+ABS(D4437)))),"")))</f>
        <v>#NAME?</v>
      </c>
    </row>
    <row r="4439" spans="2:5" x14ac:dyDescent="0.25">
      <c r="B4439" t="e">
        <f t="shared" ca="1" si="139"/>
        <v>#NAME?</v>
      </c>
      <c r="C4439">
        <v>4396</v>
      </c>
      <c r="D4439" t="e">
        <f t="shared" ca="1" si="138"/>
        <v>#NAME?</v>
      </c>
      <c r="E4439" s="115" t="e">
        <f t="array" aca="1" ref="E4439" ca="1">IF(OR(C4438=0,AND(B4440=0,C4440=0)),"",IFERROR(INDEX($F$27:$F$36,MATCH(C4439,($F$27:$F$36)*($D$27:$D$36&lt;&gt;0),0)),IF(OR(AND(D4439=0,B4439=0,B4440&lt;&gt;0),AND(D4439*D4438&lt;0,B4439&lt;&gt;0)),IF(D4439=0,C4439,C4439*(1-ABS(D4439)/(ABS(D4439)+ABS(D4438)))+C4438*(1-ABS(D4438)/(ABS(D4439)+ABS(D4438)))),"")))</f>
        <v>#NAME?</v>
      </c>
    </row>
    <row r="4440" spans="2:5" x14ac:dyDescent="0.25">
      <c r="B4440" t="e">
        <f t="shared" ca="1" si="139"/>
        <v>#NAME?</v>
      </c>
      <c r="C4440">
        <v>4397</v>
      </c>
      <c r="D4440" t="e">
        <f t="shared" ca="1" si="138"/>
        <v>#NAME?</v>
      </c>
      <c r="E4440" s="115" t="e">
        <f t="array" aca="1" ref="E4440" ca="1">IF(OR(C4439=0,AND(B4441=0,C4441=0)),"",IFERROR(INDEX($F$27:$F$36,MATCH(C4440,($F$27:$F$36)*($D$27:$D$36&lt;&gt;0),0)),IF(OR(AND(D4440=0,B4440=0,B4441&lt;&gt;0),AND(D4440*D4439&lt;0,B4440&lt;&gt;0)),IF(D4440=0,C4440,C4440*(1-ABS(D4440)/(ABS(D4440)+ABS(D4439)))+C4439*(1-ABS(D4439)/(ABS(D4440)+ABS(D4439)))),"")))</f>
        <v>#NAME?</v>
      </c>
    </row>
    <row r="4441" spans="2:5" x14ac:dyDescent="0.25">
      <c r="B4441" t="e">
        <f t="shared" ca="1" si="139"/>
        <v>#NAME?</v>
      </c>
      <c r="C4441">
        <v>4398</v>
      </c>
      <c r="D4441" t="e">
        <f t="shared" ca="1" si="138"/>
        <v>#NAME?</v>
      </c>
      <c r="E4441" s="115" t="e">
        <f t="array" aca="1" ref="E4441" ca="1">IF(OR(C4440=0,AND(B4442=0,C4442=0)),"",IFERROR(INDEX($F$27:$F$36,MATCH(C4441,($F$27:$F$36)*($D$27:$D$36&lt;&gt;0),0)),IF(OR(AND(D4441=0,B4441=0,B4442&lt;&gt;0),AND(D4441*D4440&lt;0,B4441&lt;&gt;0)),IF(D4441=0,C4441,C4441*(1-ABS(D4441)/(ABS(D4441)+ABS(D4440)))+C4440*(1-ABS(D4440)/(ABS(D4441)+ABS(D4440)))),"")))</f>
        <v>#NAME?</v>
      </c>
    </row>
    <row r="4442" spans="2:5" x14ac:dyDescent="0.25">
      <c r="B4442" t="e">
        <f t="shared" ca="1" si="139"/>
        <v>#NAME?</v>
      </c>
      <c r="C4442">
        <v>4399</v>
      </c>
      <c r="D4442" t="e">
        <f t="shared" ca="1" si="138"/>
        <v>#NAME?</v>
      </c>
      <c r="E4442" s="115" t="e">
        <f t="array" aca="1" ref="E4442" ca="1">IF(OR(C4441=0,AND(B4443=0,C4443=0)),"",IFERROR(INDEX($F$27:$F$36,MATCH(C4442,($F$27:$F$36)*($D$27:$D$36&lt;&gt;0),0)),IF(OR(AND(D4442=0,B4442=0,B4443&lt;&gt;0),AND(D4442*D4441&lt;0,B4442&lt;&gt;0)),IF(D4442=0,C4442,C4442*(1-ABS(D4442)/(ABS(D4442)+ABS(D4441)))+C4441*(1-ABS(D4441)/(ABS(D4442)+ABS(D4441)))),"")))</f>
        <v>#NAME?</v>
      </c>
    </row>
    <row r="4443" spans="2:5" x14ac:dyDescent="0.25">
      <c r="B4443" t="e">
        <f t="shared" ca="1" si="139"/>
        <v>#NAME?</v>
      </c>
      <c r="C4443">
        <v>4400</v>
      </c>
      <c r="D4443" t="e">
        <f t="shared" ca="1" si="138"/>
        <v>#NAME?</v>
      </c>
      <c r="E4443" s="115" t="e">
        <f t="array" aca="1" ref="E4443" ca="1">IF(OR(C4442=0,AND(B4444=0,C4444=0)),"",IFERROR(INDEX($F$27:$F$36,MATCH(C4443,($F$27:$F$36)*($D$27:$D$36&lt;&gt;0),0)),IF(OR(AND(D4443=0,B4443=0,B4444&lt;&gt;0),AND(D4443*D4442&lt;0,B4443&lt;&gt;0)),IF(D4443=0,C4443,C4443*(1-ABS(D4443)/(ABS(D4443)+ABS(D4442)))+C4442*(1-ABS(D4442)/(ABS(D4443)+ABS(D4442)))),"")))</f>
        <v>#NAME?</v>
      </c>
    </row>
    <row r="4444" spans="2:5" x14ac:dyDescent="0.25">
      <c r="B4444" t="e">
        <f t="shared" ca="1" si="139"/>
        <v>#NAME?</v>
      </c>
      <c r="C4444">
        <v>4401</v>
      </c>
      <c r="D4444" t="e">
        <f t="shared" ca="1" si="138"/>
        <v>#NAME?</v>
      </c>
      <c r="E4444" s="115" t="e">
        <f t="array" aca="1" ref="E4444" ca="1">IF(OR(C4443=0,AND(B4445=0,C4445=0)),"",IFERROR(INDEX($F$27:$F$36,MATCH(C4444,($F$27:$F$36)*($D$27:$D$36&lt;&gt;0),0)),IF(OR(AND(D4444=0,B4444=0,B4445&lt;&gt;0),AND(D4444*D4443&lt;0,B4444&lt;&gt;0)),IF(D4444=0,C4444,C4444*(1-ABS(D4444)/(ABS(D4444)+ABS(D4443)))+C4443*(1-ABS(D4443)/(ABS(D4444)+ABS(D4443)))),"")))</f>
        <v>#NAME?</v>
      </c>
    </row>
    <row r="4445" spans="2:5" x14ac:dyDescent="0.25">
      <c r="B4445" t="e">
        <f t="shared" ca="1" si="139"/>
        <v>#NAME?</v>
      </c>
      <c r="C4445">
        <v>4402</v>
      </c>
      <c r="D4445" t="e">
        <f t="shared" ca="1" si="138"/>
        <v>#NAME?</v>
      </c>
      <c r="E4445" s="115" t="e">
        <f t="array" aca="1" ref="E4445" ca="1">IF(OR(C4444=0,AND(B4446=0,C4446=0)),"",IFERROR(INDEX($F$27:$F$36,MATCH(C4445,($F$27:$F$36)*($D$27:$D$36&lt;&gt;0),0)),IF(OR(AND(D4445=0,B4445=0,B4446&lt;&gt;0),AND(D4445*D4444&lt;0,B4445&lt;&gt;0)),IF(D4445=0,C4445,C4445*(1-ABS(D4445)/(ABS(D4445)+ABS(D4444)))+C4444*(1-ABS(D4444)/(ABS(D4445)+ABS(D4444)))),"")))</f>
        <v>#NAME?</v>
      </c>
    </row>
    <row r="4446" spans="2:5" x14ac:dyDescent="0.25">
      <c r="B4446" t="e">
        <f t="shared" ca="1" si="139"/>
        <v>#NAME?</v>
      </c>
      <c r="C4446">
        <v>4403</v>
      </c>
      <c r="D4446" t="e">
        <f t="shared" ca="1" si="138"/>
        <v>#NAME?</v>
      </c>
      <c r="E4446" s="115" t="e">
        <f t="array" aca="1" ref="E4446" ca="1">IF(OR(C4445=0,AND(B4447=0,C4447=0)),"",IFERROR(INDEX($F$27:$F$36,MATCH(C4446,($F$27:$F$36)*($D$27:$D$36&lt;&gt;0),0)),IF(OR(AND(D4446=0,B4446=0,B4447&lt;&gt;0),AND(D4446*D4445&lt;0,B4446&lt;&gt;0)),IF(D4446=0,C4446,C4446*(1-ABS(D4446)/(ABS(D4446)+ABS(D4445)))+C4445*(1-ABS(D4445)/(ABS(D4446)+ABS(D4445)))),"")))</f>
        <v>#NAME?</v>
      </c>
    </row>
    <row r="4447" spans="2:5" x14ac:dyDescent="0.25">
      <c r="B4447" t="e">
        <f t="shared" ca="1" si="139"/>
        <v>#NAME?</v>
      </c>
      <c r="C4447">
        <v>4404</v>
      </c>
      <c r="D4447" t="e">
        <f t="shared" ca="1" si="138"/>
        <v>#NAME?</v>
      </c>
      <c r="E4447" s="115" t="e">
        <f t="array" aca="1" ref="E4447" ca="1">IF(OR(C4446=0,AND(B4448=0,C4448=0)),"",IFERROR(INDEX($F$27:$F$36,MATCH(C4447,($F$27:$F$36)*($D$27:$D$36&lt;&gt;0),0)),IF(OR(AND(D4447=0,B4447=0,B4448&lt;&gt;0),AND(D4447*D4446&lt;0,B4447&lt;&gt;0)),IF(D4447=0,C4447,C4447*(1-ABS(D4447)/(ABS(D4447)+ABS(D4446)))+C4446*(1-ABS(D4446)/(ABS(D4447)+ABS(D4446)))),"")))</f>
        <v>#NAME?</v>
      </c>
    </row>
    <row r="4448" spans="2:5" x14ac:dyDescent="0.25">
      <c r="B4448" t="e">
        <f t="shared" ca="1" si="139"/>
        <v>#NAME?</v>
      </c>
      <c r="C4448">
        <v>4405</v>
      </c>
      <c r="D4448" t="e">
        <f t="shared" ca="1" si="138"/>
        <v>#NAME?</v>
      </c>
      <c r="E4448" s="115" t="e">
        <f t="array" aca="1" ref="E4448" ca="1">IF(OR(C4447=0,AND(B4449=0,C4449=0)),"",IFERROR(INDEX($F$27:$F$36,MATCH(C4448,($F$27:$F$36)*($D$27:$D$36&lt;&gt;0),0)),IF(OR(AND(D4448=0,B4448=0,B4449&lt;&gt;0),AND(D4448*D4447&lt;0,B4448&lt;&gt;0)),IF(D4448=0,C4448,C4448*(1-ABS(D4448)/(ABS(D4448)+ABS(D4447)))+C4447*(1-ABS(D4447)/(ABS(D4448)+ABS(D4447)))),"")))</f>
        <v>#NAME?</v>
      </c>
    </row>
    <row r="4449" spans="2:5" x14ac:dyDescent="0.25">
      <c r="B4449" t="e">
        <f t="shared" ca="1" si="139"/>
        <v>#NAME?</v>
      </c>
      <c r="C4449">
        <v>4406</v>
      </c>
      <c r="D4449" t="e">
        <f t="shared" ca="1" si="138"/>
        <v>#NAME?</v>
      </c>
      <c r="E4449" s="115" t="e">
        <f t="array" aca="1" ref="E4449" ca="1">IF(OR(C4448=0,AND(B4450=0,C4450=0)),"",IFERROR(INDEX($F$27:$F$36,MATCH(C4449,($F$27:$F$36)*($D$27:$D$36&lt;&gt;0),0)),IF(OR(AND(D4449=0,B4449=0,B4450&lt;&gt;0),AND(D4449*D4448&lt;0,B4449&lt;&gt;0)),IF(D4449=0,C4449,C4449*(1-ABS(D4449)/(ABS(D4449)+ABS(D4448)))+C4448*(1-ABS(D4448)/(ABS(D4449)+ABS(D4448)))),"")))</f>
        <v>#NAME?</v>
      </c>
    </row>
    <row r="4450" spans="2:5" x14ac:dyDescent="0.25">
      <c r="B4450" t="e">
        <f t="shared" ca="1" si="139"/>
        <v>#NAME?</v>
      </c>
      <c r="C4450">
        <v>4407</v>
      </c>
      <c r="D4450" t="e">
        <f t="shared" ca="1" si="138"/>
        <v>#NAME?</v>
      </c>
      <c r="E4450" s="115" t="e">
        <f t="array" aca="1" ref="E4450" ca="1">IF(OR(C4449=0,AND(B4451=0,C4451=0)),"",IFERROR(INDEX($F$27:$F$36,MATCH(C4450,($F$27:$F$36)*($D$27:$D$36&lt;&gt;0),0)),IF(OR(AND(D4450=0,B4450=0,B4451&lt;&gt;0),AND(D4450*D4449&lt;0,B4450&lt;&gt;0)),IF(D4450=0,C4450,C4450*(1-ABS(D4450)/(ABS(D4450)+ABS(D4449)))+C4449*(1-ABS(D4449)/(ABS(D4450)+ABS(D4449)))),"")))</f>
        <v>#NAME?</v>
      </c>
    </row>
    <row r="4451" spans="2:5" x14ac:dyDescent="0.25">
      <c r="B4451" t="e">
        <f t="shared" ca="1" si="139"/>
        <v>#NAME?</v>
      </c>
      <c r="C4451">
        <v>4408</v>
      </c>
      <c r="D4451" t="e">
        <f t="shared" ca="1" si="138"/>
        <v>#NAME?</v>
      </c>
      <c r="E4451" s="115" t="e">
        <f t="array" aca="1" ref="E4451" ca="1">IF(OR(C4450=0,AND(B4452=0,C4452=0)),"",IFERROR(INDEX($F$27:$F$36,MATCH(C4451,($F$27:$F$36)*($D$27:$D$36&lt;&gt;0),0)),IF(OR(AND(D4451=0,B4451=0,B4452&lt;&gt;0),AND(D4451*D4450&lt;0,B4451&lt;&gt;0)),IF(D4451=0,C4451,C4451*(1-ABS(D4451)/(ABS(D4451)+ABS(D4450)))+C4450*(1-ABS(D4450)/(ABS(D4451)+ABS(D4450)))),"")))</f>
        <v>#NAME?</v>
      </c>
    </row>
    <row r="4452" spans="2:5" x14ac:dyDescent="0.25">
      <c r="B4452" t="e">
        <f t="shared" ca="1" si="139"/>
        <v>#NAME?</v>
      </c>
      <c r="C4452">
        <v>4409</v>
      </c>
      <c r="D4452" t="e">
        <f t="shared" ca="1" si="138"/>
        <v>#NAME?</v>
      </c>
      <c r="E4452" s="115" t="e">
        <f t="array" aca="1" ref="E4452" ca="1">IF(OR(C4451=0,AND(B4453=0,C4453=0)),"",IFERROR(INDEX($F$27:$F$36,MATCH(C4452,($F$27:$F$36)*($D$27:$D$36&lt;&gt;0),0)),IF(OR(AND(D4452=0,B4452=0,B4453&lt;&gt;0),AND(D4452*D4451&lt;0,B4452&lt;&gt;0)),IF(D4452=0,C4452,C4452*(1-ABS(D4452)/(ABS(D4452)+ABS(D4451)))+C4451*(1-ABS(D4451)/(ABS(D4452)+ABS(D4451)))),"")))</f>
        <v>#NAME?</v>
      </c>
    </row>
    <row r="4453" spans="2:5" x14ac:dyDescent="0.25">
      <c r="B4453" t="e">
        <f t="shared" ca="1" si="139"/>
        <v>#NAME?</v>
      </c>
      <c r="C4453">
        <v>4410</v>
      </c>
      <c r="D4453" t="e">
        <f t="shared" ca="1" si="138"/>
        <v>#NAME?</v>
      </c>
      <c r="E4453" s="115" t="e">
        <f t="array" aca="1" ref="E4453" ca="1">IF(OR(C4452=0,AND(B4454=0,C4454=0)),"",IFERROR(INDEX($F$27:$F$36,MATCH(C4453,($F$27:$F$36)*($D$27:$D$36&lt;&gt;0),0)),IF(OR(AND(D4453=0,B4453=0,B4454&lt;&gt;0),AND(D4453*D4452&lt;0,B4453&lt;&gt;0)),IF(D4453=0,C4453,C4453*(1-ABS(D4453)/(ABS(D4453)+ABS(D4452)))+C4452*(1-ABS(D4452)/(ABS(D4453)+ABS(D4452)))),"")))</f>
        <v>#NAME?</v>
      </c>
    </row>
    <row r="4454" spans="2:5" x14ac:dyDescent="0.25">
      <c r="B4454" t="e">
        <f t="shared" ca="1" si="139"/>
        <v>#NAME?</v>
      </c>
      <c r="C4454">
        <v>4411</v>
      </c>
      <c r="D4454" t="e">
        <f t="shared" ca="1" si="138"/>
        <v>#NAME?</v>
      </c>
      <c r="E4454" s="115" t="e">
        <f t="array" aca="1" ref="E4454" ca="1">IF(OR(C4453=0,AND(B4455=0,C4455=0)),"",IFERROR(INDEX($F$27:$F$36,MATCH(C4454,($F$27:$F$36)*($D$27:$D$36&lt;&gt;0),0)),IF(OR(AND(D4454=0,B4454=0,B4455&lt;&gt;0),AND(D4454*D4453&lt;0,B4454&lt;&gt;0)),IF(D4454=0,C4454,C4454*(1-ABS(D4454)/(ABS(D4454)+ABS(D4453)))+C4453*(1-ABS(D4453)/(ABS(D4454)+ABS(D4453)))),"")))</f>
        <v>#NAME?</v>
      </c>
    </row>
    <row r="4455" spans="2:5" x14ac:dyDescent="0.25">
      <c r="B4455" t="e">
        <f t="shared" ca="1" si="139"/>
        <v>#NAME?</v>
      </c>
      <c r="C4455">
        <v>4412</v>
      </c>
      <c r="D4455" t="e">
        <f t="shared" ca="1" si="138"/>
        <v>#NAME?</v>
      </c>
      <c r="E4455" s="115" t="e">
        <f t="array" aca="1" ref="E4455" ca="1">IF(OR(C4454=0,AND(B4456=0,C4456=0)),"",IFERROR(INDEX($F$27:$F$36,MATCH(C4455,($F$27:$F$36)*($D$27:$D$36&lt;&gt;0),0)),IF(OR(AND(D4455=0,B4455=0,B4456&lt;&gt;0),AND(D4455*D4454&lt;0,B4455&lt;&gt;0)),IF(D4455=0,C4455,C4455*(1-ABS(D4455)/(ABS(D4455)+ABS(D4454)))+C4454*(1-ABS(D4454)/(ABS(D4455)+ABS(D4454)))),"")))</f>
        <v>#NAME?</v>
      </c>
    </row>
    <row r="4456" spans="2:5" x14ac:dyDescent="0.25">
      <c r="B4456" t="e">
        <f t="shared" ca="1" si="139"/>
        <v>#NAME?</v>
      </c>
      <c r="C4456">
        <v>4413</v>
      </c>
      <c r="D4456" t="e">
        <f t="shared" ca="1" si="138"/>
        <v>#NAME?</v>
      </c>
      <c r="E4456" s="115" t="e">
        <f t="array" aca="1" ref="E4456" ca="1">IF(OR(C4455=0,AND(B4457=0,C4457=0)),"",IFERROR(INDEX($F$27:$F$36,MATCH(C4456,($F$27:$F$36)*($D$27:$D$36&lt;&gt;0),0)),IF(OR(AND(D4456=0,B4456=0,B4457&lt;&gt;0),AND(D4456*D4455&lt;0,B4456&lt;&gt;0)),IF(D4456=0,C4456,C4456*(1-ABS(D4456)/(ABS(D4456)+ABS(D4455)))+C4455*(1-ABS(D4455)/(ABS(D4456)+ABS(D4455)))),"")))</f>
        <v>#NAME?</v>
      </c>
    </row>
    <row r="4457" spans="2:5" x14ac:dyDescent="0.25">
      <c r="B4457" t="e">
        <f t="shared" ca="1" si="139"/>
        <v>#NAME?</v>
      </c>
      <c r="C4457">
        <v>4414</v>
      </c>
      <c r="D4457" t="e">
        <f t="shared" ca="1" si="138"/>
        <v>#NAME?</v>
      </c>
      <c r="E4457" s="115" t="e">
        <f t="array" aca="1" ref="E4457" ca="1">IF(OR(C4456=0,AND(B4458=0,C4458=0)),"",IFERROR(INDEX($F$27:$F$36,MATCH(C4457,($F$27:$F$36)*($D$27:$D$36&lt;&gt;0),0)),IF(OR(AND(D4457=0,B4457=0,B4458&lt;&gt;0),AND(D4457*D4456&lt;0,B4457&lt;&gt;0)),IF(D4457=0,C4457,C4457*(1-ABS(D4457)/(ABS(D4457)+ABS(D4456)))+C4456*(1-ABS(D4456)/(ABS(D4457)+ABS(D4456)))),"")))</f>
        <v>#NAME?</v>
      </c>
    </row>
    <row r="4458" spans="2:5" x14ac:dyDescent="0.25">
      <c r="B4458" t="e">
        <f t="shared" ca="1" si="139"/>
        <v>#NAME?</v>
      </c>
      <c r="C4458">
        <v>4415</v>
      </c>
      <c r="D4458" t="e">
        <f t="shared" ca="1" si="138"/>
        <v>#NAME?</v>
      </c>
      <c r="E4458" s="115" t="e">
        <f t="array" aca="1" ref="E4458" ca="1">IF(OR(C4457=0,AND(B4459=0,C4459=0)),"",IFERROR(INDEX($F$27:$F$36,MATCH(C4458,($F$27:$F$36)*($D$27:$D$36&lt;&gt;0),0)),IF(OR(AND(D4458=0,B4458=0,B4459&lt;&gt;0),AND(D4458*D4457&lt;0,B4458&lt;&gt;0)),IF(D4458=0,C4458,C4458*(1-ABS(D4458)/(ABS(D4458)+ABS(D4457)))+C4457*(1-ABS(D4457)/(ABS(D4458)+ABS(D4457)))),"")))</f>
        <v>#NAME?</v>
      </c>
    </row>
    <row r="4459" spans="2:5" x14ac:dyDescent="0.25">
      <c r="B4459" t="e">
        <f t="shared" ca="1" si="139"/>
        <v>#NAME?</v>
      </c>
      <c r="C4459">
        <v>4416</v>
      </c>
      <c r="D4459" t="e">
        <f t="shared" ref="D4459:D4522" ca="1" si="140">SUMPRODUCT(--($J$27:$J$37&gt;0),--($C4459-$F$27:$F$37&gt;0),($D$27:$D$37),($C4459-$F$27:$F$37))+SUMPRODUCT(--($J$27:$J$37&lt;0),--($F$27:$F$37-$C4459&gt;0),($D$27:$D$37),($F$27:$F$37-$C4459))-SUMPRODUCT($D$27:$D$37,$E$27:$E$37)</f>
        <v>#NAME?</v>
      </c>
      <c r="E4459" s="115" t="e">
        <f t="array" aca="1" ref="E4459" ca="1">IF(OR(C4458=0,AND(B4460=0,C4460=0)),"",IFERROR(INDEX($F$27:$F$36,MATCH(C4459,($F$27:$F$36)*($D$27:$D$36&lt;&gt;0),0)),IF(OR(AND(D4459=0,B4459=0,B4460&lt;&gt;0),AND(D4459*D4458&lt;0,B4459&lt;&gt;0)),IF(D4459=0,C4459,C4459*(1-ABS(D4459)/(ABS(D4459)+ABS(D4458)))+C4458*(1-ABS(D4458)/(ABS(D4459)+ABS(D4458)))),"")))</f>
        <v>#NAME?</v>
      </c>
    </row>
    <row r="4460" spans="2:5" x14ac:dyDescent="0.25">
      <c r="B4460" t="e">
        <f t="shared" ref="B4460:B4523" ca="1" si="141">ROUND((D4460-D4459)/(C4460-C4459),12)</f>
        <v>#NAME?</v>
      </c>
      <c r="C4460">
        <v>4417</v>
      </c>
      <c r="D4460" t="e">
        <f t="shared" ca="1" si="140"/>
        <v>#NAME?</v>
      </c>
      <c r="E4460" s="115" t="e">
        <f t="array" aca="1" ref="E4460" ca="1">IF(OR(C4459=0,AND(B4461=0,C4461=0)),"",IFERROR(INDEX($F$27:$F$36,MATCH(C4460,($F$27:$F$36)*($D$27:$D$36&lt;&gt;0),0)),IF(OR(AND(D4460=0,B4460=0,B4461&lt;&gt;0),AND(D4460*D4459&lt;0,B4460&lt;&gt;0)),IF(D4460=0,C4460,C4460*(1-ABS(D4460)/(ABS(D4460)+ABS(D4459)))+C4459*(1-ABS(D4459)/(ABS(D4460)+ABS(D4459)))),"")))</f>
        <v>#NAME?</v>
      </c>
    </row>
    <row r="4461" spans="2:5" x14ac:dyDescent="0.25">
      <c r="B4461" t="e">
        <f t="shared" ca="1" si="141"/>
        <v>#NAME?</v>
      </c>
      <c r="C4461">
        <v>4418</v>
      </c>
      <c r="D4461" t="e">
        <f t="shared" ca="1" si="140"/>
        <v>#NAME?</v>
      </c>
      <c r="E4461" s="115" t="e">
        <f t="array" aca="1" ref="E4461" ca="1">IF(OR(C4460=0,AND(B4462=0,C4462=0)),"",IFERROR(INDEX($F$27:$F$36,MATCH(C4461,($F$27:$F$36)*($D$27:$D$36&lt;&gt;0),0)),IF(OR(AND(D4461=0,B4461=0,B4462&lt;&gt;0),AND(D4461*D4460&lt;0,B4461&lt;&gt;0)),IF(D4461=0,C4461,C4461*(1-ABS(D4461)/(ABS(D4461)+ABS(D4460)))+C4460*(1-ABS(D4460)/(ABS(D4461)+ABS(D4460)))),"")))</f>
        <v>#NAME?</v>
      </c>
    </row>
    <row r="4462" spans="2:5" x14ac:dyDescent="0.25">
      <c r="B4462" t="e">
        <f t="shared" ca="1" si="141"/>
        <v>#NAME?</v>
      </c>
      <c r="C4462">
        <v>4419</v>
      </c>
      <c r="D4462" t="e">
        <f t="shared" ca="1" si="140"/>
        <v>#NAME?</v>
      </c>
      <c r="E4462" s="115" t="e">
        <f t="array" aca="1" ref="E4462" ca="1">IF(OR(C4461=0,AND(B4463=0,C4463=0)),"",IFERROR(INDEX($F$27:$F$36,MATCH(C4462,($F$27:$F$36)*($D$27:$D$36&lt;&gt;0),0)),IF(OR(AND(D4462=0,B4462=0,B4463&lt;&gt;0),AND(D4462*D4461&lt;0,B4462&lt;&gt;0)),IF(D4462=0,C4462,C4462*(1-ABS(D4462)/(ABS(D4462)+ABS(D4461)))+C4461*(1-ABS(D4461)/(ABS(D4462)+ABS(D4461)))),"")))</f>
        <v>#NAME?</v>
      </c>
    </row>
    <row r="4463" spans="2:5" x14ac:dyDescent="0.25">
      <c r="B4463" t="e">
        <f t="shared" ca="1" si="141"/>
        <v>#NAME?</v>
      </c>
      <c r="C4463">
        <v>4420</v>
      </c>
      <c r="D4463" t="e">
        <f t="shared" ca="1" si="140"/>
        <v>#NAME?</v>
      </c>
      <c r="E4463" s="115" t="e">
        <f t="array" aca="1" ref="E4463" ca="1">IF(OR(C4462=0,AND(B4464=0,C4464=0)),"",IFERROR(INDEX($F$27:$F$36,MATCH(C4463,($F$27:$F$36)*($D$27:$D$36&lt;&gt;0),0)),IF(OR(AND(D4463=0,B4463=0,B4464&lt;&gt;0),AND(D4463*D4462&lt;0,B4463&lt;&gt;0)),IF(D4463=0,C4463,C4463*(1-ABS(D4463)/(ABS(D4463)+ABS(D4462)))+C4462*(1-ABS(D4462)/(ABS(D4463)+ABS(D4462)))),"")))</f>
        <v>#NAME?</v>
      </c>
    </row>
    <row r="4464" spans="2:5" x14ac:dyDescent="0.25">
      <c r="B4464" t="e">
        <f t="shared" ca="1" si="141"/>
        <v>#NAME?</v>
      </c>
      <c r="C4464">
        <v>4421</v>
      </c>
      <c r="D4464" t="e">
        <f t="shared" ca="1" si="140"/>
        <v>#NAME?</v>
      </c>
      <c r="E4464" s="115" t="e">
        <f t="array" aca="1" ref="E4464" ca="1">IF(OR(C4463=0,AND(B4465=0,C4465=0)),"",IFERROR(INDEX($F$27:$F$36,MATCH(C4464,($F$27:$F$36)*($D$27:$D$36&lt;&gt;0),0)),IF(OR(AND(D4464=0,B4464=0,B4465&lt;&gt;0),AND(D4464*D4463&lt;0,B4464&lt;&gt;0)),IF(D4464=0,C4464,C4464*(1-ABS(D4464)/(ABS(D4464)+ABS(D4463)))+C4463*(1-ABS(D4463)/(ABS(D4464)+ABS(D4463)))),"")))</f>
        <v>#NAME?</v>
      </c>
    </row>
    <row r="4465" spans="2:5" x14ac:dyDescent="0.25">
      <c r="B4465" t="e">
        <f t="shared" ca="1" si="141"/>
        <v>#NAME?</v>
      </c>
      <c r="C4465">
        <v>4422</v>
      </c>
      <c r="D4465" t="e">
        <f t="shared" ca="1" si="140"/>
        <v>#NAME?</v>
      </c>
      <c r="E4465" s="115" t="e">
        <f t="array" aca="1" ref="E4465" ca="1">IF(OR(C4464=0,AND(B4466=0,C4466=0)),"",IFERROR(INDEX($F$27:$F$36,MATCH(C4465,($F$27:$F$36)*($D$27:$D$36&lt;&gt;0),0)),IF(OR(AND(D4465=0,B4465=0,B4466&lt;&gt;0),AND(D4465*D4464&lt;0,B4465&lt;&gt;0)),IF(D4465=0,C4465,C4465*(1-ABS(D4465)/(ABS(D4465)+ABS(D4464)))+C4464*(1-ABS(D4464)/(ABS(D4465)+ABS(D4464)))),"")))</f>
        <v>#NAME?</v>
      </c>
    </row>
    <row r="4466" spans="2:5" x14ac:dyDescent="0.25">
      <c r="B4466" t="e">
        <f t="shared" ca="1" si="141"/>
        <v>#NAME?</v>
      </c>
      <c r="C4466">
        <v>4423</v>
      </c>
      <c r="D4466" t="e">
        <f t="shared" ca="1" si="140"/>
        <v>#NAME?</v>
      </c>
      <c r="E4466" s="115" t="e">
        <f t="array" aca="1" ref="E4466" ca="1">IF(OR(C4465=0,AND(B4467=0,C4467=0)),"",IFERROR(INDEX($F$27:$F$36,MATCH(C4466,($F$27:$F$36)*($D$27:$D$36&lt;&gt;0),0)),IF(OR(AND(D4466=0,B4466=0,B4467&lt;&gt;0),AND(D4466*D4465&lt;0,B4466&lt;&gt;0)),IF(D4466=0,C4466,C4466*(1-ABS(D4466)/(ABS(D4466)+ABS(D4465)))+C4465*(1-ABS(D4465)/(ABS(D4466)+ABS(D4465)))),"")))</f>
        <v>#NAME?</v>
      </c>
    </row>
    <row r="4467" spans="2:5" x14ac:dyDescent="0.25">
      <c r="B4467" t="e">
        <f t="shared" ca="1" si="141"/>
        <v>#NAME?</v>
      </c>
      <c r="C4467">
        <v>4424</v>
      </c>
      <c r="D4467" t="e">
        <f t="shared" ca="1" si="140"/>
        <v>#NAME?</v>
      </c>
      <c r="E4467" s="115" t="e">
        <f t="array" aca="1" ref="E4467" ca="1">IF(OR(C4466=0,AND(B4468=0,C4468=0)),"",IFERROR(INDEX($F$27:$F$36,MATCH(C4467,($F$27:$F$36)*($D$27:$D$36&lt;&gt;0),0)),IF(OR(AND(D4467=0,B4467=0,B4468&lt;&gt;0),AND(D4467*D4466&lt;0,B4467&lt;&gt;0)),IF(D4467=0,C4467,C4467*(1-ABS(D4467)/(ABS(D4467)+ABS(D4466)))+C4466*(1-ABS(D4466)/(ABS(D4467)+ABS(D4466)))),"")))</f>
        <v>#NAME?</v>
      </c>
    </row>
    <row r="4468" spans="2:5" x14ac:dyDescent="0.25">
      <c r="B4468" t="e">
        <f t="shared" ca="1" si="141"/>
        <v>#NAME?</v>
      </c>
      <c r="C4468">
        <v>4425</v>
      </c>
      <c r="D4468" t="e">
        <f t="shared" ca="1" si="140"/>
        <v>#NAME?</v>
      </c>
      <c r="E4468" s="115" t="e">
        <f t="array" aca="1" ref="E4468" ca="1">IF(OR(C4467=0,AND(B4469=0,C4469=0)),"",IFERROR(INDEX($F$27:$F$36,MATCH(C4468,($F$27:$F$36)*($D$27:$D$36&lt;&gt;0),0)),IF(OR(AND(D4468=0,B4468=0,B4469&lt;&gt;0),AND(D4468*D4467&lt;0,B4468&lt;&gt;0)),IF(D4468=0,C4468,C4468*(1-ABS(D4468)/(ABS(D4468)+ABS(D4467)))+C4467*(1-ABS(D4467)/(ABS(D4468)+ABS(D4467)))),"")))</f>
        <v>#NAME?</v>
      </c>
    </row>
    <row r="4469" spans="2:5" x14ac:dyDescent="0.25">
      <c r="B4469" t="e">
        <f t="shared" ca="1" si="141"/>
        <v>#NAME?</v>
      </c>
      <c r="C4469">
        <v>4426</v>
      </c>
      <c r="D4469" t="e">
        <f t="shared" ca="1" si="140"/>
        <v>#NAME?</v>
      </c>
      <c r="E4469" s="115" t="e">
        <f t="array" aca="1" ref="E4469" ca="1">IF(OR(C4468=0,AND(B4470=0,C4470=0)),"",IFERROR(INDEX($F$27:$F$36,MATCH(C4469,($F$27:$F$36)*($D$27:$D$36&lt;&gt;0),0)),IF(OR(AND(D4469=0,B4469=0,B4470&lt;&gt;0),AND(D4469*D4468&lt;0,B4469&lt;&gt;0)),IF(D4469=0,C4469,C4469*(1-ABS(D4469)/(ABS(D4469)+ABS(D4468)))+C4468*(1-ABS(D4468)/(ABS(D4469)+ABS(D4468)))),"")))</f>
        <v>#NAME?</v>
      </c>
    </row>
    <row r="4470" spans="2:5" x14ac:dyDescent="0.25">
      <c r="B4470" t="e">
        <f t="shared" ca="1" si="141"/>
        <v>#NAME?</v>
      </c>
      <c r="C4470">
        <v>4427</v>
      </c>
      <c r="D4470" t="e">
        <f t="shared" ca="1" si="140"/>
        <v>#NAME?</v>
      </c>
      <c r="E4470" s="115" t="e">
        <f t="array" aca="1" ref="E4470" ca="1">IF(OR(C4469=0,AND(B4471=0,C4471=0)),"",IFERROR(INDEX($F$27:$F$36,MATCH(C4470,($F$27:$F$36)*($D$27:$D$36&lt;&gt;0),0)),IF(OR(AND(D4470=0,B4470=0,B4471&lt;&gt;0),AND(D4470*D4469&lt;0,B4470&lt;&gt;0)),IF(D4470=0,C4470,C4470*(1-ABS(D4470)/(ABS(D4470)+ABS(D4469)))+C4469*(1-ABS(D4469)/(ABS(D4470)+ABS(D4469)))),"")))</f>
        <v>#NAME?</v>
      </c>
    </row>
    <row r="4471" spans="2:5" x14ac:dyDescent="0.25">
      <c r="B4471" t="e">
        <f t="shared" ca="1" si="141"/>
        <v>#NAME?</v>
      </c>
      <c r="C4471">
        <v>4428</v>
      </c>
      <c r="D4471" t="e">
        <f t="shared" ca="1" si="140"/>
        <v>#NAME?</v>
      </c>
      <c r="E4471" s="115" t="e">
        <f t="array" aca="1" ref="E4471" ca="1">IF(OR(C4470=0,AND(B4472=0,C4472=0)),"",IFERROR(INDEX($F$27:$F$36,MATCH(C4471,($F$27:$F$36)*($D$27:$D$36&lt;&gt;0),0)),IF(OR(AND(D4471=0,B4471=0,B4472&lt;&gt;0),AND(D4471*D4470&lt;0,B4471&lt;&gt;0)),IF(D4471=0,C4471,C4471*(1-ABS(D4471)/(ABS(D4471)+ABS(D4470)))+C4470*(1-ABS(D4470)/(ABS(D4471)+ABS(D4470)))),"")))</f>
        <v>#NAME?</v>
      </c>
    </row>
    <row r="4472" spans="2:5" x14ac:dyDescent="0.25">
      <c r="B4472" t="e">
        <f t="shared" ca="1" si="141"/>
        <v>#NAME?</v>
      </c>
      <c r="C4472">
        <v>4429</v>
      </c>
      <c r="D4472" t="e">
        <f t="shared" ca="1" si="140"/>
        <v>#NAME?</v>
      </c>
      <c r="E4472" s="115" t="e">
        <f t="array" aca="1" ref="E4472" ca="1">IF(OR(C4471=0,AND(B4473=0,C4473=0)),"",IFERROR(INDEX($F$27:$F$36,MATCH(C4472,($F$27:$F$36)*($D$27:$D$36&lt;&gt;0),0)),IF(OR(AND(D4472=0,B4472=0,B4473&lt;&gt;0),AND(D4472*D4471&lt;0,B4472&lt;&gt;0)),IF(D4472=0,C4472,C4472*(1-ABS(D4472)/(ABS(D4472)+ABS(D4471)))+C4471*(1-ABS(D4471)/(ABS(D4472)+ABS(D4471)))),"")))</f>
        <v>#NAME?</v>
      </c>
    </row>
    <row r="4473" spans="2:5" x14ac:dyDescent="0.25">
      <c r="B4473" t="e">
        <f t="shared" ca="1" si="141"/>
        <v>#NAME?</v>
      </c>
      <c r="C4473">
        <v>4430</v>
      </c>
      <c r="D4473" t="e">
        <f t="shared" ca="1" si="140"/>
        <v>#NAME?</v>
      </c>
      <c r="E4473" s="115" t="e">
        <f t="array" aca="1" ref="E4473" ca="1">IF(OR(C4472=0,AND(B4474=0,C4474=0)),"",IFERROR(INDEX($F$27:$F$36,MATCH(C4473,($F$27:$F$36)*($D$27:$D$36&lt;&gt;0),0)),IF(OR(AND(D4473=0,B4473=0,B4474&lt;&gt;0),AND(D4473*D4472&lt;0,B4473&lt;&gt;0)),IF(D4473=0,C4473,C4473*(1-ABS(D4473)/(ABS(D4473)+ABS(D4472)))+C4472*(1-ABS(D4472)/(ABS(D4473)+ABS(D4472)))),"")))</f>
        <v>#NAME?</v>
      </c>
    </row>
    <row r="4474" spans="2:5" x14ac:dyDescent="0.25">
      <c r="B4474" t="e">
        <f t="shared" ca="1" si="141"/>
        <v>#NAME?</v>
      </c>
      <c r="C4474">
        <v>4431</v>
      </c>
      <c r="D4474" t="e">
        <f t="shared" ca="1" si="140"/>
        <v>#NAME?</v>
      </c>
      <c r="E4474" s="115" t="e">
        <f t="array" aca="1" ref="E4474" ca="1">IF(OR(C4473=0,AND(B4475=0,C4475=0)),"",IFERROR(INDEX($F$27:$F$36,MATCH(C4474,($F$27:$F$36)*($D$27:$D$36&lt;&gt;0),0)),IF(OR(AND(D4474=0,B4474=0,B4475&lt;&gt;0),AND(D4474*D4473&lt;0,B4474&lt;&gt;0)),IF(D4474=0,C4474,C4474*(1-ABS(D4474)/(ABS(D4474)+ABS(D4473)))+C4473*(1-ABS(D4473)/(ABS(D4474)+ABS(D4473)))),"")))</f>
        <v>#NAME?</v>
      </c>
    </row>
    <row r="4475" spans="2:5" x14ac:dyDescent="0.25">
      <c r="B4475" t="e">
        <f t="shared" ca="1" si="141"/>
        <v>#NAME?</v>
      </c>
      <c r="C4475">
        <v>4432</v>
      </c>
      <c r="D4475" t="e">
        <f t="shared" ca="1" si="140"/>
        <v>#NAME?</v>
      </c>
      <c r="E4475" s="115" t="e">
        <f t="array" aca="1" ref="E4475" ca="1">IF(OR(C4474=0,AND(B4476=0,C4476=0)),"",IFERROR(INDEX($F$27:$F$36,MATCH(C4475,($F$27:$F$36)*($D$27:$D$36&lt;&gt;0),0)),IF(OR(AND(D4475=0,B4475=0,B4476&lt;&gt;0),AND(D4475*D4474&lt;0,B4475&lt;&gt;0)),IF(D4475=0,C4475,C4475*(1-ABS(D4475)/(ABS(D4475)+ABS(D4474)))+C4474*(1-ABS(D4474)/(ABS(D4475)+ABS(D4474)))),"")))</f>
        <v>#NAME?</v>
      </c>
    </row>
    <row r="4476" spans="2:5" x14ac:dyDescent="0.25">
      <c r="B4476" t="e">
        <f t="shared" ca="1" si="141"/>
        <v>#NAME?</v>
      </c>
      <c r="C4476">
        <v>4433</v>
      </c>
      <c r="D4476" t="e">
        <f t="shared" ca="1" si="140"/>
        <v>#NAME?</v>
      </c>
      <c r="E4476" s="115" t="e">
        <f t="array" aca="1" ref="E4476" ca="1">IF(OR(C4475=0,AND(B4477=0,C4477=0)),"",IFERROR(INDEX($F$27:$F$36,MATCH(C4476,($F$27:$F$36)*($D$27:$D$36&lt;&gt;0),0)),IF(OR(AND(D4476=0,B4476=0,B4477&lt;&gt;0),AND(D4476*D4475&lt;0,B4476&lt;&gt;0)),IF(D4476=0,C4476,C4476*(1-ABS(D4476)/(ABS(D4476)+ABS(D4475)))+C4475*(1-ABS(D4475)/(ABS(D4476)+ABS(D4475)))),"")))</f>
        <v>#NAME?</v>
      </c>
    </row>
    <row r="4477" spans="2:5" x14ac:dyDescent="0.25">
      <c r="B4477" t="e">
        <f t="shared" ca="1" si="141"/>
        <v>#NAME?</v>
      </c>
      <c r="C4477">
        <v>4434</v>
      </c>
      <c r="D4477" t="e">
        <f t="shared" ca="1" si="140"/>
        <v>#NAME?</v>
      </c>
      <c r="E4477" s="115" t="e">
        <f t="array" aca="1" ref="E4477" ca="1">IF(OR(C4476=0,AND(B4478=0,C4478=0)),"",IFERROR(INDEX($F$27:$F$36,MATCH(C4477,($F$27:$F$36)*($D$27:$D$36&lt;&gt;0),0)),IF(OR(AND(D4477=0,B4477=0,B4478&lt;&gt;0),AND(D4477*D4476&lt;0,B4477&lt;&gt;0)),IF(D4477=0,C4477,C4477*(1-ABS(D4477)/(ABS(D4477)+ABS(D4476)))+C4476*(1-ABS(D4476)/(ABS(D4477)+ABS(D4476)))),"")))</f>
        <v>#NAME?</v>
      </c>
    </row>
    <row r="4478" spans="2:5" x14ac:dyDescent="0.25">
      <c r="B4478" t="e">
        <f t="shared" ca="1" si="141"/>
        <v>#NAME?</v>
      </c>
      <c r="C4478">
        <v>4435</v>
      </c>
      <c r="D4478" t="e">
        <f t="shared" ca="1" si="140"/>
        <v>#NAME?</v>
      </c>
      <c r="E4478" s="115" t="e">
        <f t="array" aca="1" ref="E4478" ca="1">IF(OR(C4477=0,AND(B4479=0,C4479=0)),"",IFERROR(INDEX($F$27:$F$36,MATCH(C4478,($F$27:$F$36)*($D$27:$D$36&lt;&gt;0),0)),IF(OR(AND(D4478=0,B4478=0,B4479&lt;&gt;0),AND(D4478*D4477&lt;0,B4478&lt;&gt;0)),IF(D4478=0,C4478,C4478*(1-ABS(D4478)/(ABS(D4478)+ABS(D4477)))+C4477*(1-ABS(D4477)/(ABS(D4478)+ABS(D4477)))),"")))</f>
        <v>#NAME?</v>
      </c>
    </row>
    <row r="4479" spans="2:5" x14ac:dyDescent="0.25">
      <c r="B4479" t="e">
        <f t="shared" ca="1" si="141"/>
        <v>#NAME?</v>
      </c>
      <c r="C4479">
        <v>4436</v>
      </c>
      <c r="D4479" t="e">
        <f t="shared" ca="1" si="140"/>
        <v>#NAME?</v>
      </c>
      <c r="E4479" s="115" t="e">
        <f t="array" aca="1" ref="E4479" ca="1">IF(OR(C4478=0,AND(B4480=0,C4480=0)),"",IFERROR(INDEX($F$27:$F$36,MATCH(C4479,($F$27:$F$36)*($D$27:$D$36&lt;&gt;0),0)),IF(OR(AND(D4479=0,B4479=0,B4480&lt;&gt;0),AND(D4479*D4478&lt;0,B4479&lt;&gt;0)),IF(D4479=0,C4479,C4479*(1-ABS(D4479)/(ABS(D4479)+ABS(D4478)))+C4478*(1-ABS(D4478)/(ABS(D4479)+ABS(D4478)))),"")))</f>
        <v>#NAME?</v>
      </c>
    </row>
    <row r="4480" spans="2:5" x14ac:dyDescent="0.25">
      <c r="B4480" t="e">
        <f t="shared" ca="1" si="141"/>
        <v>#NAME?</v>
      </c>
      <c r="C4480">
        <v>4437</v>
      </c>
      <c r="D4480" t="e">
        <f t="shared" ca="1" si="140"/>
        <v>#NAME?</v>
      </c>
      <c r="E4480" s="115" t="e">
        <f t="array" aca="1" ref="E4480" ca="1">IF(OR(C4479=0,AND(B4481=0,C4481=0)),"",IFERROR(INDEX($F$27:$F$36,MATCH(C4480,($F$27:$F$36)*($D$27:$D$36&lt;&gt;0),0)),IF(OR(AND(D4480=0,B4480=0,B4481&lt;&gt;0),AND(D4480*D4479&lt;0,B4480&lt;&gt;0)),IF(D4480=0,C4480,C4480*(1-ABS(D4480)/(ABS(D4480)+ABS(D4479)))+C4479*(1-ABS(D4479)/(ABS(D4480)+ABS(D4479)))),"")))</f>
        <v>#NAME?</v>
      </c>
    </row>
    <row r="4481" spans="2:5" x14ac:dyDescent="0.25">
      <c r="B4481" t="e">
        <f t="shared" ca="1" si="141"/>
        <v>#NAME?</v>
      </c>
      <c r="C4481">
        <v>4438</v>
      </c>
      <c r="D4481" t="e">
        <f t="shared" ca="1" si="140"/>
        <v>#NAME?</v>
      </c>
      <c r="E4481" s="115" t="e">
        <f t="array" aca="1" ref="E4481" ca="1">IF(OR(C4480=0,AND(B4482=0,C4482=0)),"",IFERROR(INDEX($F$27:$F$36,MATCH(C4481,($F$27:$F$36)*($D$27:$D$36&lt;&gt;0),0)),IF(OR(AND(D4481=0,B4481=0,B4482&lt;&gt;0),AND(D4481*D4480&lt;0,B4481&lt;&gt;0)),IF(D4481=0,C4481,C4481*(1-ABS(D4481)/(ABS(D4481)+ABS(D4480)))+C4480*(1-ABS(D4480)/(ABS(D4481)+ABS(D4480)))),"")))</f>
        <v>#NAME?</v>
      </c>
    </row>
    <row r="4482" spans="2:5" x14ac:dyDescent="0.25">
      <c r="B4482" t="e">
        <f t="shared" ca="1" si="141"/>
        <v>#NAME?</v>
      </c>
      <c r="C4482">
        <v>4439</v>
      </c>
      <c r="D4482" t="e">
        <f t="shared" ca="1" si="140"/>
        <v>#NAME?</v>
      </c>
      <c r="E4482" s="115" t="e">
        <f t="array" aca="1" ref="E4482" ca="1">IF(OR(C4481=0,AND(B4483=0,C4483=0)),"",IFERROR(INDEX($F$27:$F$36,MATCH(C4482,($F$27:$F$36)*($D$27:$D$36&lt;&gt;0),0)),IF(OR(AND(D4482=0,B4482=0,B4483&lt;&gt;0),AND(D4482*D4481&lt;0,B4482&lt;&gt;0)),IF(D4482=0,C4482,C4482*(1-ABS(D4482)/(ABS(D4482)+ABS(D4481)))+C4481*(1-ABS(D4481)/(ABS(D4482)+ABS(D4481)))),"")))</f>
        <v>#NAME?</v>
      </c>
    </row>
    <row r="4483" spans="2:5" x14ac:dyDescent="0.25">
      <c r="B4483" t="e">
        <f t="shared" ca="1" si="141"/>
        <v>#NAME?</v>
      </c>
      <c r="C4483">
        <v>4440</v>
      </c>
      <c r="D4483" t="e">
        <f t="shared" ca="1" si="140"/>
        <v>#NAME?</v>
      </c>
      <c r="E4483" s="115" t="e">
        <f t="array" aca="1" ref="E4483" ca="1">IF(OR(C4482=0,AND(B4484=0,C4484=0)),"",IFERROR(INDEX($F$27:$F$36,MATCH(C4483,($F$27:$F$36)*($D$27:$D$36&lt;&gt;0),0)),IF(OR(AND(D4483=0,B4483=0,B4484&lt;&gt;0),AND(D4483*D4482&lt;0,B4483&lt;&gt;0)),IF(D4483=0,C4483,C4483*(1-ABS(D4483)/(ABS(D4483)+ABS(D4482)))+C4482*(1-ABS(D4482)/(ABS(D4483)+ABS(D4482)))),"")))</f>
        <v>#NAME?</v>
      </c>
    </row>
    <row r="4484" spans="2:5" x14ac:dyDescent="0.25">
      <c r="B4484" t="e">
        <f t="shared" ca="1" si="141"/>
        <v>#NAME?</v>
      </c>
      <c r="C4484">
        <v>4441</v>
      </c>
      <c r="D4484" t="e">
        <f t="shared" ca="1" si="140"/>
        <v>#NAME?</v>
      </c>
      <c r="E4484" s="115" t="e">
        <f t="array" aca="1" ref="E4484" ca="1">IF(OR(C4483=0,AND(B4485=0,C4485=0)),"",IFERROR(INDEX($F$27:$F$36,MATCH(C4484,($F$27:$F$36)*($D$27:$D$36&lt;&gt;0),0)),IF(OR(AND(D4484=0,B4484=0,B4485&lt;&gt;0),AND(D4484*D4483&lt;0,B4484&lt;&gt;0)),IF(D4484=0,C4484,C4484*(1-ABS(D4484)/(ABS(D4484)+ABS(D4483)))+C4483*(1-ABS(D4483)/(ABS(D4484)+ABS(D4483)))),"")))</f>
        <v>#NAME?</v>
      </c>
    </row>
    <row r="4485" spans="2:5" x14ac:dyDescent="0.25">
      <c r="B4485" t="e">
        <f t="shared" ca="1" si="141"/>
        <v>#NAME?</v>
      </c>
      <c r="C4485">
        <v>4442</v>
      </c>
      <c r="D4485" t="e">
        <f t="shared" ca="1" si="140"/>
        <v>#NAME?</v>
      </c>
      <c r="E4485" s="115" t="e">
        <f t="array" aca="1" ref="E4485" ca="1">IF(OR(C4484=0,AND(B4486=0,C4486=0)),"",IFERROR(INDEX($F$27:$F$36,MATCH(C4485,($F$27:$F$36)*($D$27:$D$36&lt;&gt;0),0)),IF(OR(AND(D4485=0,B4485=0,B4486&lt;&gt;0),AND(D4485*D4484&lt;0,B4485&lt;&gt;0)),IF(D4485=0,C4485,C4485*(1-ABS(D4485)/(ABS(D4485)+ABS(D4484)))+C4484*(1-ABS(D4484)/(ABS(D4485)+ABS(D4484)))),"")))</f>
        <v>#NAME?</v>
      </c>
    </row>
    <row r="4486" spans="2:5" x14ac:dyDescent="0.25">
      <c r="B4486" t="e">
        <f t="shared" ca="1" si="141"/>
        <v>#NAME?</v>
      </c>
      <c r="C4486">
        <v>4443</v>
      </c>
      <c r="D4486" t="e">
        <f t="shared" ca="1" si="140"/>
        <v>#NAME?</v>
      </c>
      <c r="E4486" s="115" t="e">
        <f t="array" aca="1" ref="E4486" ca="1">IF(OR(C4485=0,AND(B4487=0,C4487=0)),"",IFERROR(INDEX($F$27:$F$36,MATCH(C4486,($F$27:$F$36)*($D$27:$D$36&lt;&gt;0),0)),IF(OR(AND(D4486=0,B4486=0,B4487&lt;&gt;0),AND(D4486*D4485&lt;0,B4486&lt;&gt;0)),IF(D4486=0,C4486,C4486*(1-ABS(D4486)/(ABS(D4486)+ABS(D4485)))+C4485*(1-ABS(D4485)/(ABS(D4486)+ABS(D4485)))),"")))</f>
        <v>#NAME?</v>
      </c>
    </row>
    <row r="4487" spans="2:5" x14ac:dyDescent="0.25">
      <c r="B4487" t="e">
        <f t="shared" ca="1" si="141"/>
        <v>#NAME?</v>
      </c>
      <c r="C4487">
        <v>4444</v>
      </c>
      <c r="D4487" t="e">
        <f t="shared" ca="1" si="140"/>
        <v>#NAME?</v>
      </c>
      <c r="E4487" s="115" t="e">
        <f t="array" aca="1" ref="E4487" ca="1">IF(OR(C4486=0,AND(B4488=0,C4488=0)),"",IFERROR(INDEX($F$27:$F$36,MATCH(C4487,($F$27:$F$36)*($D$27:$D$36&lt;&gt;0),0)),IF(OR(AND(D4487=0,B4487=0,B4488&lt;&gt;0),AND(D4487*D4486&lt;0,B4487&lt;&gt;0)),IF(D4487=0,C4487,C4487*(1-ABS(D4487)/(ABS(D4487)+ABS(D4486)))+C4486*(1-ABS(D4486)/(ABS(D4487)+ABS(D4486)))),"")))</f>
        <v>#NAME?</v>
      </c>
    </row>
    <row r="4488" spans="2:5" x14ac:dyDescent="0.25">
      <c r="B4488" t="e">
        <f t="shared" ca="1" si="141"/>
        <v>#NAME?</v>
      </c>
      <c r="C4488">
        <v>4445</v>
      </c>
      <c r="D4488" t="e">
        <f t="shared" ca="1" si="140"/>
        <v>#NAME?</v>
      </c>
      <c r="E4488" s="115" t="e">
        <f t="array" aca="1" ref="E4488" ca="1">IF(OR(C4487=0,AND(B4489=0,C4489=0)),"",IFERROR(INDEX($F$27:$F$36,MATCH(C4488,($F$27:$F$36)*($D$27:$D$36&lt;&gt;0),0)),IF(OR(AND(D4488=0,B4488=0,B4489&lt;&gt;0),AND(D4488*D4487&lt;0,B4488&lt;&gt;0)),IF(D4488=0,C4488,C4488*(1-ABS(D4488)/(ABS(D4488)+ABS(D4487)))+C4487*(1-ABS(D4487)/(ABS(D4488)+ABS(D4487)))),"")))</f>
        <v>#NAME?</v>
      </c>
    </row>
    <row r="4489" spans="2:5" x14ac:dyDescent="0.25">
      <c r="B4489" t="e">
        <f t="shared" ca="1" si="141"/>
        <v>#NAME?</v>
      </c>
      <c r="C4489">
        <v>4446</v>
      </c>
      <c r="D4489" t="e">
        <f t="shared" ca="1" si="140"/>
        <v>#NAME?</v>
      </c>
      <c r="E4489" s="115" t="e">
        <f t="array" aca="1" ref="E4489" ca="1">IF(OR(C4488=0,AND(B4490=0,C4490=0)),"",IFERROR(INDEX($F$27:$F$36,MATCH(C4489,($F$27:$F$36)*($D$27:$D$36&lt;&gt;0),0)),IF(OR(AND(D4489=0,B4489=0,B4490&lt;&gt;0),AND(D4489*D4488&lt;0,B4489&lt;&gt;0)),IF(D4489=0,C4489,C4489*(1-ABS(D4489)/(ABS(D4489)+ABS(D4488)))+C4488*(1-ABS(D4488)/(ABS(D4489)+ABS(D4488)))),"")))</f>
        <v>#NAME?</v>
      </c>
    </row>
    <row r="4490" spans="2:5" x14ac:dyDescent="0.25">
      <c r="B4490" t="e">
        <f t="shared" ca="1" si="141"/>
        <v>#NAME?</v>
      </c>
      <c r="C4490">
        <v>4447</v>
      </c>
      <c r="D4490" t="e">
        <f t="shared" ca="1" si="140"/>
        <v>#NAME?</v>
      </c>
      <c r="E4490" s="115" t="e">
        <f t="array" aca="1" ref="E4490" ca="1">IF(OR(C4489=0,AND(B4491=0,C4491=0)),"",IFERROR(INDEX($F$27:$F$36,MATCH(C4490,($F$27:$F$36)*($D$27:$D$36&lt;&gt;0),0)),IF(OR(AND(D4490=0,B4490=0,B4491&lt;&gt;0),AND(D4490*D4489&lt;0,B4490&lt;&gt;0)),IF(D4490=0,C4490,C4490*(1-ABS(D4490)/(ABS(D4490)+ABS(D4489)))+C4489*(1-ABS(D4489)/(ABS(D4490)+ABS(D4489)))),"")))</f>
        <v>#NAME?</v>
      </c>
    </row>
    <row r="4491" spans="2:5" x14ac:dyDescent="0.25">
      <c r="B4491" t="e">
        <f t="shared" ca="1" si="141"/>
        <v>#NAME?</v>
      </c>
      <c r="C4491">
        <v>4448</v>
      </c>
      <c r="D4491" t="e">
        <f t="shared" ca="1" si="140"/>
        <v>#NAME?</v>
      </c>
      <c r="E4491" s="115" t="e">
        <f t="array" aca="1" ref="E4491" ca="1">IF(OR(C4490=0,AND(B4492=0,C4492=0)),"",IFERROR(INDEX($F$27:$F$36,MATCH(C4491,($F$27:$F$36)*($D$27:$D$36&lt;&gt;0),0)),IF(OR(AND(D4491=0,B4491=0,B4492&lt;&gt;0),AND(D4491*D4490&lt;0,B4491&lt;&gt;0)),IF(D4491=0,C4491,C4491*(1-ABS(D4491)/(ABS(D4491)+ABS(D4490)))+C4490*(1-ABS(D4490)/(ABS(D4491)+ABS(D4490)))),"")))</f>
        <v>#NAME?</v>
      </c>
    </row>
    <row r="4492" spans="2:5" x14ac:dyDescent="0.25">
      <c r="B4492" t="e">
        <f t="shared" ca="1" si="141"/>
        <v>#NAME?</v>
      </c>
      <c r="C4492">
        <v>4449</v>
      </c>
      <c r="D4492" t="e">
        <f t="shared" ca="1" si="140"/>
        <v>#NAME?</v>
      </c>
      <c r="E4492" s="115" t="e">
        <f t="array" aca="1" ref="E4492" ca="1">IF(OR(C4491=0,AND(B4493=0,C4493=0)),"",IFERROR(INDEX($F$27:$F$36,MATCH(C4492,($F$27:$F$36)*($D$27:$D$36&lt;&gt;0),0)),IF(OR(AND(D4492=0,B4492=0,B4493&lt;&gt;0),AND(D4492*D4491&lt;0,B4492&lt;&gt;0)),IF(D4492=0,C4492,C4492*(1-ABS(D4492)/(ABS(D4492)+ABS(D4491)))+C4491*(1-ABS(D4491)/(ABS(D4492)+ABS(D4491)))),"")))</f>
        <v>#NAME?</v>
      </c>
    </row>
    <row r="4493" spans="2:5" x14ac:dyDescent="0.25">
      <c r="B4493" t="e">
        <f t="shared" ca="1" si="141"/>
        <v>#NAME?</v>
      </c>
      <c r="C4493">
        <v>4450</v>
      </c>
      <c r="D4493" t="e">
        <f t="shared" ca="1" si="140"/>
        <v>#NAME?</v>
      </c>
      <c r="E4493" s="115" t="e">
        <f t="array" aca="1" ref="E4493" ca="1">IF(OR(C4492=0,AND(B4494=0,C4494=0)),"",IFERROR(INDEX($F$27:$F$36,MATCH(C4493,($F$27:$F$36)*($D$27:$D$36&lt;&gt;0),0)),IF(OR(AND(D4493=0,B4493=0,B4494&lt;&gt;0),AND(D4493*D4492&lt;0,B4493&lt;&gt;0)),IF(D4493=0,C4493,C4493*(1-ABS(D4493)/(ABS(D4493)+ABS(D4492)))+C4492*(1-ABS(D4492)/(ABS(D4493)+ABS(D4492)))),"")))</f>
        <v>#NAME?</v>
      </c>
    </row>
    <row r="4494" spans="2:5" x14ac:dyDescent="0.25">
      <c r="B4494" t="e">
        <f t="shared" ca="1" si="141"/>
        <v>#NAME?</v>
      </c>
      <c r="C4494">
        <v>4451</v>
      </c>
      <c r="D4494" t="e">
        <f t="shared" ca="1" si="140"/>
        <v>#NAME?</v>
      </c>
      <c r="E4494" s="115" t="e">
        <f t="array" aca="1" ref="E4494" ca="1">IF(OR(C4493=0,AND(B4495=0,C4495=0)),"",IFERROR(INDEX($F$27:$F$36,MATCH(C4494,($F$27:$F$36)*($D$27:$D$36&lt;&gt;0),0)),IF(OR(AND(D4494=0,B4494=0,B4495&lt;&gt;0),AND(D4494*D4493&lt;0,B4494&lt;&gt;0)),IF(D4494=0,C4494,C4494*(1-ABS(D4494)/(ABS(D4494)+ABS(D4493)))+C4493*(1-ABS(D4493)/(ABS(D4494)+ABS(D4493)))),"")))</f>
        <v>#NAME?</v>
      </c>
    </row>
    <row r="4495" spans="2:5" x14ac:dyDescent="0.25">
      <c r="B4495" t="e">
        <f t="shared" ca="1" si="141"/>
        <v>#NAME?</v>
      </c>
      <c r="C4495">
        <v>4452</v>
      </c>
      <c r="D4495" t="e">
        <f t="shared" ca="1" si="140"/>
        <v>#NAME?</v>
      </c>
      <c r="E4495" s="115" t="e">
        <f t="array" aca="1" ref="E4495" ca="1">IF(OR(C4494=0,AND(B4496=0,C4496=0)),"",IFERROR(INDEX($F$27:$F$36,MATCH(C4495,($F$27:$F$36)*($D$27:$D$36&lt;&gt;0),0)),IF(OR(AND(D4495=0,B4495=0,B4496&lt;&gt;0),AND(D4495*D4494&lt;0,B4495&lt;&gt;0)),IF(D4495=0,C4495,C4495*(1-ABS(D4495)/(ABS(D4495)+ABS(D4494)))+C4494*(1-ABS(D4494)/(ABS(D4495)+ABS(D4494)))),"")))</f>
        <v>#NAME?</v>
      </c>
    </row>
    <row r="4496" spans="2:5" x14ac:dyDescent="0.25">
      <c r="B4496" t="e">
        <f t="shared" ca="1" si="141"/>
        <v>#NAME?</v>
      </c>
      <c r="C4496">
        <v>4453</v>
      </c>
      <c r="D4496" t="e">
        <f t="shared" ca="1" si="140"/>
        <v>#NAME?</v>
      </c>
      <c r="E4496" s="115" t="e">
        <f t="array" aca="1" ref="E4496" ca="1">IF(OR(C4495=0,AND(B4497=0,C4497=0)),"",IFERROR(INDEX($F$27:$F$36,MATCH(C4496,($F$27:$F$36)*($D$27:$D$36&lt;&gt;0),0)),IF(OR(AND(D4496=0,B4496=0,B4497&lt;&gt;0),AND(D4496*D4495&lt;0,B4496&lt;&gt;0)),IF(D4496=0,C4496,C4496*(1-ABS(D4496)/(ABS(D4496)+ABS(D4495)))+C4495*(1-ABS(D4495)/(ABS(D4496)+ABS(D4495)))),"")))</f>
        <v>#NAME?</v>
      </c>
    </row>
    <row r="4497" spans="2:5" x14ac:dyDescent="0.25">
      <c r="B4497" t="e">
        <f t="shared" ca="1" si="141"/>
        <v>#NAME?</v>
      </c>
      <c r="C4497">
        <v>4454</v>
      </c>
      <c r="D4497" t="e">
        <f t="shared" ca="1" si="140"/>
        <v>#NAME?</v>
      </c>
      <c r="E4497" s="115" t="e">
        <f t="array" aca="1" ref="E4497" ca="1">IF(OR(C4496=0,AND(B4498=0,C4498=0)),"",IFERROR(INDEX($F$27:$F$36,MATCH(C4497,($F$27:$F$36)*($D$27:$D$36&lt;&gt;0),0)),IF(OR(AND(D4497=0,B4497=0,B4498&lt;&gt;0),AND(D4497*D4496&lt;0,B4497&lt;&gt;0)),IF(D4497=0,C4497,C4497*(1-ABS(D4497)/(ABS(D4497)+ABS(D4496)))+C4496*(1-ABS(D4496)/(ABS(D4497)+ABS(D4496)))),"")))</f>
        <v>#NAME?</v>
      </c>
    </row>
    <row r="4498" spans="2:5" x14ac:dyDescent="0.25">
      <c r="B4498" t="e">
        <f t="shared" ca="1" si="141"/>
        <v>#NAME?</v>
      </c>
      <c r="C4498">
        <v>4455</v>
      </c>
      <c r="D4498" t="e">
        <f t="shared" ca="1" si="140"/>
        <v>#NAME?</v>
      </c>
      <c r="E4498" s="115" t="e">
        <f t="array" aca="1" ref="E4498" ca="1">IF(OR(C4497=0,AND(B4499=0,C4499=0)),"",IFERROR(INDEX($F$27:$F$36,MATCH(C4498,($F$27:$F$36)*($D$27:$D$36&lt;&gt;0),0)),IF(OR(AND(D4498=0,B4498=0,B4499&lt;&gt;0),AND(D4498*D4497&lt;0,B4498&lt;&gt;0)),IF(D4498=0,C4498,C4498*(1-ABS(D4498)/(ABS(D4498)+ABS(D4497)))+C4497*(1-ABS(D4497)/(ABS(D4498)+ABS(D4497)))),"")))</f>
        <v>#NAME?</v>
      </c>
    </row>
    <row r="4499" spans="2:5" x14ac:dyDescent="0.25">
      <c r="B4499" t="e">
        <f t="shared" ca="1" si="141"/>
        <v>#NAME?</v>
      </c>
      <c r="C4499">
        <v>4456</v>
      </c>
      <c r="D4499" t="e">
        <f t="shared" ca="1" si="140"/>
        <v>#NAME?</v>
      </c>
      <c r="E4499" s="115" t="e">
        <f t="array" aca="1" ref="E4499" ca="1">IF(OR(C4498=0,AND(B4500=0,C4500=0)),"",IFERROR(INDEX($F$27:$F$36,MATCH(C4499,($F$27:$F$36)*($D$27:$D$36&lt;&gt;0),0)),IF(OR(AND(D4499=0,B4499=0,B4500&lt;&gt;0),AND(D4499*D4498&lt;0,B4499&lt;&gt;0)),IF(D4499=0,C4499,C4499*(1-ABS(D4499)/(ABS(D4499)+ABS(D4498)))+C4498*(1-ABS(D4498)/(ABS(D4499)+ABS(D4498)))),"")))</f>
        <v>#NAME?</v>
      </c>
    </row>
    <row r="4500" spans="2:5" x14ac:dyDescent="0.25">
      <c r="B4500" t="e">
        <f t="shared" ca="1" si="141"/>
        <v>#NAME?</v>
      </c>
      <c r="C4500">
        <v>4457</v>
      </c>
      <c r="D4500" t="e">
        <f t="shared" ca="1" si="140"/>
        <v>#NAME?</v>
      </c>
      <c r="E4500" s="115" t="e">
        <f t="array" aca="1" ref="E4500" ca="1">IF(OR(C4499=0,AND(B4501=0,C4501=0)),"",IFERROR(INDEX($F$27:$F$36,MATCH(C4500,($F$27:$F$36)*($D$27:$D$36&lt;&gt;0),0)),IF(OR(AND(D4500=0,B4500=0,B4501&lt;&gt;0),AND(D4500*D4499&lt;0,B4500&lt;&gt;0)),IF(D4500=0,C4500,C4500*(1-ABS(D4500)/(ABS(D4500)+ABS(D4499)))+C4499*(1-ABS(D4499)/(ABS(D4500)+ABS(D4499)))),"")))</f>
        <v>#NAME?</v>
      </c>
    </row>
    <row r="4501" spans="2:5" x14ac:dyDescent="0.25">
      <c r="B4501" t="e">
        <f t="shared" ca="1" si="141"/>
        <v>#NAME?</v>
      </c>
      <c r="C4501">
        <v>4458</v>
      </c>
      <c r="D4501" t="e">
        <f t="shared" ca="1" si="140"/>
        <v>#NAME?</v>
      </c>
      <c r="E4501" s="115" t="e">
        <f t="array" aca="1" ref="E4501" ca="1">IF(OR(C4500=0,AND(B4502=0,C4502=0)),"",IFERROR(INDEX($F$27:$F$36,MATCH(C4501,($F$27:$F$36)*($D$27:$D$36&lt;&gt;0),0)),IF(OR(AND(D4501=0,B4501=0,B4502&lt;&gt;0),AND(D4501*D4500&lt;0,B4501&lt;&gt;0)),IF(D4501=0,C4501,C4501*(1-ABS(D4501)/(ABS(D4501)+ABS(D4500)))+C4500*(1-ABS(D4500)/(ABS(D4501)+ABS(D4500)))),"")))</f>
        <v>#NAME?</v>
      </c>
    </row>
    <row r="4502" spans="2:5" x14ac:dyDescent="0.25">
      <c r="B4502" t="e">
        <f t="shared" ca="1" si="141"/>
        <v>#NAME?</v>
      </c>
      <c r="C4502">
        <v>4459</v>
      </c>
      <c r="D4502" t="e">
        <f t="shared" ca="1" si="140"/>
        <v>#NAME?</v>
      </c>
      <c r="E4502" s="115" t="e">
        <f t="array" aca="1" ref="E4502" ca="1">IF(OR(C4501=0,AND(B4503=0,C4503=0)),"",IFERROR(INDEX($F$27:$F$36,MATCH(C4502,($F$27:$F$36)*($D$27:$D$36&lt;&gt;0),0)),IF(OR(AND(D4502=0,B4502=0,B4503&lt;&gt;0),AND(D4502*D4501&lt;0,B4502&lt;&gt;0)),IF(D4502=0,C4502,C4502*(1-ABS(D4502)/(ABS(D4502)+ABS(D4501)))+C4501*(1-ABS(D4501)/(ABS(D4502)+ABS(D4501)))),"")))</f>
        <v>#NAME?</v>
      </c>
    </row>
    <row r="4503" spans="2:5" x14ac:dyDescent="0.25">
      <c r="B4503" t="e">
        <f t="shared" ca="1" si="141"/>
        <v>#NAME?</v>
      </c>
      <c r="C4503">
        <v>4460</v>
      </c>
      <c r="D4503" t="e">
        <f t="shared" ca="1" si="140"/>
        <v>#NAME?</v>
      </c>
      <c r="E4503" s="115" t="e">
        <f t="array" aca="1" ref="E4503" ca="1">IF(OR(C4502=0,AND(B4504=0,C4504=0)),"",IFERROR(INDEX($F$27:$F$36,MATCH(C4503,($F$27:$F$36)*($D$27:$D$36&lt;&gt;0),0)),IF(OR(AND(D4503=0,B4503=0,B4504&lt;&gt;0),AND(D4503*D4502&lt;0,B4503&lt;&gt;0)),IF(D4503=0,C4503,C4503*(1-ABS(D4503)/(ABS(D4503)+ABS(D4502)))+C4502*(1-ABS(D4502)/(ABS(D4503)+ABS(D4502)))),"")))</f>
        <v>#NAME?</v>
      </c>
    </row>
    <row r="4504" spans="2:5" x14ac:dyDescent="0.25">
      <c r="B4504" t="e">
        <f t="shared" ca="1" si="141"/>
        <v>#NAME?</v>
      </c>
      <c r="C4504">
        <v>4461</v>
      </c>
      <c r="D4504" t="e">
        <f t="shared" ca="1" si="140"/>
        <v>#NAME?</v>
      </c>
      <c r="E4504" s="115" t="e">
        <f t="array" aca="1" ref="E4504" ca="1">IF(OR(C4503=0,AND(B4505=0,C4505=0)),"",IFERROR(INDEX($F$27:$F$36,MATCH(C4504,($F$27:$F$36)*($D$27:$D$36&lt;&gt;0),0)),IF(OR(AND(D4504=0,B4504=0,B4505&lt;&gt;0),AND(D4504*D4503&lt;0,B4504&lt;&gt;0)),IF(D4504=0,C4504,C4504*(1-ABS(D4504)/(ABS(D4504)+ABS(D4503)))+C4503*(1-ABS(D4503)/(ABS(D4504)+ABS(D4503)))),"")))</f>
        <v>#NAME?</v>
      </c>
    </row>
    <row r="4505" spans="2:5" x14ac:dyDescent="0.25">
      <c r="B4505" t="e">
        <f t="shared" ca="1" si="141"/>
        <v>#NAME?</v>
      </c>
      <c r="C4505">
        <v>4462</v>
      </c>
      <c r="D4505" t="e">
        <f t="shared" ca="1" si="140"/>
        <v>#NAME?</v>
      </c>
      <c r="E4505" s="115" t="e">
        <f t="array" aca="1" ref="E4505" ca="1">IF(OR(C4504=0,AND(B4506=0,C4506=0)),"",IFERROR(INDEX($F$27:$F$36,MATCH(C4505,($F$27:$F$36)*($D$27:$D$36&lt;&gt;0),0)),IF(OR(AND(D4505=0,B4505=0,B4506&lt;&gt;0),AND(D4505*D4504&lt;0,B4505&lt;&gt;0)),IF(D4505=0,C4505,C4505*(1-ABS(D4505)/(ABS(D4505)+ABS(D4504)))+C4504*(1-ABS(D4504)/(ABS(D4505)+ABS(D4504)))),"")))</f>
        <v>#NAME?</v>
      </c>
    </row>
    <row r="4506" spans="2:5" x14ac:dyDescent="0.25">
      <c r="B4506" t="e">
        <f t="shared" ca="1" si="141"/>
        <v>#NAME?</v>
      </c>
      <c r="C4506">
        <v>4463</v>
      </c>
      <c r="D4506" t="e">
        <f t="shared" ca="1" si="140"/>
        <v>#NAME?</v>
      </c>
      <c r="E4506" s="115" t="e">
        <f t="array" aca="1" ref="E4506" ca="1">IF(OR(C4505=0,AND(B4507=0,C4507=0)),"",IFERROR(INDEX($F$27:$F$36,MATCH(C4506,($F$27:$F$36)*($D$27:$D$36&lt;&gt;0),0)),IF(OR(AND(D4506=0,B4506=0,B4507&lt;&gt;0),AND(D4506*D4505&lt;0,B4506&lt;&gt;0)),IF(D4506=0,C4506,C4506*(1-ABS(D4506)/(ABS(D4506)+ABS(D4505)))+C4505*(1-ABS(D4505)/(ABS(D4506)+ABS(D4505)))),"")))</f>
        <v>#NAME?</v>
      </c>
    </row>
    <row r="4507" spans="2:5" x14ac:dyDescent="0.25">
      <c r="B4507" t="e">
        <f t="shared" ca="1" si="141"/>
        <v>#NAME?</v>
      </c>
      <c r="C4507">
        <v>4464</v>
      </c>
      <c r="D4507" t="e">
        <f t="shared" ca="1" si="140"/>
        <v>#NAME?</v>
      </c>
      <c r="E4507" s="115" t="e">
        <f t="array" aca="1" ref="E4507" ca="1">IF(OR(C4506=0,AND(B4508=0,C4508=0)),"",IFERROR(INDEX($F$27:$F$36,MATCH(C4507,($F$27:$F$36)*($D$27:$D$36&lt;&gt;0),0)),IF(OR(AND(D4507=0,B4507=0,B4508&lt;&gt;0),AND(D4507*D4506&lt;0,B4507&lt;&gt;0)),IF(D4507=0,C4507,C4507*(1-ABS(D4507)/(ABS(D4507)+ABS(D4506)))+C4506*(1-ABS(D4506)/(ABS(D4507)+ABS(D4506)))),"")))</f>
        <v>#NAME?</v>
      </c>
    </row>
    <row r="4508" spans="2:5" x14ac:dyDescent="0.25">
      <c r="B4508" t="e">
        <f t="shared" ca="1" si="141"/>
        <v>#NAME?</v>
      </c>
      <c r="C4508">
        <v>4465</v>
      </c>
      <c r="D4508" t="e">
        <f t="shared" ca="1" si="140"/>
        <v>#NAME?</v>
      </c>
      <c r="E4508" s="115" t="e">
        <f t="array" aca="1" ref="E4508" ca="1">IF(OR(C4507=0,AND(B4509=0,C4509=0)),"",IFERROR(INDEX($F$27:$F$36,MATCH(C4508,($F$27:$F$36)*($D$27:$D$36&lt;&gt;0),0)),IF(OR(AND(D4508=0,B4508=0,B4509&lt;&gt;0),AND(D4508*D4507&lt;0,B4508&lt;&gt;0)),IF(D4508=0,C4508,C4508*(1-ABS(D4508)/(ABS(D4508)+ABS(D4507)))+C4507*(1-ABS(D4507)/(ABS(D4508)+ABS(D4507)))),"")))</f>
        <v>#NAME?</v>
      </c>
    </row>
    <row r="4509" spans="2:5" x14ac:dyDescent="0.25">
      <c r="B4509" t="e">
        <f t="shared" ca="1" si="141"/>
        <v>#NAME?</v>
      </c>
      <c r="C4509">
        <v>4466</v>
      </c>
      <c r="D4509" t="e">
        <f t="shared" ca="1" si="140"/>
        <v>#NAME?</v>
      </c>
      <c r="E4509" s="115" t="e">
        <f t="array" aca="1" ref="E4509" ca="1">IF(OR(C4508=0,AND(B4510=0,C4510=0)),"",IFERROR(INDEX($F$27:$F$36,MATCH(C4509,($F$27:$F$36)*($D$27:$D$36&lt;&gt;0),0)),IF(OR(AND(D4509=0,B4509=0,B4510&lt;&gt;0),AND(D4509*D4508&lt;0,B4509&lt;&gt;0)),IF(D4509=0,C4509,C4509*(1-ABS(D4509)/(ABS(D4509)+ABS(D4508)))+C4508*(1-ABS(D4508)/(ABS(D4509)+ABS(D4508)))),"")))</f>
        <v>#NAME?</v>
      </c>
    </row>
    <row r="4510" spans="2:5" x14ac:dyDescent="0.25">
      <c r="B4510" t="e">
        <f t="shared" ca="1" si="141"/>
        <v>#NAME?</v>
      </c>
      <c r="C4510">
        <v>4467</v>
      </c>
      <c r="D4510" t="e">
        <f t="shared" ca="1" si="140"/>
        <v>#NAME?</v>
      </c>
      <c r="E4510" s="115" t="e">
        <f t="array" aca="1" ref="E4510" ca="1">IF(OR(C4509=0,AND(B4511=0,C4511=0)),"",IFERROR(INDEX($F$27:$F$36,MATCH(C4510,($F$27:$F$36)*($D$27:$D$36&lt;&gt;0),0)),IF(OR(AND(D4510=0,B4510=0,B4511&lt;&gt;0),AND(D4510*D4509&lt;0,B4510&lt;&gt;0)),IF(D4510=0,C4510,C4510*(1-ABS(D4510)/(ABS(D4510)+ABS(D4509)))+C4509*(1-ABS(D4509)/(ABS(D4510)+ABS(D4509)))),"")))</f>
        <v>#NAME?</v>
      </c>
    </row>
    <row r="4511" spans="2:5" x14ac:dyDescent="0.25">
      <c r="B4511" t="e">
        <f t="shared" ca="1" si="141"/>
        <v>#NAME?</v>
      </c>
      <c r="C4511">
        <v>4468</v>
      </c>
      <c r="D4511" t="e">
        <f t="shared" ca="1" si="140"/>
        <v>#NAME?</v>
      </c>
      <c r="E4511" s="115" t="e">
        <f t="array" aca="1" ref="E4511" ca="1">IF(OR(C4510=0,AND(B4512=0,C4512=0)),"",IFERROR(INDEX($F$27:$F$36,MATCH(C4511,($F$27:$F$36)*($D$27:$D$36&lt;&gt;0),0)),IF(OR(AND(D4511=0,B4511=0,B4512&lt;&gt;0),AND(D4511*D4510&lt;0,B4511&lt;&gt;0)),IF(D4511=0,C4511,C4511*(1-ABS(D4511)/(ABS(D4511)+ABS(D4510)))+C4510*(1-ABS(D4510)/(ABS(D4511)+ABS(D4510)))),"")))</f>
        <v>#NAME?</v>
      </c>
    </row>
    <row r="4512" spans="2:5" x14ac:dyDescent="0.25">
      <c r="B4512" t="e">
        <f t="shared" ca="1" si="141"/>
        <v>#NAME?</v>
      </c>
      <c r="C4512">
        <v>4469</v>
      </c>
      <c r="D4512" t="e">
        <f t="shared" ca="1" si="140"/>
        <v>#NAME?</v>
      </c>
      <c r="E4512" s="115" t="e">
        <f t="array" aca="1" ref="E4512" ca="1">IF(OR(C4511=0,AND(B4513=0,C4513=0)),"",IFERROR(INDEX($F$27:$F$36,MATCH(C4512,($F$27:$F$36)*($D$27:$D$36&lt;&gt;0),0)),IF(OR(AND(D4512=0,B4512=0,B4513&lt;&gt;0),AND(D4512*D4511&lt;0,B4512&lt;&gt;0)),IF(D4512=0,C4512,C4512*(1-ABS(D4512)/(ABS(D4512)+ABS(D4511)))+C4511*(1-ABS(D4511)/(ABS(D4512)+ABS(D4511)))),"")))</f>
        <v>#NAME?</v>
      </c>
    </row>
    <row r="4513" spans="2:5" x14ac:dyDescent="0.25">
      <c r="B4513" t="e">
        <f t="shared" ca="1" si="141"/>
        <v>#NAME?</v>
      </c>
      <c r="C4513">
        <v>4470</v>
      </c>
      <c r="D4513" t="e">
        <f t="shared" ca="1" si="140"/>
        <v>#NAME?</v>
      </c>
      <c r="E4513" s="115" t="e">
        <f t="array" aca="1" ref="E4513" ca="1">IF(OR(C4512=0,AND(B4514=0,C4514=0)),"",IFERROR(INDEX($F$27:$F$36,MATCH(C4513,($F$27:$F$36)*($D$27:$D$36&lt;&gt;0),0)),IF(OR(AND(D4513=0,B4513=0,B4514&lt;&gt;0),AND(D4513*D4512&lt;0,B4513&lt;&gt;0)),IF(D4513=0,C4513,C4513*(1-ABS(D4513)/(ABS(D4513)+ABS(D4512)))+C4512*(1-ABS(D4512)/(ABS(D4513)+ABS(D4512)))),"")))</f>
        <v>#NAME?</v>
      </c>
    </row>
    <row r="4514" spans="2:5" x14ac:dyDescent="0.25">
      <c r="B4514" t="e">
        <f t="shared" ca="1" si="141"/>
        <v>#NAME?</v>
      </c>
      <c r="C4514">
        <v>4471</v>
      </c>
      <c r="D4514" t="e">
        <f t="shared" ca="1" si="140"/>
        <v>#NAME?</v>
      </c>
      <c r="E4514" s="115" t="e">
        <f t="array" aca="1" ref="E4514" ca="1">IF(OR(C4513=0,AND(B4515=0,C4515=0)),"",IFERROR(INDEX($F$27:$F$36,MATCH(C4514,($F$27:$F$36)*($D$27:$D$36&lt;&gt;0),0)),IF(OR(AND(D4514=0,B4514=0,B4515&lt;&gt;0),AND(D4514*D4513&lt;0,B4514&lt;&gt;0)),IF(D4514=0,C4514,C4514*(1-ABS(D4514)/(ABS(D4514)+ABS(D4513)))+C4513*(1-ABS(D4513)/(ABS(D4514)+ABS(D4513)))),"")))</f>
        <v>#NAME?</v>
      </c>
    </row>
    <row r="4515" spans="2:5" x14ac:dyDescent="0.25">
      <c r="B4515" t="e">
        <f t="shared" ca="1" si="141"/>
        <v>#NAME?</v>
      </c>
      <c r="C4515">
        <v>4472</v>
      </c>
      <c r="D4515" t="e">
        <f t="shared" ca="1" si="140"/>
        <v>#NAME?</v>
      </c>
      <c r="E4515" s="115" t="e">
        <f t="array" aca="1" ref="E4515" ca="1">IF(OR(C4514=0,AND(B4516=0,C4516=0)),"",IFERROR(INDEX($F$27:$F$36,MATCH(C4515,($F$27:$F$36)*($D$27:$D$36&lt;&gt;0),0)),IF(OR(AND(D4515=0,B4515=0,B4516&lt;&gt;0),AND(D4515*D4514&lt;0,B4515&lt;&gt;0)),IF(D4515=0,C4515,C4515*(1-ABS(D4515)/(ABS(D4515)+ABS(D4514)))+C4514*(1-ABS(D4514)/(ABS(D4515)+ABS(D4514)))),"")))</f>
        <v>#NAME?</v>
      </c>
    </row>
    <row r="4516" spans="2:5" x14ac:dyDescent="0.25">
      <c r="B4516" t="e">
        <f t="shared" ca="1" si="141"/>
        <v>#NAME?</v>
      </c>
      <c r="C4516">
        <v>4473</v>
      </c>
      <c r="D4516" t="e">
        <f t="shared" ca="1" si="140"/>
        <v>#NAME?</v>
      </c>
      <c r="E4516" s="115" t="e">
        <f t="array" aca="1" ref="E4516" ca="1">IF(OR(C4515=0,AND(B4517=0,C4517=0)),"",IFERROR(INDEX($F$27:$F$36,MATCH(C4516,($F$27:$F$36)*($D$27:$D$36&lt;&gt;0),0)),IF(OR(AND(D4516=0,B4516=0,B4517&lt;&gt;0),AND(D4516*D4515&lt;0,B4516&lt;&gt;0)),IF(D4516=0,C4516,C4516*(1-ABS(D4516)/(ABS(D4516)+ABS(D4515)))+C4515*(1-ABS(D4515)/(ABS(D4516)+ABS(D4515)))),"")))</f>
        <v>#NAME?</v>
      </c>
    </row>
    <row r="4517" spans="2:5" x14ac:dyDescent="0.25">
      <c r="B4517" t="e">
        <f t="shared" ca="1" si="141"/>
        <v>#NAME?</v>
      </c>
      <c r="C4517">
        <v>4474</v>
      </c>
      <c r="D4517" t="e">
        <f t="shared" ca="1" si="140"/>
        <v>#NAME?</v>
      </c>
      <c r="E4517" s="115" t="e">
        <f t="array" aca="1" ref="E4517" ca="1">IF(OR(C4516=0,AND(B4518=0,C4518=0)),"",IFERROR(INDEX($F$27:$F$36,MATCH(C4517,($F$27:$F$36)*($D$27:$D$36&lt;&gt;0),0)),IF(OR(AND(D4517=0,B4517=0,B4518&lt;&gt;0),AND(D4517*D4516&lt;0,B4517&lt;&gt;0)),IF(D4517=0,C4517,C4517*(1-ABS(D4517)/(ABS(D4517)+ABS(D4516)))+C4516*(1-ABS(D4516)/(ABS(D4517)+ABS(D4516)))),"")))</f>
        <v>#NAME?</v>
      </c>
    </row>
    <row r="4518" spans="2:5" x14ac:dyDescent="0.25">
      <c r="B4518" t="e">
        <f t="shared" ca="1" si="141"/>
        <v>#NAME?</v>
      </c>
      <c r="C4518">
        <v>4475</v>
      </c>
      <c r="D4518" t="e">
        <f t="shared" ca="1" si="140"/>
        <v>#NAME?</v>
      </c>
      <c r="E4518" s="115" t="e">
        <f t="array" aca="1" ref="E4518" ca="1">IF(OR(C4517=0,AND(B4519=0,C4519=0)),"",IFERROR(INDEX($F$27:$F$36,MATCH(C4518,($F$27:$F$36)*($D$27:$D$36&lt;&gt;0),0)),IF(OR(AND(D4518=0,B4518=0,B4519&lt;&gt;0),AND(D4518*D4517&lt;0,B4518&lt;&gt;0)),IF(D4518=0,C4518,C4518*(1-ABS(D4518)/(ABS(D4518)+ABS(D4517)))+C4517*(1-ABS(D4517)/(ABS(D4518)+ABS(D4517)))),"")))</f>
        <v>#NAME?</v>
      </c>
    </row>
    <row r="4519" spans="2:5" x14ac:dyDescent="0.25">
      <c r="B4519" t="e">
        <f t="shared" ca="1" si="141"/>
        <v>#NAME?</v>
      </c>
      <c r="C4519">
        <v>4476</v>
      </c>
      <c r="D4519" t="e">
        <f t="shared" ca="1" si="140"/>
        <v>#NAME?</v>
      </c>
      <c r="E4519" s="115" t="e">
        <f t="array" aca="1" ref="E4519" ca="1">IF(OR(C4518=0,AND(B4520=0,C4520=0)),"",IFERROR(INDEX($F$27:$F$36,MATCH(C4519,($F$27:$F$36)*($D$27:$D$36&lt;&gt;0),0)),IF(OR(AND(D4519=0,B4519=0,B4520&lt;&gt;0),AND(D4519*D4518&lt;0,B4519&lt;&gt;0)),IF(D4519=0,C4519,C4519*(1-ABS(D4519)/(ABS(D4519)+ABS(D4518)))+C4518*(1-ABS(D4518)/(ABS(D4519)+ABS(D4518)))),"")))</f>
        <v>#NAME?</v>
      </c>
    </row>
    <row r="4520" spans="2:5" x14ac:dyDescent="0.25">
      <c r="B4520" t="e">
        <f t="shared" ca="1" si="141"/>
        <v>#NAME?</v>
      </c>
      <c r="C4520">
        <v>4477</v>
      </c>
      <c r="D4520" t="e">
        <f t="shared" ca="1" si="140"/>
        <v>#NAME?</v>
      </c>
      <c r="E4520" s="115" t="e">
        <f t="array" aca="1" ref="E4520" ca="1">IF(OR(C4519=0,AND(B4521=0,C4521=0)),"",IFERROR(INDEX($F$27:$F$36,MATCH(C4520,($F$27:$F$36)*($D$27:$D$36&lt;&gt;0),0)),IF(OR(AND(D4520=0,B4520=0,B4521&lt;&gt;0),AND(D4520*D4519&lt;0,B4520&lt;&gt;0)),IF(D4520=0,C4520,C4520*(1-ABS(D4520)/(ABS(D4520)+ABS(D4519)))+C4519*(1-ABS(D4519)/(ABS(D4520)+ABS(D4519)))),"")))</f>
        <v>#NAME?</v>
      </c>
    </row>
    <row r="4521" spans="2:5" x14ac:dyDescent="0.25">
      <c r="B4521" t="e">
        <f t="shared" ca="1" si="141"/>
        <v>#NAME?</v>
      </c>
      <c r="C4521">
        <v>4478</v>
      </c>
      <c r="D4521" t="e">
        <f t="shared" ca="1" si="140"/>
        <v>#NAME?</v>
      </c>
      <c r="E4521" s="115" t="e">
        <f t="array" aca="1" ref="E4521" ca="1">IF(OR(C4520=0,AND(B4522=0,C4522=0)),"",IFERROR(INDEX($F$27:$F$36,MATCH(C4521,($F$27:$F$36)*($D$27:$D$36&lt;&gt;0),0)),IF(OR(AND(D4521=0,B4521=0,B4522&lt;&gt;0),AND(D4521*D4520&lt;0,B4521&lt;&gt;0)),IF(D4521=0,C4521,C4521*(1-ABS(D4521)/(ABS(D4521)+ABS(D4520)))+C4520*(1-ABS(D4520)/(ABS(D4521)+ABS(D4520)))),"")))</f>
        <v>#NAME?</v>
      </c>
    </row>
    <row r="4522" spans="2:5" x14ac:dyDescent="0.25">
      <c r="B4522" t="e">
        <f t="shared" ca="1" si="141"/>
        <v>#NAME?</v>
      </c>
      <c r="C4522">
        <v>4479</v>
      </c>
      <c r="D4522" t="e">
        <f t="shared" ca="1" si="140"/>
        <v>#NAME?</v>
      </c>
      <c r="E4522" s="115" t="e">
        <f t="array" aca="1" ref="E4522" ca="1">IF(OR(C4521=0,AND(B4523=0,C4523=0)),"",IFERROR(INDEX($F$27:$F$36,MATCH(C4522,($F$27:$F$36)*($D$27:$D$36&lt;&gt;0),0)),IF(OR(AND(D4522=0,B4522=0,B4523&lt;&gt;0),AND(D4522*D4521&lt;0,B4522&lt;&gt;0)),IF(D4522=0,C4522,C4522*(1-ABS(D4522)/(ABS(D4522)+ABS(D4521)))+C4521*(1-ABS(D4521)/(ABS(D4522)+ABS(D4521)))),"")))</f>
        <v>#NAME?</v>
      </c>
    </row>
    <row r="4523" spans="2:5" x14ac:dyDescent="0.25">
      <c r="B4523" t="e">
        <f t="shared" ca="1" si="141"/>
        <v>#NAME?</v>
      </c>
      <c r="C4523">
        <v>4480</v>
      </c>
      <c r="D4523" t="e">
        <f t="shared" ref="D4523:D4586" ca="1" si="142">SUMPRODUCT(--($J$27:$J$37&gt;0),--($C4523-$F$27:$F$37&gt;0),($D$27:$D$37),($C4523-$F$27:$F$37))+SUMPRODUCT(--($J$27:$J$37&lt;0),--($F$27:$F$37-$C4523&gt;0),($D$27:$D$37),($F$27:$F$37-$C4523))-SUMPRODUCT($D$27:$D$37,$E$27:$E$37)</f>
        <v>#NAME?</v>
      </c>
      <c r="E4523" s="115" t="e">
        <f t="array" aca="1" ref="E4523" ca="1">IF(OR(C4522=0,AND(B4524=0,C4524=0)),"",IFERROR(INDEX($F$27:$F$36,MATCH(C4523,($F$27:$F$36)*($D$27:$D$36&lt;&gt;0),0)),IF(OR(AND(D4523=0,B4523=0,B4524&lt;&gt;0),AND(D4523*D4522&lt;0,B4523&lt;&gt;0)),IF(D4523=0,C4523,C4523*(1-ABS(D4523)/(ABS(D4523)+ABS(D4522)))+C4522*(1-ABS(D4522)/(ABS(D4523)+ABS(D4522)))),"")))</f>
        <v>#NAME?</v>
      </c>
    </row>
    <row r="4524" spans="2:5" x14ac:dyDescent="0.25">
      <c r="B4524" t="e">
        <f t="shared" ref="B4524:B4587" ca="1" si="143">ROUND((D4524-D4523)/(C4524-C4523),12)</f>
        <v>#NAME?</v>
      </c>
      <c r="C4524">
        <v>4481</v>
      </c>
      <c r="D4524" t="e">
        <f t="shared" ca="1" si="142"/>
        <v>#NAME?</v>
      </c>
      <c r="E4524" s="115" t="e">
        <f t="array" aca="1" ref="E4524" ca="1">IF(OR(C4523=0,AND(B4525=0,C4525=0)),"",IFERROR(INDEX($F$27:$F$36,MATCH(C4524,($F$27:$F$36)*($D$27:$D$36&lt;&gt;0),0)),IF(OR(AND(D4524=0,B4524=0,B4525&lt;&gt;0),AND(D4524*D4523&lt;0,B4524&lt;&gt;0)),IF(D4524=0,C4524,C4524*(1-ABS(D4524)/(ABS(D4524)+ABS(D4523)))+C4523*(1-ABS(D4523)/(ABS(D4524)+ABS(D4523)))),"")))</f>
        <v>#NAME?</v>
      </c>
    </row>
    <row r="4525" spans="2:5" x14ac:dyDescent="0.25">
      <c r="B4525" t="e">
        <f t="shared" ca="1" si="143"/>
        <v>#NAME?</v>
      </c>
      <c r="C4525">
        <v>4482</v>
      </c>
      <c r="D4525" t="e">
        <f t="shared" ca="1" si="142"/>
        <v>#NAME?</v>
      </c>
      <c r="E4525" s="115" t="e">
        <f t="array" aca="1" ref="E4525" ca="1">IF(OR(C4524=0,AND(B4526=0,C4526=0)),"",IFERROR(INDEX($F$27:$F$36,MATCH(C4525,($F$27:$F$36)*($D$27:$D$36&lt;&gt;0),0)),IF(OR(AND(D4525=0,B4525=0,B4526&lt;&gt;0),AND(D4525*D4524&lt;0,B4525&lt;&gt;0)),IF(D4525=0,C4525,C4525*(1-ABS(D4525)/(ABS(D4525)+ABS(D4524)))+C4524*(1-ABS(D4524)/(ABS(D4525)+ABS(D4524)))),"")))</f>
        <v>#NAME?</v>
      </c>
    </row>
    <row r="4526" spans="2:5" x14ac:dyDescent="0.25">
      <c r="B4526" t="e">
        <f t="shared" ca="1" si="143"/>
        <v>#NAME?</v>
      </c>
      <c r="C4526">
        <v>4483</v>
      </c>
      <c r="D4526" t="e">
        <f t="shared" ca="1" si="142"/>
        <v>#NAME?</v>
      </c>
      <c r="E4526" s="115" t="e">
        <f t="array" aca="1" ref="E4526" ca="1">IF(OR(C4525=0,AND(B4527=0,C4527=0)),"",IFERROR(INDEX($F$27:$F$36,MATCH(C4526,($F$27:$F$36)*($D$27:$D$36&lt;&gt;0),0)),IF(OR(AND(D4526=0,B4526=0,B4527&lt;&gt;0),AND(D4526*D4525&lt;0,B4526&lt;&gt;0)),IF(D4526=0,C4526,C4526*(1-ABS(D4526)/(ABS(D4526)+ABS(D4525)))+C4525*(1-ABS(D4525)/(ABS(D4526)+ABS(D4525)))),"")))</f>
        <v>#NAME?</v>
      </c>
    </row>
    <row r="4527" spans="2:5" x14ac:dyDescent="0.25">
      <c r="B4527" t="e">
        <f t="shared" ca="1" si="143"/>
        <v>#NAME?</v>
      </c>
      <c r="C4527">
        <v>4484</v>
      </c>
      <c r="D4527" t="e">
        <f t="shared" ca="1" si="142"/>
        <v>#NAME?</v>
      </c>
      <c r="E4527" s="115" t="e">
        <f t="array" aca="1" ref="E4527" ca="1">IF(OR(C4526=0,AND(B4528=0,C4528=0)),"",IFERROR(INDEX($F$27:$F$36,MATCH(C4527,($F$27:$F$36)*($D$27:$D$36&lt;&gt;0),0)),IF(OR(AND(D4527=0,B4527=0,B4528&lt;&gt;0),AND(D4527*D4526&lt;0,B4527&lt;&gt;0)),IF(D4527=0,C4527,C4527*(1-ABS(D4527)/(ABS(D4527)+ABS(D4526)))+C4526*(1-ABS(D4526)/(ABS(D4527)+ABS(D4526)))),"")))</f>
        <v>#NAME?</v>
      </c>
    </row>
    <row r="4528" spans="2:5" x14ac:dyDescent="0.25">
      <c r="B4528" t="e">
        <f t="shared" ca="1" si="143"/>
        <v>#NAME?</v>
      </c>
      <c r="C4528">
        <v>4485</v>
      </c>
      <c r="D4528" t="e">
        <f t="shared" ca="1" si="142"/>
        <v>#NAME?</v>
      </c>
      <c r="E4528" s="115" t="e">
        <f t="array" aca="1" ref="E4528" ca="1">IF(OR(C4527=0,AND(B4529=0,C4529=0)),"",IFERROR(INDEX($F$27:$F$36,MATCH(C4528,($F$27:$F$36)*($D$27:$D$36&lt;&gt;0),0)),IF(OR(AND(D4528=0,B4528=0,B4529&lt;&gt;0),AND(D4528*D4527&lt;0,B4528&lt;&gt;0)),IF(D4528=0,C4528,C4528*(1-ABS(D4528)/(ABS(D4528)+ABS(D4527)))+C4527*(1-ABS(D4527)/(ABS(D4528)+ABS(D4527)))),"")))</f>
        <v>#NAME?</v>
      </c>
    </row>
    <row r="4529" spans="2:5" x14ac:dyDescent="0.25">
      <c r="B4529" t="e">
        <f t="shared" ca="1" si="143"/>
        <v>#NAME?</v>
      </c>
      <c r="C4529">
        <v>4486</v>
      </c>
      <c r="D4529" t="e">
        <f t="shared" ca="1" si="142"/>
        <v>#NAME?</v>
      </c>
      <c r="E4529" s="115" t="e">
        <f t="array" aca="1" ref="E4529" ca="1">IF(OR(C4528=0,AND(B4530=0,C4530=0)),"",IFERROR(INDEX($F$27:$F$36,MATCH(C4529,($F$27:$F$36)*($D$27:$D$36&lt;&gt;0),0)),IF(OR(AND(D4529=0,B4529=0,B4530&lt;&gt;0),AND(D4529*D4528&lt;0,B4529&lt;&gt;0)),IF(D4529=0,C4529,C4529*(1-ABS(D4529)/(ABS(D4529)+ABS(D4528)))+C4528*(1-ABS(D4528)/(ABS(D4529)+ABS(D4528)))),"")))</f>
        <v>#NAME?</v>
      </c>
    </row>
    <row r="4530" spans="2:5" x14ac:dyDescent="0.25">
      <c r="B4530" t="e">
        <f t="shared" ca="1" si="143"/>
        <v>#NAME?</v>
      </c>
      <c r="C4530">
        <v>4487</v>
      </c>
      <c r="D4530" t="e">
        <f t="shared" ca="1" si="142"/>
        <v>#NAME?</v>
      </c>
      <c r="E4530" s="115" t="e">
        <f t="array" aca="1" ref="E4530" ca="1">IF(OR(C4529=0,AND(B4531=0,C4531=0)),"",IFERROR(INDEX($F$27:$F$36,MATCH(C4530,($F$27:$F$36)*($D$27:$D$36&lt;&gt;0),0)),IF(OR(AND(D4530=0,B4530=0,B4531&lt;&gt;0),AND(D4530*D4529&lt;0,B4530&lt;&gt;0)),IF(D4530=0,C4530,C4530*(1-ABS(D4530)/(ABS(D4530)+ABS(D4529)))+C4529*(1-ABS(D4529)/(ABS(D4530)+ABS(D4529)))),"")))</f>
        <v>#NAME?</v>
      </c>
    </row>
    <row r="4531" spans="2:5" x14ac:dyDescent="0.25">
      <c r="B4531" t="e">
        <f t="shared" ca="1" si="143"/>
        <v>#NAME?</v>
      </c>
      <c r="C4531">
        <v>4488</v>
      </c>
      <c r="D4531" t="e">
        <f t="shared" ca="1" si="142"/>
        <v>#NAME?</v>
      </c>
      <c r="E4531" s="115" t="e">
        <f t="array" aca="1" ref="E4531" ca="1">IF(OR(C4530=0,AND(B4532=0,C4532=0)),"",IFERROR(INDEX($F$27:$F$36,MATCH(C4531,($F$27:$F$36)*($D$27:$D$36&lt;&gt;0),0)),IF(OR(AND(D4531=0,B4531=0,B4532&lt;&gt;0),AND(D4531*D4530&lt;0,B4531&lt;&gt;0)),IF(D4531=0,C4531,C4531*(1-ABS(D4531)/(ABS(D4531)+ABS(D4530)))+C4530*(1-ABS(D4530)/(ABS(D4531)+ABS(D4530)))),"")))</f>
        <v>#NAME?</v>
      </c>
    </row>
    <row r="4532" spans="2:5" x14ac:dyDescent="0.25">
      <c r="B4532" t="e">
        <f t="shared" ca="1" si="143"/>
        <v>#NAME?</v>
      </c>
      <c r="C4532">
        <v>4489</v>
      </c>
      <c r="D4532" t="e">
        <f t="shared" ca="1" si="142"/>
        <v>#NAME?</v>
      </c>
      <c r="E4532" s="115" t="e">
        <f t="array" aca="1" ref="E4532" ca="1">IF(OR(C4531=0,AND(B4533=0,C4533=0)),"",IFERROR(INDEX($F$27:$F$36,MATCH(C4532,($F$27:$F$36)*($D$27:$D$36&lt;&gt;0),0)),IF(OR(AND(D4532=0,B4532=0,B4533&lt;&gt;0),AND(D4532*D4531&lt;0,B4532&lt;&gt;0)),IF(D4532=0,C4532,C4532*(1-ABS(D4532)/(ABS(D4532)+ABS(D4531)))+C4531*(1-ABS(D4531)/(ABS(D4532)+ABS(D4531)))),"")))</f>
        <v>#NAME?</v>
      </c>
    </row>
    <row r="4533" spans="2:5" x14ac:dyDescent="0.25">
      <c r="B4533" t="e">
        <f t="shared" ca="1" si="143"/>
        <v>#NAME?</v>
      </c>
      <c r="C4533">
        <v>4490</v>
      </c>
      <c r="D4533" t="e">
        <f t="shared" ca="1" si="142"/>
        <v>#NAME?</v>
      </c>
      <c r="E4533" s="115" t="e">
        <f t="array" aca="1" ref="E4533" ca="1">IF(OR(C4532=0,AND(B4534=0,C4534=0)),"",IFERROR(INDEX($F$27:$F$36,MATCH(C4533,($F$27:$F$36)*($D$27:$D$36&lt;&gt;0),0)),IF(OR(AND(D4533=0,B4533=0,B4534&lt;&gt;0),AND(D4533*D4532&lt;0,B4533&lt;&gt;0)),IF(D4533=0,C4533,C4533*(1-ABS(D4533)/(ABS(D4533)+ABS(D4532)))+C4532*(1-ABS(D4532)/(ABS(D4533)+ABS(D4532)))),"")))</f>
        <v>#NAME?</v>
      </c>
    </row>
    <row r="4534" spans="2:5" x14ac:dyDescent="0.25">
      <c r="B4534" t="e">
        <f t="shared" ca="1" si="143"/>
        <v>#NAME?</v>
      </c>
      <c r="C4534">
        <v>4491</v>
      </c>
      <c r="D4534" t="e">
        <f t="shared" ca="1" si="142"/>
        <v>#NAME?</v>
      </c>
      <c r="E4534" s="115" t="e">
        <f t="array" aca="1" ref="E4534" ca="1">IF(OR(C4533=0,AND(B4535=0,C4535=0)),"",IFERROR(INDEX($F$27:$F$36,MATCH(C4534,($F$27:$F$36)*($D$27:$D$36&lt;&gt;0),0)),IF(OR(AND(D4534=0,B4534=0,B4535&lt;&gt;0),AND(D4534*D4533&lt;0,B4534&lt;&gt;0)),IF(D4534=0,C4534,C4534*(1-ABS(D4534)/(ABS(D4534)+ABS(D4533)))+C4533*(1-ABS(D4533)/(ABS(D4534)+ABS(D4533)))),"")))</f>
        <v>#NAME?</v>
      </c>
    </row>
    <row r="4535" spans="2:5" x14ac:dyDescent="0.25">
      <c r="B4535" t="e">
        <f t="shared" ca="1" si="143"/>
        <v>#NAME?</v>
      </c>
      <c r="C4535">
        <v>4492</v>
      </c>
      <c r="D4535" t="e">
        <f t="shared" ca="1" si="142"/>
        <v>#NAME?</v>
      </c>
      <c r="E4535" s="115" t="e">
        <f t="array" aca="1" ref="E4535" ca="1">IF(OR(C4534=0,AND(B4536=0,C4536=0)),"",IFERROR(INDEX($F$27:$F$36,MATCH(C4535,($F$27:$F$36)*($D$27:$D$36&lt;&gt;0),0)),IF(OR(AND(D4535=0,B4535=0,B4536&lt;&gt;0),AND(D4535*D4534&lt;0,B4535&lt;&gt;0)),IF(D4535=0,C4535,C4535*(1-ABS(D4535)/(ABS(D4535)+ABS(D4534)))+C4534*(1-ABS(D4534)/(ABS(D4535)+ABS(D4534)))),"")))</f>
        <v>#NAME?</v>
      </c>
    </row>
    <row r="4536" spans="2:5" x14ac:dyDescent="0.25">
      <c r="B4536" t="e">
        <f t="shared" ca="1" si="143"/>
        <v>#NAME?</v>
      </c>
      <c r="C4536">
        <v>4493</v>
      </c>
      <c r="D4536" t="e">
        <f t="shared" ca="1" si="142"/>
        <v>#NAME?</v>
      </c>
      <c r="E4536" s="115" t="e">
        <f t="array" aca="1" ref="E4536" ca="1">IF(OR(C4535=0,AND(B4537=0,C4537=0)),"",IFERROR(INDEX($F$27:$F$36,MATCH(C4536,($F$27:$F$36)*($D$27:$D$36&lt;&gt;0),0)),IF(OR(AND(D4536=0,B4536=0,B4537&lt;&gt;0),AND(D4536*D4535&lt;0,B4536&lt;&gt;0)),IF(D4536=0,C4536,C4536*(1-ABS(D4536)/(ABS(D4536)+ABS(D4535)))+C4535*(1-ABS(D4535)/(ABS(D4536)+ABS(D4535)))),"")))</f>
        <v>#NAME?</v>
      </c>
    </row>
    <row r="4537" spans="2:5" x14ac:dyDescent="0.25">
      <c r="B4537" t="e">
        <f t="shared" ca="1" si="143"/>
        <v>#NAME?</v>
      </c>
      <c r="C4537">
        <v>4494</v>
      </c>
      <c r="D4537" t="e">
        <f t="shared" ca="1" si="142"/>
        <v>#NAME?</v>
      </c>
      <c r="E4537" s="115" t="e">
        <f t="array" aca="1" ref="E4537" ca="1">IF(OR(C4536=0,AND(B4538=0,C4538=0)),"",IFERROR(INDEX($F$27:$F$36,MATCH(C4537,($F$27:$F$36)*($D$27:$D$36&lt;&gt;0),0)),IF(OR(AND(D4537=0,B4537=0,B4538&lt;&gt;0),AND(D4537*D4536&lt;0,B4537&lt;&gt;0)),IF(D4537=0,C4537,C4537*(1-ABS(D4537)/(ABS(D4537)+ABS(D4536)))+C4536*(1-ABS(D4536)/(ABS(D4537)+ABS(D4536)))),"")))</f>
        <v>#NAME?</v>
      </c>
    </row>
    <row r="4538" spans="2:5" x14ac:dyDescent="0.25">
      <c r="B4538" t="e">
        <f t="shared" ca="1" si="143"/>
        <v>#NAME?</v>
      </c>
      <c r="C4538">
        <v>4495</v>
      </c>
      <c r="D4538" t="e">
        <f t="shared" ca="1" si="142"/>
        <v>#NAME?</v>
      </c>
      <c r="E4538" s="115" t="e">
        <f t="array" aca="1" ref="E4538" ca="1">IF(OR(C4537=0,AND(B4539=0,C4539=0)),"",IFERROR(INDEX($F$27:$F$36,MATCH(C4538,($F$27:$F$36)*($D$27:$D$36&lt;&gt;0),0)),IF(OR(AND(D4538=0,B4538=0,B4539&lt;&gt;0),AND(D4538*D4537&lt;0,B4538&lt;&gt;0)),IF(D4538=0,C4538,C4538*(1-ABS(D4538)/(ABS(D4538)+ABS(D4537)))+C4537*(1-ABS(D4537)/(ABS(D4538)+ABS(D4537)))),"")))</f>
        <v>#NAME?</v>
      </c>
    </row>
    <row r="4539" spans="2:5" x14ac:dyDescent="0.25">
      <c r="B4539" t="e">
        <f t="shared" ca="1" si="143"/>
        <v>#NAME?</v>
      </c>
      <c r="C4539">
        <v>4496</v>
      </c>
      <c r="D4539" t="e">
        <f t="shared" ca="1" si="142"/>
        <v>#NAME?</v>
      </c>
      <c r="E4539" s="115" t="e">
        <f t="array" aca="1" ref="E4539" ca="1">IF(OR(C4538=0,AND(B4540=0,C4540=0)),"",IFERROR(INDEX($F$27:$F$36,MATCH(C4539,($F$27:$F$36)*($D$27:$D$36&lt;&gt;0),0)),IF(OR(AND(D4539=0,B4539=0,B4540&lt;&gt;0),AND(D4539*D4538&lt;0,B4539&lt;&gt;0)),IF(D4539=0,C4539,C4539*(1-ABS(D4539)/(ABS(D4539)+ABS(D4538)))+C4538*(1-ABS(D4538)/(ABS(D4539)+ABS(D4538)))),"")))</f>
        <v>#NAME?</v>
      </c>
    </row>
    <row r="4540" spans="2:5" x14ac:dyDescent="0.25">
      <c r="B4540" t="e">
        <f t="shared" ca="1" si="143"/>
        <v>#NAME?</v>
      </c>
      <c r="C4540">
        <v>4497</v>
      </c>
      <c r="D4540" t="e">
        <f t="shared" ca="1" si="142"/>
        <v>#NAME?</v>
      </c>
      <c r="E4540" s="115" t="e">
        <f t="array" aca="1" ref="E4540" ca="1">IF(OR(C4539=0,AND(B4541=0,C4541=0)),"",IFERROR(INDEX($F$27:$F$36,MATCH(C4540,($F$27:$F$36)*($D$27:$D$36&lt;&gt;0),0)),IF(OR(AND(D4540=0,B4540=0,B4541&lt;&gt;0),AND(D4540*D4539&lt;0,B4540&lt;&gt;0)),IF(D4540=0,C4540,C4540*(1-ABS(D4540)/(ABS(D4540)+ABS(D4539)))+C4539*(1-ABS(D4539)/(ABS(D4540)+ABS(D4539)))),"")))</f>
        <v>#NAME?</v>
      </c>
    </row>
    <row r="4541" spans="2:5" x14ac:dyDescent="0.25">
      <c r="B4541" t="e">
        <f t="shared" ca="1" si="143"/>
        <v>#NAME?</v>
      </c>
      <c r="C4541">
        <v>4498</v>
      </c>
      <c r="D4541" t="e">
        <f t="shared" ca="1" si="142"/>
        <v>#NAME?</v>
      </c>
      <c r="E4541" s="115" t="e">
        <f t="array" aca="1" ref="E4541" ca="1">IF(OR(C4540=0,AND(B4542=0,C4542=0)),"",IFERROR(INDEX($F$27:$F$36,MATCH(C4541,($F$27:$F$36)*($D$27:$D$36&lt;&gt;0),0)),IF(OR(AND(D4541=0,B4541=0,B4542&lt;&gt;0),AND(D4541*D4540&lt;0,B4541&lt;&gt;0)),IF(D4541=0,C4541,C4541*(1-ABS(D4541)/(ABS(D4541)+ABS(D4540)))+C4540*(1-ABS(D4540)/(ABS(D4541)+ABS(D4540)))),"")))</f>
        <v>#NAME?</v>
      </c>
    </row>
    <row r="4542" spans="2:5" x14ac:dyDescent="0.25">
      <c r="B4542" t="e">
        <f t="shared" ca="1" si="143"/>
        <v>#NAME?</v>
      </c>
      <c r="C4542">
        <v>4499</v>
      </c>
      <c r="D4542" t="e">
        <f t="shared" ca="1" si="142"/>
        <v>#NAME?</v>
      </c>
      <c r="E4542" s="115" t="e">
        <f t="array" aca="1" ref="E4542" ca="1">IF(OR(C4541=0,AND(B4543=0,C4543=0)),"",IFERROR(INDEX($F$27:$F$36,MATCH(C4542,($F$27:$F$36)*($D$27:$D$36&lt;&gt;0),0)),IF(OR(AND(D4542=0,B4542=0,B4543&lt;&gt;0),AND(D4542*D4541&lt;0,B4542&lt;&gt;0)),IF(D4542=0,C4542,C4542*(1-ABS(D4542)/(ABS(D4542)+ABS(D4541)))+C4541*(1-ABS(D4541)/(ABS(D4542)+ABS(D4541)))),"")))</f>
        <v>#NAME?</v>
      </c>
    </row>
    <row r="4543" spans="2:5" x14ac:dyDescent="0.25">
      <c r="B4543" t="e">
        <f t="shared" ca="1" si="143"/>
        <v>#NAME?</v>
      </c>
      <c r="C4543">
        <v>4500</v>
      </c>
      <c r="D4543" t="e">
        <f t="shared" ca="1" si="142"/>
        <v>#NAME?</v>
      </c>
      <c r="E4543" s="115" t="e">
        <f t="array" aca="1" ref="E4543" ca="1">IF(OR(C4542=0,AND(B4544=0,C4544=0)),"",IFERROR(INDEX($F$27:$F$36,MATCH(C4543,($F$27:$F$36)*($D$27:$D$36&lt;&gt;0),0)),IF(OR(AND(D4543=0,B4543=0,B4544&lt;&gt;0),AND(D4543*D4542&lt;0,B4543&lt;&gt;0)),IF(D4543=0,C4543,C4543*(1-ABS(D4543)/(ABS(D4543)+ABS(D4542)))+C4542*(1-ABS(D4542)/(ABS(D4543)+ABS(D4542)))),"")))</f>
        <v>#NAME?</v>
      </c>
    </row>
    <row r="4544" spans="2:5" x14ac:dyDescent="0.25">
      <c r="B4544" t="e">
        <f t="shared" ca="1" si="143"/>
        <v>#NAME?</v>
      </c>
      <c r="C4544">
        <v>4501</v>
      </c>
      <c r="D4544" t="e">
        <f t="shared" ca="1" si="142"/>
        <v>#NAME?</v>
      </c>
      <c r="E4544" s="115" t="e">
        <f t="array" aca="1" ref="E4544" ca="1">IF(OR(C4543=0,AND(B4545=0,C4545=0)),"",IFERROR(INDEX($F$27:$F$36,MATCH(C4544,($F$27:$F$36)*($D$27:$D$36&lt;&gt;0),0)),IF(OR(AND(D4544=0,B4544=0,B4545&lt;&gt;0),AND(D4544*D4543&lt;0,B4544&lt;&gt;0)),IF(D4544=0,C4544,C4544*(1-ABS(D4544)/(ABS(D4544)+ABS(D4543)))+C4543*(1-ABS(D4543)/(ABS(D4544)+ABS(D4543)))),"")))</f>
        <v>#NAME?</v>
      </c>
    </row>
    <row r="4545" spans="2:5" x14ac:dyDescent="0.25">
      <c r="B4545" t="e">
        <f t="shared" ca="1" si="143"/>
        <v>#NAME?</v>
      </c>
      <c r="C4545">
        <v>4502</v>
      </c>
      <c r="D4545" t="e">
        <f t="shared" ca="1" si="142"/>
        <v>#NAME?</v>
      </c>
      <c r="E4545" s="115" t="e">
        <f t="array" aca="1" ref="E4545" ca="1">IF(OR(C4544=0,AND(B4546=0,C4546=0)),"",IFERROR(INDEX($F$27:$F$36,MATCH(C4545,($F$27:$F$36)*($D$27:$D$36&lt;&gt;0),0)),IF(OR(AND(D4545=0,B4545=0,B4546&lt;&gt;0),AND(D4545*D4544&lt;0,B4545&lt;&gt;0)),IF(D4545=0,C4545,C4545*(1-ABS(D4545)/(ABS(D4545)+ABS(D4544)))+C4544*(1-ABS(D4544)/(ABS(D4545)+ABS(D4544)))),"")))</f>
        <v>#NAME?</v>
      </c>
    </row>
    <row r="4546" spans="2:5" x14ac:dyDescent="0.25">
      <c r="B4546" t="e">
        <f t="shared" ca="1" si="143"/>
        <v>#NAME?</v>
      </c>
      <c r="C4546">
        <v>4503</v>
      </c>
      <c r="D4546" t="e">
        <f t="shared" ca="1" si="142"/>
        <v>#NAME?</v>
      </c>
      <c r="E4546" s="115" t="e">
        <f t="array" aca="1" ref="E4546" ca="1">IF(OR(C4545=0,AND(B4547=0,C4547=0)),"",IFERROR(INDEX($F$27:$F$36,MATCH(C4546,($F$27:$F$36)*($D$27:$D$36&lt;&gt;0),0)),IF(OR(AND(D4546=0,B4546=0,B4547&lt;&gt;0),AND(D4546*D4545&lt;0,B4546&lt;&gt;0)),IF(D4546=0,C4546,C4546*(1-ABS(D4546)/(ABS(D4546)+ABS(D4545)))+C4545*(1-ABS(D4545)/(ABS(D4546)+ABS(D4545)))),"")))</f>
        <v>#NAME?</v>
      </c>
    </row>
    <row r="4547" spans="2:5" x14ac:dyDescent="0.25">
      <c r="B4547" t="e">
        <f t="shared" ca="1" si="143"/>
        <v>#NAME?</v>
      </c>
      <c r="C4547">
        <v>4504</v>
      </c>
      <c r="D4547" t="e">
        <f t="shared" ca="1" si="142"/>
        <v>#NAME?</v>
      </c>
      <c r="E4547" s="115" t="e">
        <f t="array" aca="1" ref="E4547" ca="1">IF(OR(C4546=0,AND(B4548=0,C4548=0)),"",IFERROR(INDEX($F$27:$F$36,MATCH(C4547,($F$27:$F$36)*($D$27:$D$36&lt;&gt;0),0)),IF(OR(AND(D4547=0,B4547=0,B4548&lt;&gt;0),AND(D4547*D4546&lt;0,B4547&lt;&gt;0)),IF(D4547=0,C4547,C4547*(1-ABS(D4547)/(ABS(D4547)+ABS(D4546)))+C4546*(1-ABS(D4546)/(ABS(D4547)+ABS(D4546)))),"")))</f>
        <v>#NAME?</v>
      </c>
    </row>
    <row r="4548" spans="2:5" x14ac:dyDescent="0.25">
      <c r="B4548" t="e">
        <f t="shared" ca="1" si="143"/>
        <v>#NAME?</v>
      </c>
      <c r="C4548">
        <v>4505</v>
      </c>
      <c r="D4548" t="e">
        <f t="shared" ca="1" si="142"/>
        <v>#NAME?</v>
      </c>
      <c r="E4548" s="115" t="e">
        <f t="array" aca="1" ref="E4548" ca="1">IF(OR(C4547=0,AND(B4549=0,C4549=0)),"",IFERROR(INDEX($F$27:$F$36,MATCH(C4548,($F$27:$F$36)*($D$27:$D$36&lt;&gt;0),0)),IF(OR(AND(D4548=0,B4548=0,B4549&lt;&gt;0),AND(D4548*D4547&lt;0,B4548&lt;&gt;0)),IF(D4548=0,C4548,C4548*(1-ABS(D4548)/(ABS(D4548)+ABS(D4547)))+C4547*(1-ABS(D4547)/(ABS(D4548)+ABS(D4547)))),"")))</f>
        <v>#NAME?</v>
      </c>
    </row>
    <row r="4549" spans="2:5" x14ac:dyDescent="0.25">
      <c r="B4549" t="e">
        <f t="shared" ca="1" si="143"/>
        <v>#NAME?</v>
      </c>
      <c r="C4549">
        <v>4506</v>
      </c>
      <c r="D4549" t="e">
        <f t="shared" ca="1" si="142"/>
        <v>#NAME?</v>
      </c>
      <c r="E4549" s="115" t="e">
        <f t="array" aca="1" ref="E4549" ca="1">IF(OR(C4548=0,AND(B4550=0,C4550=0)),"",IFERROR(INDEX($F$27:$F$36,MATCH(C4549,($F$27:$F$36)*($D$27:$D$36&lt;&gt;0),0)),IF(OR(AND(D4549=0,B4549=0,B4550&lt;&gt;0),AND(D4549*D4548&lt;0,B4549&lt;&gt;0)),IF(D4549=0,C4549,C4549*(1-ABS(D4549)/(ABS(D4549)+ABS(D4548)))+C4548*(1-ABS(D4548)/(ABS(D4549)+ABS(D4548)))),"")))</f>
        <v>#NAME?</v>
      </c>
    </row>
    <row r="4550" spans="2:5" x14ac:dyDescent="0.25">
      <c r="B4550" t="e">
        <f t="shared" ca="1" si="143"/>
        <v>#NAME?</v>
      </c>
      <c r="C4550">
        <v>4507</v>
      </c>
      <c r="D4550" t="e">
        <f t="shared" ca="1" si="142"/>
        <v>#NAME?</v>
      </c>
      <c r="E4550" s="115" t="e">
        <f t="array" aca="1" ref="E4550" ca="1">IF(OR(C4549=0,AND(B4551=0,C4551=0)),"",IFERROR(INDEX($F$27:$F$36,MATCH(C4550,($F$27:$F$36)*($D$27:$D$36&lt;&gt;0),0)),IF(OR(AND(D4550=0,B4550=0,B4551&lt;&gt;0),AND(D4550*D4549&lt;0,B4550&lt;&gt;0)),IF(D4550=0,C4550,C4550*(1-ABS(D4550)/(ABS(D4550)+ABS(D4549)))+C4549*(1-ABS(D4549)/(ABS(D4550)+ABS(D4549)))),"")))</f>
        <v>#NAME?</v>
      </c>
    </row>
    <row r="4551" spans="2:5" x14ac:dyDescent="0.25">
      <c r="B4551" t="e">
        <f t="shared" ca="1" si="143"/>
        <v>#NAME?</v>
      </c>
      <c r="C4551">
        <v>4508</v>
      </c>
      <c r="D4551" t="e">
        <f t="shared" ca="1" si="142"/>
        <v>#NAME?</v>
      </c>
      <c r="E4551" s="115" t="e">
        <f t="array" aca="1" ref="E4551" ca="1">IF(OR(C4550=0,AND(B4552=0,C4552=0)),"",IFERROR(INDEX($F$27:$F$36,MATCH(C4551,($F$27:$F$36)*($D$27:$D$36&lt;&gt;0),0)),IF(OR(AND(D4551=0,B4551=0,B4552&lt;&gt;0),AND(D4551*D4550&lt;0,B4551&lt;&gt;0)),IF(D4551=0,C4551,C4551*(1-ABS(D4551)/(ABS(D4551)+ABS(D4550)))+C4550*(1-ABS(D4550)/(ABS(D4551)+ABS(D4550)))),"")))</f>
        <v>#NAME?</v>
      </c>
    </row>
    <row r="4552" spans="2:5" x14ac:dyDescent="0.25">
      <c r="B4552" t="e">
        <f t="shared" ca="1" si="143"/>
        <v>#NAME?</v>
      </c>
      <c r="C4552">
        <v>4509</v>
      </c>
      <c r="D4552" t="e">
        <f t="shared" ca="1" si="142"/>
        <v>#NAME?</v>
      </c>
      <c r="E4552" s="115" t="e">
        <f t="array" aca="1" ref="E4552" ca="1">IF(OR(C4551=0,AND(B4553=0,C4553=0)),"",IFERROR(INDEX($F$27:$F$36,MATCH(C4552,($F$27:$F$36)*($D$27:$D$36&lt;&gt;0),0)),IF(OR(AND(D4552=0,B4552=0,B4553&lt;&gt;0),AND(D4552*D4551&lt;0,B4552&lt;&gt;0)),IF(D4552=0,C4552,C4552*(1-ABS(D4552)/(ABS(D4552)+ABS(D4551)))+C4551*(1-ABS(D4551)/(ABS(D4552)+ABS(D4551)))),"")))</f>
        <v>#NAME?</v>
      </c>
    </row>
    <row r="4553" spans="2:5" x14ac:dyDescent="0.25">
      <c r="B4553" t="e">
        <f t="shared" ca="1" si="143"/>
        <v>#NAME?</v>
      </c>
      <c r="C4553">
        <v>4510</v>
      </c>
      <c r="D4553" t="e">
        <f t="shared" ca="1" si="142"/>
        <v>#NAME?</v>
      </c>
      <c r="E4553" s="115" t="e">
        <f t="array" aca="1" ref="E4553" ca="1">IF(OR(C4552=0,AND(B4554=0,C4554=0)),"",IFERROR(INDEX($F$27:$F$36,MATCH(C4553,($F$27:$F$36)*($D$27:$D$36&lt;&gt;0),0)),IF(OR(AND(D4553=0,B4553=0,B4554&lt;&gt;0),AND(D4553*D4552&lt;0,B4553&lt;&gt;0)),IF(D4553=0,C4553,C4553*(1-ABS(D4553)/(ABS(D4553)+ABS(D4552)))+C4552*(1-ABS(D4552)/(ABS(D4553)+ABS(D4552)))),"")))</f>
        <v>#NAME?</v>
      </c>
    </row>
    <row r="4554" spans="2:5" x14ac:dyDescent="0.25">
      <c r="B4554" t="e">
        <f t="shared" ca="1" si="143"/>
        <v>#NAME?</v>
      </c>
      <c r="C4554">
        <v>4511</v>
      </c>
      <c r="D4554" t="e">
        <f t="shared" ca="1" si="142"/>
        <v>#NAME?</v>
      </c>
      <c r="E4554" s="115" t="e">
        <f t="array" aca="1" ref="E4554" ca="1">IF(OR(C4553=0,AND(B4555=0,C4555=0)),"",IFERROR(INDEX($F$27:$F$36,MATCH(C4554,($F$27:$F$36)*($D$27:$D$36&lt;&gt;0),0)),IF(OR(AND(D4554=0,B4554=0,B4555&lt;&gt;0),AND(D4554*D4553&lt;0,B4554&lt;&gt;0)),IF(D4554=0,C4554,C4554*(1-ABS(D4554)/(ABS(D4554)+ABS(D4553)))+C4553*(1-ABS(D4553)/(ABS(D4554)+ABS(D4553)))),"")))</f>
        <v>#NAME?</v>
      </c>
    </row>
    <row r="4555" spans="2:5" x14ac:dyDescent="0.25">
      <c r="B4555" t="e">
        <f t="shared" ca="1" si="143"/>
        <v>#NAME?</v>
      </c>
      <c r="C4555">
        <v>4512</v>
      </c>
      <c r="D4555" t="e">
        <f t="shared" ca="1" si="142"/>
        <v>#NAME?</v>
      </c>
      <c r="E4555" s="115" t="e">
        <f t="array" aca="1" ref="E4555" ca="1">IF(OR(C4554=0,AND(B4556=0,C4556=0)),"",IFERROR(INDEX($F$27:$F$36,MATCH(C4555,($F$27:$F$36)*($D$27:$D$36&lt;&gt;0),0)),IF(OR(AND(D4555=0,B4555=0,B4556&lt;&gt;0),AND(D4555*D4554&lt;0,B4555&lt;&gt;0)),IF(D4555=0,C4555,C4555*(1-ABS(D4555)/(ABS(D4555)+ABS(D4554)))+C4554*(1-ABS(D4554)/(ABS(D4555)+ABS(D4554)))),"")))</f>
        <v>#NAME?</v>
      </c>
    </row>
    <row r="4556" spans="2:5" x14ac:dyDescent="0.25">
      <c r="B4556" t="e">
        <f t="shared" ca="1" si="143"/>
        <v>#NAME?</v>
      </c>
      <c r="C4556">
        <v>4513</v>
      </c>
      <c r="D4556" t="e">
        <f t="shared" ca="1" si="142"/>
        <v>#NAME?</v>
      </c>
      <c r="E4556" s="115" t="e">
        <f t="array" aca="1" ref="E4556" ca="1">IF(OR(C4555=0,AND(B4557=0,C4557=0)),"",IFERROR(INDEX($F$27:$F$36,MATCH(C4556,($F$27:$F$36)*($D$27:$D$36&lt;&gt;0),0)),IF(OR(AND(D4556=0,B4556=0,B4557&lt;&gt;0),AND(D4556*D4555&lt;0,B4556&lt;&gt;0)),IF(D4556=0,C4556,C4556*(1-ABS(D4556)/(ABS(D4556)+ABS(D4555)))+C4555*(1-ABS(D4555)/(ABS(D4556)+ABS(D4555)))),"")))</f>
        <v>#NAME?</v>
      </c>
    </row>
    <row r="4557" spans="2:5" x14ac:dyDescent="0.25">
      <c r="B4557" t="e">
        <f t="shared" ca="1" si="143"/>
        <v>#NAME?</v>
      </c>
      <c r="C4557">
        <v>4514</v>
      </c>
      <c r="D4557" t="e">
        <f t="shared" ca="1" si="142"/>
        <v>#NAME?</v>
      </c>
      <c r="E4557" s="115" t="e">
        <f t="array" aca="1" ref="E4557" ca="1">IF(OR(C4556=0,AND(B4558=0,C4558=0)),"",IFERROR(INDEX($F$27:$F$36,MATCH(C4557,($F$27:$F$36)*($D$27:$D$36&lt;&gt;0),0)),IF(OR(AND(D4557=0,B4557=0,B4558&lt;&gt;0),AND(D4557*D4556&lt;0,B4557&lt;&gt;0)),IF(D4557=0,C4557,C4557*(1-ABS(D4557)/(ABS(D4557)+ABS(D4556)))+C4556*(1-ABS(D4556)/(ABS(D4557)+ABS(D4556)))),"")))</f>
        <v>#NAME?</v>
      </c>
    </row>
    <row r="4558" spans="2:5" x14ac:dyDescent="0.25">
      <c r="B4558" t="e">
        <f t="shared" ca="1" si="143"/>
        <v>#NAME?</v>
      </c>
      <c r="C4558">
        <v>4515</v>
      </c>
      <c r="D4558" t="e">
        <f t="shared" ca="1" si="142"/>
        <v>#NAME?</v>
      </c>
      <c r="E4558" s="115" t="e">
        <f t="array" aca="1" ref="E4558" ca="1">IF(OR(C4557=0,AND(B4559=0,C4559=0)),"",IFERROR(INDEX($F$27:$F$36,MATCH(C4558,($F$27:$F$36)*($D$27:$D$36&lt;&gt;0),0)),IF(OR(AND(D4558=0,B4558=0,B4559&lt;&gt;0),AND(D4558*D4557&lt;0,B4558&lt;&gt;0)),IF(D4558=0,C4558,C4558*(1-ABS(D4558)/(ABS(D4558)+ABS(D4557)))+C4557*(1-ABS(D4557)/(ABS(D4558)+ABS(D4557)))),"")))</f>
        <v>#NAME?</v>
      </c>
    </row>
    <row r="4559" spans="2:5" x14ac:dyDescent="0.25">
      <c r="B4559" t="e">
        <f t="shared" ca="1" si="143"/>
        <v>#NAME?</v>
      </c>
      <c r="C4559">
        <v>4516</v>
      </c>
      <c r="D4559" t="e">
        <f t="shared" ca="1" si="142"/>
        <v>#NAME?</v>
      </c>
      <c r="E4559" s="115" t="e">
        <f t="array" aca="1" ref="E4559" ca="1">IF(OR(C4558=0,AND(B4560=0,C4560=0)),"",IFERROR(INDEX($F$27:$F$36,MATCH(C4559,($F$27:$F$36)*($D$27:$D$36&lt;&gt;0),0)),IF(OR(AND(D4559=0,B4559=0,B4560&lt;&gt;0),AND(D4559*D4558&lt;0,B4559&lt;&gt;0)),IF(D4559=0,C4559,C4559*(1-ABS(D4559)/(ABS(D4559)+ABS(D4558)))+C4558*(1-ABS(D4558)/(ABS(D4559)+ABS(D4558)))),"")))</f>
        <v>#NAME?</v>
      </c>
    </row>
    <row r="4560" spans="2:5" x14ac:dyDescent="0.25">
      <c r="B4560" t="e">
        <f t="shared" ca="1" si="143"/>
        <v>#NAME?</v>
      </c>
      <c r="C4560">
        <v>4517</v>
      </c>
      <c r="D4560" t="e">
        <f t="shared" ca="1" si="142"/>
        <v>#NAME?</v>
      </c>
      <c r="E4560" s="115" t="e">
        <f t="array" aca="1" ref="E4560" ca="1">IF(OR(C4559=0,AND(B4561=0,C4561=0)),"",IFERROR(INDEX($F$27:$F$36,MATCH(C4560,($F$27:$F$36)*($D$27:$D$36&lt;&gt;0),0)),IF(OR(AND(D4560=0,B4560=0,B4561&lt;&gt;0),AND(D4560*D4559&lt;0,B4560&lt;&gt;0)),IF(D4560=0,C4560,C4560*(1-ABS(D4560)/(ABS(D4560)+ABS(D4559)))+C4559*(1-ABS(D4559)/(ABS(D4560)+ABS(D4559)))),"")))</f>
        <v>#NAME?</v>
      </c>
    </row>
    <row r="4561" spans="2:5" x14ac:dyDescent="0.25">
      <c r="B4561" t="e">
        <f t="shared" ca="1" si="143"/>
        <v>#NAME?</v>
      </c>
      <c r="C4561">
        <v>4518</v>
      </c>
      <c r="D4561" t="e">
        <f t="shared" ca="1" si="142"/>
        <v>#NAME?</v>
      </c>
      <c r="E4561" s="115" t="e">
        <f t="array" aca="1" ref="E4561" ca="1">IF(OR(C4560=0,AND(B4562=0,C4562=0)),"",IFERROR(INDEX($F$27:$F$36,MATCH(C4561,($F$27:$F$36)*($D$27:$D$36&lt;&gt;0),0)),IF(OR(AND(D4561=0,B4561=0,B4562&lt;&gt;0),AND(D4561*D4560&lt;0,B4561&lt;&gt;0)),IF(D4561=0,C4561,C4561*(1-ABS(D4561)/(ABS(D4561)+ABS(D4560)))+C4560*(1-ABS(D4560)/(ABS(D4561)+ABS(D4560)))),"")))</f>
        <v>#NAME?</v>
      </c>
    </row>
    <row r="4562" spans="2:5" x14ac:dyDescent="0.25">
      <c r="B4562" t="e">
        <f t="shared" ca="1" si="143"/>
        <v>#NAME?</v>
      </c>
      <c r="C4562">
        <v>4519</v>
      </c>
      <c r="D4562" t="e">
        <f t="shared" ca="1" si="142"/>
        <v>#NAME?</v>
      </c>
      <c r="E4562" s="115" t="e">
        <f t="array" aca="1" ref="E4562" ca="1">IF(OR(C4561=0,AND(B4563=0,C4563=0)),"",IFERROR(INDEX($F$27:$F$36,MATCH(C4562,($F$27:$F$36)*($D$27:$D$36&lt;&gt;0),0)),IF(OR(AND(D4562=0,B4562=0,B4563&lt;&gt;0),AND(D4562*D4561&lt;0,B4562&lt;&gt;0)),IF(D4562=0,C4562,C4562*(1-ABS(D4562)/(ABS(D4562)+ABS(D4561)))+C4561*(1-ABS(D4561)/(ABS(D4562)+ABS(D4561)))),"")))</f>
        <v>#NAME?</v>
      </c>
    </row>
    <row r="4563" spans="2:5" x14ac:dyDescent="0.25">
      <c r="B4563" t="e">
        <f t="shared" ca="1" si="143"/>
        <v>#NAME?</v>
      </c>
      <c r="C4563">
        <v>4520</v>
      </c>
      <c r="D4563" t="e">
        <f t="shared" ca="1" si="142"/>
        <v>#NAME?</v>
      </c>
      <c r="E4563" s="115" t="e">
        <f t="array" aca="1" ref="E4563" ca="1">IF(OR(C4562=0,AND(B4564=0,C4564=0)),"",IFERROR(INDEX($F$27:$F$36,MATCH(C4563,($F$27:$F$36)*($D$27:$D$36&lt;&gt;0),0)),IF(OR(AND(D4563=0,B4563=0,B4564&lt;&gt;0),AND(D4563*D4562&lt;0,B4563&lt;&gt;0)),IF(D4563=0,C4563,C4563*(1-ABS(D4563)/(ABS(D4563)+ABS(D4562)))+C4562*(1-ABS(D4562)/(ABS(D4563)+ABS(D4562)))),"")))</f>
        <v>#NAME?</v>
      </c>
    </row>
    <row r="4564" spans="2:5" x14ac:dyDescent="0.25">
      <c r="B4564" t="e">
        <f t="shared" ca="1" si="143"/>
        <v>#NAME?</v>
      </c>
      <c r="C4564">
        <v>4521</v>
      </c>
      <c r="D4564" t="e">
        <f t="shared" ca="1" si="142"/>
        <v>#NAME?</v>
      </c>
      <c r="E4564" s="115" t="e">
        <f t="array" aca="1" ref="E4564" ca="1">IF(OR(C4563=0,AND(B4565=0,C4565=0)),"",IFERROR(INDEX($F$27:$F$36,MATCH(C4564,($F$27:$F$36)*($D$27:$D$36&lt;&gt;0),0)),IF(OR(AND(D4564=0,B4564=0,B4565&lt;&gt;0),AND(D4564*D4563&lt;0,B4564&lt;&gt;0)),IF(D4564=0,C4564,C4564*(1-ABS(D4564)/(ABS(D4564)+ABS(D4563)))+C4563*(1-ABS(D4563)/(ABS(D4564)+ABS(D4563)))),"")))</f>
        <v>#NAME?</v>
      </c>
    </row>
    <row r="4565" spans="2:5" x14ac:dyDescent="0.25">
      <c r="B4565" t="e">
        <f t="shared" ca="1" si="143"/>
        <v>#NAME?</v>
      </c>
      <c r="C4565">
        <v>4522</v>
      </c>
      <c r="D4565" t="e">
        <f t="shared" ca="1" si="142"/>
        <v>#NAME?</v>
      </c>
      <c r="E4565" s="115" t="e">
        <f t="array" aca="1" ref="E4565" ca="1">IF(OR(C4564=0,AND(B4566=0,C4566=0)),"",IFERROR(INDEX($F$27:$F$36,MATCH(C4565,($F$27:$F$36)*($D$27:$D$36&lt;&gt;0),0)),IF(OR(AND(D4565=0,B4565=0,B4566&lt;&gt;0),AND(D4565*D4564&lt;0,B4565&lt;&gt;0)),IF(D4565=0,C4565,C4565*(1-ABS(D4565)/(ABS(D4565)+ABS(D4564)))+C4564*(1-ABS(D4564)/(ABS(D4565)+ABS(D4564)))),"")))</f>
        <v>#NAME?</v>
      </c>
    </row>
    <row r="4566" spans="2:5" x14ac:dyDescent="0.25">
      <c r="B4566" t="e">
        <f t="shared" ca="1" si="143"/>
        <v>#NAME?</v>
      </c>
      <c r="C4566">
        <v>4523</v>
      </c>
      <c r="D4566" t="e">
        <f t="shared" ca="1" si="142"/>
        <v>#NAME?</v>
      </c>
      <c r="E4566" s="115" t="e">
        <f t="array" aca="1" ref="E4566" ca="1">IF(OR(C4565=0,AND(B4567=0,C4567=0)),"",IFERROR(INDEX($F$27:$F$36,MATCH(C4566,($F$27:$F$36)*($D$27:$D$36&lt;&gt;0),0)),IF(OR(AND(D4566=0,B4566=0,B4567&lt;&gt;0),AND(D4566*D4565&lt;0,B4566&lt;&gt;0)),IF(D4566=0,C4566,C4566*(1-ABS(D4566)/(ABS(D4566)+ABS(D4565)))+C4565*(1-ABS(D4565)/(ABS(D4566)+ABS(D4565)))),"")))</f>
        <v>#NAME?</v>
      </c>
    </row>
    <row r="4567" spans="2:5" x14ac:dyDescent="0.25">
      <c r="B4567" t="e">
        <f t="shared" ca="1" si="143"/>
        <v>#NAME?</v>
      </c>
      <c r="C4567">
        <v>4524</v>
      </c>
      <c r="D4567" t="e">
        <f t="shared" ca="1" si="142"/>
        <v>#NAME?</v>
      </c>
      <c r="E4567" s="115" t="e">
        <f t="array" aca="1" ref="E4567" ca="1">IF(OR(C4566=0,AND(B4568=0,C4568=0)),"",IFERROR(INDEX($F$27:$F$36,MATCH(C4567,($F$27:$F$36)*($D$27:$D$36&lt;&gt;0),0)),IF(OR(AND(D4567=0,B4567=0,B4568&lt;&gt;0),AND(D4567*D4566&lt;0,B4567&lt;&gt;0)),IF(D4567=0,C4567,C4567*(1-ABS(D4567)/(ABS(D4567)+ABS(D4566)))+C4566*(1-ABS(D4566)/(ABS(D4567)+ABS(D4566)))),"")))</f>
        <v>#NAME?</v>
      </c>
    </row>
    <row r="4568" spans="2:5" x14ac:dyDescent="0.25">
      <c r="B4568" t="e">
        <f t="shared" ca="1" si="143"/>
        <v>#NAME?</v>
      </c>
      <c r="C4568">
        <v>4525</v>
      </c>
      <c r="D4568" t="e">
        <f t="shared" ca="1" si="142"/>
        <v>#NAME?</v>
      </c>
      <c r="E4568" s="115" t="e">
        <f t="array" aca="1" ref="E4568" ca="1">IF(OR(C4567=0,AND(B4569=0,C4569=0)),"",IFERROR(INDEX($F$27:$F$36,MATCH(C4568,($F$27:$F$36)*($D$27:$D$36&lt;&gt;0),0)),IF(OR(AND(D4568=0,B4568=0,B4569&lt;&gt;0),AND(D4568*D4567&lt;0,B4568&lt;&gt;0)),IF(D4568=0,C4568,C4568*(1-ABS(D4568)/(ABS(D4568)+ABS(D4567)))+C4567*(1-ABS(D4567)/(ABS(D4568)+ABS(D4567)))),"")))</f>
        <v>#NAME?</v>
      </c>
    </row>
    <row r="4569" spans="2:5" x14ac:dyDescent="0.25">
      <c r="B4569" t="e">
        <f t="shared" ca="1" si="143"/>
        <v>#NAME?</v>
      </c>
      <c r="C4569">
        <v>4526</v>
      </c>
      <c r="D4569" t="e">
        <f t="shared" ca="1" si="142"/>
        <v>#NAME?</v>
      </c>
      <c r="E4569" s="115" t="e">
        <f t="array" aca="1" ref="E4569" ca="1">IF(OR(C4568=0,AND(B4570=0,C4570=0)),"",IFERROR(INDEX($F$27:$F$36,MATCH(C4569,($F$27:$F$36)*($D$27:$D$36&lt;&gt;0),0)),IF(OR(AND(D4569=0,B4569=0,B4570&lt;&gt;0),AND(D4569*D4568&lt;0,B4569&lt;&gt;0)),IF(D4569=0,C4569,C4569*(1-ABS(D4569)/(ABS(D4569)+ABS(D4568)))+C4568*(1-ABS(D4568)/(ABS(D4569)+ABS(D4568)))),"")))</f>
        <v>#NAME?</v>
      </c>
    </row>
    <row r="4570" spans="2:5" x14ac:dyDescent="0.25">
      <c r="B4570" t="e">
        <f t="shared" ca="1" si="143"/>
        <v>#NAME?</v>
      </c>
      <c r="C4570">
        <v>4527</v>
      </c>
      <c r="D4570" t="e">
        <f t="shared" ca="1" si="142"/>
        <v>#NAME?</v>
      </c>
      <c r="E4570" s="115" t="e">
        <f t="array" aca="1" ref="E4570" ca="1">IF(OR(C4569=0,AND(B4571=0,C4571=0)),"",IFERROR(INDEX($F$27:$F$36,MATCH(C4570,($F$27:$F$36)*($D$27:$D$36&lt;&gt;0),0)),IF(OR(AND(D4570=0,B4570=0,B4571&lt;&gt;0),AND(D4570*D4569&lt;0,B4570&lt;&gt;0)),IF(D4570=0,C4570,C4570*(1-ABS(D4570)/(ABS(D4570)+ABS(D4569)))+C4569*(1-ABS(D4569)/(ABS(D4570)+ABS(D4569)))),"")))</f>
        <v>#NAME?</v>
      </c>
    </row>
    <row r="4571" spans="2:5" x14ac:dyDescent="0.25">
      <c r="B4571" t="e">
        <f t="shared" ca="1" si="143"/>
        <v>#NAME?</v>
      </c>
      <c r="C4571">
        <v>4528</v>
      </c>
      <c r="D4571" t="e">
        <f t="shared" ca="1" si="142"/>
        <v>#NAME?</v>
      </c>
      <c r="E4571" s="115" t="e">
        <f t="array" aca="1" ref="E4571" ca="1">IF(OR(C4570=0,AND(B4572=0,C4572=0)),"",IFERROR(INDEX($F$27:$F$36,MATCH(C4571,($F$27:$F$36)*($D$27:$D$36&lt;&gt;0),0)),IF(OR(AND(D4571=0,B4571=0,B4572&lt;&gt;0),AND(D4571*D4570&lt;0,B4571&lt;&gt;0)),IF(D4571=0,C4571,C4571*(1-ABS(D4571)/(ABS(D4571)+ABS(D4570)))+C4570*(1-ABS(D4570)/(ABS(D4571)+ABS(D4570)))),"")))</f>
        <v>#NAME?</v>
      </c>
    </row>
    <row r="4572" spans="2:5" x14ac:dyDescent="0.25">
      <c r="B4572" t="e">
        <f t="shared" ca="1" si="143"/>
        <v>#NAME?</v>
      </c>
      <c r="C4572">
        <v>4529</v>
      </c>
      <c r="D4572" t="e">
        <f t="shared" ca="1" si="142"/>
        <v>#NAME?</v>
      </c>
      <c r="E4572" s="115" t="e">
        <f t="array" aca="1" ref="E4572" ca="1">IF(OR(C4571=0,AND(B4573=0,C4573=0)),"",IFERROR(INDEX($F$27:$F$36,MATCH(C4572,($F$27:$F$36)*($D$27:$D$36&lt;&gt;0),0)),IF(OR(AND(D4572=0,B4572=0,B4573&lt;&gt;0),AND(D4572*D4571&lt;0,B4572&lt;&gt;0)),IF(D4572=0,C4572,C4572*(1-ABS(D4572)/(ABS(D4572)+ABS(D4571)))+C4571*(1-ABS(D4571)/(ABS(D4572)+ABS(D4571)))),"")))</f>
        <v>#NAME?</v>
      </c>
    </row>
    <row r="4573" spans="2:5" x14ac:dyDescent="0.25">
      <c r="B4573" t="e">
        <f t="shared" ca="1" si="143"/>
        <v>#NAME?</v>
      </c>
      <c r="C4573">
        <v>4530</v>
      </c>
      <c r="D4573" t="e">
        <f t="shared" ca="1" si="142"/>
        <v>#NAME?</v>
      </c>
      <c r="E4573" s="115" t="e">
        <f t="array" aca="1" ref="E4573" ca="1">IF(OR(C4572=0,AND(B4574=0,C4574=0)),"",IFERROR(INDEX($F$27:$F$36,MATCH(C4573,($F$27:$F$36)*($D$27:$D$36&lt;&gt;0),0)),IF(OR(AND(D4573=0,B4573=0,B4574&lt;&gt;0),AND(D4573*D4572&lt;0,B4573&lt;&gt;0)),IF(D4573=0,C4573,C4573*(1-ABS(D4573)/(ABS(D4573)+ABS(D4572)))+C4572*(1-ABS(D4572)/(ABS(D4573)+ABS(D4572)))),"")))</f>
        <v>#NAME?</v>
      </c>
    </row>
    <row r="4574" spans="2:5" x14ac:dyDescent="0.25">
      <c r="B4574" t="e">
        <f t="shared" ca="1" si="143"/>
        <v>#NAME?</v>
      </c>
      <c r="C4574">
        <v>4531</v>
      </c>
      <c r="D4574" t="e">
        <f t="shared" ca="1" si="142"/>
        <v>#NAME?</v>
      </c>
      <c r="E4574" s="115" t="e">
        <f t="array" aca="1" ref="E4574" ca="1">IF(OR(C4573=0,AND(B4575=0,C4575=0)),"",IFERROR(INDEX($F$27:$F$36,MATCH(C4574,($F$27:$F$36)*($D$27:$D$36&lt;&gt;0),0)),IF(OR(AND(D4574=0,B4574=0,B4575&lt;&gt;0),AND(D4574*D4573&lt;0,B4574&lt;&gt;0)),IF(D4574=0,C4574,C4574*(1-ABS(D4574)/(ABS(D4574)+ABS(D4573)))+C4573*(1-ABS(D4573)/(ABS(D4574)+ABS(D4573)))),"")))</f>
        <v>#NAME?</v>
      </c>
    </row>
    <row r="4575" spans="2:5" x14ac:dyDescent="0.25">
      <c r="B4575" t="e">
        <f t="shared" ca="1" si="143"/>
        <v>#NAME?</v>
      </c>
      <c r="C4575">
        <v>4532</v>
      </c>
      <c r="D4575" t="e">
        <f t="shared" ca="1" si="142"/>
        <v>#NAME?</v>
      </c>
      <c r="E4575" s="115" t="e">
        <f t="array" aca="1" ref="E4575" ca="1">IF(OR(C4574=0,AND(B4576=0,C4576=0)),"",IFERROR(INDEX($F$27:$F$36,MATCH(C4575,($F$27:$F$36)*($D$27:$D$36&lt;&gt;0),0)),IF(OR(AND(D4575=0,B4575=0,B4576&lt;&gt;0),AND(D4575*D4574&lt;0,B4575&lt;&gt;0)),IF(D4575=0,C4575,C4575*(1-ABS(D4575)/(ABS(D4575)+ABS(D4574)))+C4574*(1-ABS(D4574)/(ABS(D4575)+ABS(D4574)))),"")))</f>
        <v>#NAME?</v>
      </c>
    </row>
    <row r="4576" spans="2:5" x14ac:dyDescent="0.25">
      <c r="B4576" t="e">
        <f t="shared" ca="1" si="143"/>
        <v>#NAME?</v>
      </c>
      <c r="C4576">
        <v>4533</v>
      </c>
      <c r="D4576" t="e">
        <f t="shared" ca="1" si="142"/>
        <v>#NAME?</v>
      </c>
      <c r="E4576" s="115" t="e">
        <f t="array" aca="1" ref="E4576" ca="1">IF(OR(C4575=0,AND(B4577=0,C4577=0)),"",IFERROR(INDEX($F$27:$F$36,MATCH(C4576,($F$27:$F$36)*($D$27:$D$36&lt;&gt;0),0)),IF(OR(AND(D4576=0,B4576=0,B4577&lt;&gt;0),AND(D4576*D4575&lt;0,B4576&lt;&gt;0)),IF(D4576=0,C4576,C4576*(1-ABS(D4576)/(ABS(D4576)+ABS(D4575)))+C4575*(1-ABS(D4575)/(ABS(D4576)+ABS(D4575)))),"")))</f>
        <v>#NAME?</v>
      </c>
    </row>
    <row r="4577" spans="2:5" x14ac:dyDescent="0.25">
      <c r="B4577" t="e">
        <f t="shared" ca="1" si="143"/>
        <v>#NAME?</v>
      </c>
      <c r="C4577">
        <v>4534</v>
      </c>
      <c r="D4577" t="e">
        <f t="shared" ca="1" si="142"/>
        <v>#NAME?</v>
      </c>
      <c r="E4577" s="115" t="e">
        <f t="array" aca="1" ref="E4577" ca="1">IF(OR(C4576=0,AND(B4578=0,C4578=0)),"",IFERROR(INDEX($F$27:$F$36,MATCH(C4577,($F$27:$F$36)*($D$27:$D$36&lt;&gt;0),0)),IF(OR(AND(D4577=0,B4577=0,B4578&lt;&gt;0),AND(D4577*D4576&lt;0,B4577&lt;&gt;0)),IF(D4577=0,C4577,C4577*(1-ABS(D4577)/(ABS(D4577)+ABS(D4576)))+C4576*(1-ABS(D4576)/(ABS(D4577)+ABS(D4576)))),"")))</f>
        <v>#NAME?</v>
      </c>
    </row>
    <row r="4578" spans="2:5" x14ac:dyDescent="0.25">
      <c r="B4578" t="e">
        <f t="shared" ca="1" si="143"/>
        <v>#NAME?</v>
      </c>
      <c r="C4578">
        <v>4535</v>
      </c>
      <c r="D4578" t="e">
        <f t="shared" ca="1" si="142"/>
        <v>#NAME?</v>
      </c>
      <c r="E4578" s="115" t="e">
        <f t="array" aca="1" ref="E4578" ca="1">IF(OR(C4577=0,AND(B4579=0,C4579=0)),"",IFERROR(INDEX($F$27:$F$36,MATCH(C4578,($F$27:$F$36)*($D$27:$D$36&lt;&gt;0),0)),IF(OR(AND(D4578=0,B4578=0,B4579&lt;&gt;0),AND(D4578*D4577&lt;0,B4578&lt;&gt;0)),IF(D4578=0,C4578,C4578*(1-ABS(D4578)/(ABS(D4578)+ABS(D4577)))+C4577*(1-ABS(D4577)/(ABS(D4578)+ABS(D4577)))),"")))</f>
        <v>#NAME?</v>
      </c>
    </row>
    <row r="4579" spans="2:5" x14ac:dyDescent="0.25">
      <c r="B4579" t="e">
        <f t="shared" ca="1" si="143"/>
        <v>#NAME?</v>
      </c>
      <c r="C4579">
        <v>4536</v>
      </c>
      <c r="D4579" t="e">
        <f t="shared" ca="1" si="142"/>
        <v>#NAME?</v>
      </c>
      <c r="E4579" s="115" t="e">
        <f t="array" aca="1" ref="E4579" ca="1">IF(OR(C4578=0,AND(B4580=0,C4580=0)),"",IFERROR(INDEX($F$27:$F$36,MATCH(C4579,($F$27:$F$36)*($D$27:$D$36&lt;&gt;0),0)),IF(OR(AND(D4579=0,B4579=0,B4580&lt;&gt;0),AND(D4579*D4578&lt;0,B4579&lt;&gt;0)),IF(D4579=0,C4579,C4579*(1-ABS(D4579)/(ABS(D4579)+ABS(D4578)))+C4578*(1-ABS(D4578)/(ABS(D4579)+ABS(D4578)))),"")))</f>
        <v>#NAME?</v>
      </c>
    </row>
    <row r="4580" spans="2:5" x14ac:dyDescent="0.25">
      <c r="B4580" t="e">
        <f t="shared" ca="1" si="143"/>
        <v>#NAME?</v>
      </c>
      <c r="C4580">
        <v>4537</v>
      </c>
      <c r="D4580" t="e">
        <f t="shared" ca="1" si="142"/>
        <v>#NAME?</v>
      </c>
      <c r="E4580" s="115" t="e">
        <f t="array" aca="1" ref="E4580" ca="1">IF(OR(C4579=0,AND(B4581=0,C4581=0)),"",IFERROR(INDEX($F$27:$F$36,MATCH(C4580,($F$27:$F$36)*($D$27:$D$36&lt;&gt;0),0)),IF(OR(AND(D4580=0,B4580=0,B4581&lt;&gt;0),AND(D4580*D4579&lt;0,B4580&lt;&gt;0)),IF(D4580=0,C4580,C4580*(1-ABS(D4580)/(ABS(D4580)+ABS(D4579)))+C4579*(1-ABS(D4579)/(ABS(D4580)+ABS(D4579)))),"")))</f>
        <v>#NAME?</v>
      </c>
    </row>
    <row r="4581" spans="2:5" x14ac:dyDescent="0.25">
      <c r="B4581" t="e">
        <f t="shared" ca="1" si="143"/>
        <v>#NAME?</v>
      </c>
      <c r="C4581">
        <v>4538</v>
      </c>
      <c r="D4581" t="e">
        <f t="shared" ca="1" si="142"/>
        <v>#NAME?</v>
      </c>
      <c r="E4581" s="115" t="e">
        <f t="array" aca="1" ref="E4581" ca="1">IF(OR(C4580=0,AND(B4582=0,C4582=0)),"",IFERROR(INDEX($F$27:$F$36,MATCH(C4581,($F$27:$F$36)*($D$27:$D$36&lt;&gt;0),0)),IF(OR(AND(D4581=0,B4581=0,B4582&lt;&gt;0),AND(D4581*D4580&lt;0,B4581&lt;&gt;0)),IF(D4581=0,C4581,C4581*(1-ABS(D4581)/(ABS(D4581)+ABS(D4580)))+C4580*(1-ABS(D4580)/(ABS(D4581)+ABS(D4580)))),"")))</f>
        <v>#NAME?</v>
      </c>
    </row>
    <row r="4582" spans="2:5" x14ac:dyDescent="0.25">
      <c r="B4582" t="e">
        <f t="shared" ca="1" si="143"/>
        <v>#NAME?</v>
      </c>
      <c r="C4582">
        <v>4539</v>
      </c>
      <c r="D4582" t="e">
        <f t="shared" ca="1" si="142"/>
        <v>#NAME?</v>
      </c>
      <c r="E4582" s="115" t="e">
        <f t="array" aca="1" ref="E4582" ca="1">IF(OR(C4581=0,AND(B4583=0,C4583=0)),"",IFERROR(INDEX($F$27:$F$36,MATCH(C4582,($F$27:$F$36)*($D$27:$D$36&lt;&gt;0),0)),IF(OR(AND(D4582=0,B4582=0,B4583&lt;&gt;0),AND(D4582*D4581&lt;0,B4582&lt;&gt;0)),IF(D4582=0,C4582,C4582*(1-ABS(D4582)/(ABS(D4582)+ABS(D4581)))+C4581*(1-ABS(D4581)/(ABS(D4582)+ABS(D4581)))),"")))</f>
        <v>#NAME?</v>
      </c>
    </row>
    <row r="4583" spans="2:5" x14ac:dyDescent="0.25">
      <c r="B4583" t="e">
        <f t="shared" ca="1" si="143"/>
        <v>#NAME?</v>
      </c>
      <c r="C4583">
        <v>4540</v>
      </c>
      <c r="D4583" t="e">
        <f t="shared" ca="1" si="142"/>
        <v>#NAME?</v>
      </c>
      <c r="E4583" s="115" t="e">
        <f t="array" aca="1" ref="E4583" ca="1">IF(OR(C4582=0,AND(B4584=0,C4584=0)),"",IFERROR(INDEX($F$27:$F$36,MATCH(C4583,($F$27:$F$36)*($D$27:$D$36&lt;&gt;0),0)),IF(OR(AND(D4583=0,B4583=0,B4584&lt;&gt;0),AND(D4583*D4582&lt;0,B4583&lt;&gt;0)),IF(D4583=0,C4583,C4583*(1-ABS(D4583)/(ABS(D4583)+ABS(D4582)))+C4582*(1-ABS(D4582)/(ABS(D4583)+ABS(D4582)))),"")))</f>
        <v>#NAME?</v>
      </c>
    </row>
    <row r="4584" spans="2:5" x14ac:dyDescent="0.25">
      <c r="B4584" t="e">
        <f t="shared" ca="1" si="143"/>
        <v>#NAME?</v>
      </c>
      <c r="C4584">
        <v>4541</v>
      </c>
      <c r="D4584" t="e">
        <f t="shared" ca="1" si="142"/>
        <v>#NAME?</v>
      </c>
      <c r="E4584" s="115" t="e">
        <f t="array" aca="1" ref="E4584" ca="1">IF(OR(C4583=0,AND(B4585=0,C4585=0)),"",IFERROR(INDEX($F$27:$F$36,MATCH(C4584,($F$27:$F$36)*($D$27:$D$36&lt;&gt;0),0)),IF(OR(AND(D4584=0,B4584=0,B4585&lt;&gt;0),AND(D4584*D4583&lt;0,B4584&lt;&gt;0)),IF(D4584=0,C4584,C4584*(1-ABS(D4584)/(ABS(D4584)+ABS(D4583)))+C4583*(1-ABS(D4583)/(ABS(D4584)+ABS(D4583)))),"")))</f>
        <v>#NAME?</v>
      </c>
    </row>
    <row r="4585" spans="2:5" x14ac:dyDescent="0.25">
      <c r="B4585" t="e">
        <f t="shared" ca="1" si="143"/>
        <v>#NAME?</v>
      </c>
      <c r="C4585">
        <v>4542</v>
      </c>
      <c r="D4585" t="e">
        <f t="shared" ca="1" si="142"/>
        <v>#NAME?</v>
      </c>
      <c r="E4585" s="115" t="e">
        <f t="array" aca="1" ref="E4585" ca="1">IF(OR(C4584=0,AND(B4586=0,C4586=0)),"",IFERROR(INDEX($F$27:$F$36,MATCH(C4585,($F$27:$F$36)*($D$27:$D$36&lt;&gt;0),0)),IF(OR(AND(D4585=0,B4585=0,B4586&lt;&gt;0),AND(D4585*D4584&lt;0,B4585&lt;&gt;0)),IF(D4585=0,C4585,C4585*(1-ABS(D4585)/(ABS(D4585)+ABS(D4584)))+C4584*(1-ABS(D4584)/(ABS(D4585)+ABS(D4584)))),"")))</f>
        <v>#NAME?</v>
      </c>
    </row>
    <row r="4586" spans="2:5" x14ac:dyDescent="0.25">
      <c r="B4586" t="e">
        <f t="shared" ca="1" si="143"/>
        <v>#NAME?</v>
      </c>
      <c r="C4586">
        <v>4543</v>
      </c>
      <c r="D4586" t="e">
        <f t="shared" ca="1" si="142"/>
        <v>#NAME?</v>
      </c>
      <c r="E4586" s="115" t="e">
        <f t="array" aca="1" ref="E4586" ca="1">IF(OR(C4585=0,AND(B4587=0,C4587=0)),"",IFERROR(INDEX($F$27:$F$36,MATCH(C4586,($F$27:$F$36)*($D$27:$D$36&lt;&gt;0),0)),IF(OR(AND(D4586=0,B4586=0,B4587&lt;&gt;0),AND(D4586*D4585&lt;0,B4586&lt;&gt;0)),IF(D4586=0,C4586,C4586*(1-ABS(D4586)/(ABS(D4586)+ABS(D4585)))+C4585*(1-ABS(D4585)/(ABS(D4586)+ABS(D4585)))),"")))</f>
        <v>#NAME?</v>
      </c>
    </row>
    <row r="4587" spans="2:5" x14ac:dyDescent="0.25">
      <c r="B4587" t="e">
        <f t="shared" ca="1" si="143"/>
        <v>#NAME?</v>
      </c>
      <c r="C4587">
        <v>4544</v>
      </c>
      <c r="D4587" t="e">
        <f t="shared" ref="D4587:D4650" ca="1" si="144">SUMPRODUCT(--($J$27:$J$37&gt;0),--($C4587-$F$27:$F$37&gt;0),($D$27:$D$37),($C4587-$F$27:$F$37))+SUMPRODUCT(--($J$27:$J$37&lt;0),--($F$27:$F$37-$C4587&gt;0),($D$27:$D$37),($F$27:$F$37-$C4587))-SUMPRODUCT($D$27:$D$37,$E$27:$E$37)</f>
        <v>#NAME?</v>
      </c>
      <c r="E4587" s="115" t="e">
        <f t="array" aca="1" ref="E4587" ca="1">IF(OR(C4586=0,AND(B4588=0,C4588=0)),"",IFERROR(INDEX($F$27:$F$36,MATCH(C4587,($F$27:$F$36)*($D$27:$D$36&lt;&gt;0),0)),IF(OR(AND(D4587=0,B4587=0,B4588&lt;&gt;0),AND(D4587*D4586&lt;0,B4587&lt;&gt;0)),IF(D4587=0,C4587,C4587*(1-ABS(D4587)/(ABS(D4587)+ABS(D4586)))+C4586*(1-ABS(D4586)/(ABS(D4587)+ABS(D4586)))),"")))</f>
        <v>#NAME?</v>
      </c>
    </row>
    <row r="4588" spans="2:5" x14ac:dyDescent="0.25">
      <c r="B4588" t="e">
        <f t="shared" ref="B4588:B4651" ca="1" si="145">ROUND((D4588-D4587)/(C4588-C4587),12)</f>
        <v>#NAME?</v>
      </c>
      <c r="C4588">
        <v>4545</v>
      </c>
      <c r="D4588" t="e">
        <f t="shared" ca="1" si="144"/>
        <v>#NAME?</v>
      </c>
      <c r="E4588" s="115" t="e">
        <f t="array" aca="1" ref="E4588" ca="1">IF(OR(C4587=0,AND(B4589=0,C4589=0)),"",IFERROR(INDEX($F$27:$F$36,MATCH(C4588,($F$27:$F$36)*($D$27:$D$36&lt;&gt;0),0)),IF(OR(AND(D4588=0,B4588=0,B4589&lt;&gt;0),AND(D4588*D4587&lt;0,B4588&lt;&gt;0)),IF(D4588=0,C4588,C4588*(1-ABS(D4588)/(ABS(D4588)+ABS(D4587)))+C4587*(1-ABS(D4587)/(ABS(D4588)+ABS(D4587)))),"")))</f>
        <v>#NAME?</v>
      </c>
    </row>
    <row r="4589" spans="2:5" x14ac:dyDescent="0.25">
      <c r="B4589" t="e">
        <f t="shared" ca="1" si="145"/>
        <v>#NAME?</v>
      </c>
      <c r="C4589">
        <v>4546</v>
      </c>
      <c r="D4589" t="e">
        <f t="shared" ca="1" si="144"/>
        <v>#NAME?</v>
      </c>
      <c r="E4589" s="115" t="e">
        <f t="array" aca="1" ref="E4589" ca="1">IF(OR(C4588=0,AND(B4590=0,C4590=0)),"",IFERROR(INDEX($F$27:$F$36,MATCH(C4589,($F$27:$F$36)*($D$27:$D$36&lt;&gt;0),0)),IF(OR(AND(D4589=0,B4589=0,B4590&lt;&gt;0),AND(D4589*D4588&lt;0,B4589&lt;&gt;0)),IF(D4589=0,C4589,C4589*(1-ABS(D4589)/(ABS(D4589)+ABS(D4588)))+C4588*(1-ABS(D4588)/(ABS(D4589)+ABS(D4588)))),"")))</f>
        <v>#NAME?</v>
      </c>
    </row>
    <row r="4590" spans="2:5" x14ac:dyDescent="0.25">
      <c r="B4590" t="e">
        <f t="shared" ca="1" si="145"/>
        <v>#NAME?</v>
      </c>
      <c r="C4590">
        <v>4547</v>
      </c>
      <c r="D4590" t="e">
        <f t="shared" ca="1" si="144"/>
        <v>#NAME?</v>
      </c>
      <c r="E4590" s="115" t="e">
        <f t="array" aca="1" ref="E4590" ca="1">IF(OR(C4589=0,AND(B4591=0,C4591=0)),"",IFERROR(INDEX($F$27:$F$36,MATCH(C4590,($F$27:$F$36)*($D$27:$D$36&lt;&gt;0),0)),IF(OR(AND(D4590=0,B4590=0,B4591&lt;&gt;0),AND(D4590*D4589&lt;0,B4590&lt;&gt;0)),IF(D4590=0,C4590,C4590*(1-ABS(D4590)/(ABS(D4590)+ABS(D4589)))+C4589*(1-ABS(D4589)/(ABS(D4590)+ABS(D4589)))),"")))</f>
        <v>#NAME?</v>
      </c>
    </row>
    <row r="4591" spans="2:5" x14ac:dyDescent="0.25">
      <c r="B4591" t="e">
        <f t="shared" ca="1" si="145"/>
        <v>#NAME?</v>
      </c>
      <c r="C4591">
        <v>4548</v>
      </c>
      <c r="D4591" t="e">
        <f t="shared" ca="1" si="144"/>
        <v>#NAME?</v>
      </c>
      <c r="E4591" s="115" t="e">
        <f t="array" aca="1" ref="E4591" ca="1">IF(OR(C4590=0,AND(B4592=0,C4592=0)),"",IFERROR(INDEX($F$27:$F$36,MATCH(C4591,($F$27:$F$36)*($D$27:$D$36&lt;&gt;0),0)),IF(OR(AND(D4591=0,B4591=0,B4592&lt;&gt;0),AND(D4591*D4590&lt;0,B4591&lt;&gt;0)),IF(D4591=0,C4591,C4591*(1-ABS(D4591)/(ABS(D4591)+ABS(D4590)))+C4590*(1-ABS(D4590)/(ABS(D4591)+ABS(D4590)))),"")))</f>
        <v>#NAME?</v>
      </c>
    </row>
    <row r="4592" spans="2:5" x14ac:dyDescent="0.25">
      <c r="B4592" t="e">
        <f t="shared" ca="1" si="145"/>
        <v>#NAME?</v>
      </c>
      <c r="C4592">
        <v>4549</v>
      </c>
      <c r="D4592" t="e">
        <f t="shared" ca="1" si="144"/>
        <v>#NAME?</v>
      </c>
      <c r="E4592" s="115" t="e">
        <f t="array" aca="1" ref="E4592" ca="1">IF(OR(C4591=0,AND(B4593=0,C4593=0)),"",IFERROR(INDEX($F$27:$F$36,MATCH(C4592,($F$27:$F$36)*($D$27:$D$36&lt;&gt;0),0)),IF(OR(AND(D4592=0,B4592=0,B4593&lt;&gt;0),AND(D4592*D4591&lt;0,B4592&lt;&gt;0)),IF(D4592=0,C4592,C4592*(1-ABS(D4592)/(ABS(D4592)+ABS(D4591)))+C4591*(1-ABS(D4591)/(ABS(D4592)+ABS(D4591)))),"")))</f>
        <v>#NAME?</v>
      </c>
    </row>
    <row r="4593" spans="2:5" x14ac:dyDescent="0.25">
      <c r="B4593" t="e">
        <f t="shared" ca="1" si="145"/>
        <v>#NAME?</v>
      </c>
      <c r="C4593">
        <v>4550</v>
      </c>
      <c r="D4593" t="e">
        <f t="shared" ca="1" si="144"/>
        <v>#NAME?</v>
      </c>
      <c r="E4593" s="115" t="e">
        <f t="array" aca="1" ref="E4593" ca="1">IF(OR(C4592=0,AND(B4594=0,C4594=0)),"",IFERROR(INDEX($F$27:$F$36,MATCH(C4593,($F$27:$F$36)*($D$27:$D$36&lt;&gt;0),0)),IF(OR(AND(D4593=0,B4593=0,B4594&lt;&gt;0),AND(D4593*D4592&lt;0,B4593&lt;&gt;0)),IF(D4593=0,C4593,C4593*(1-ABS(D4593)/(ABS(D4593)+ABS(D4592)))+C4592*(1-ABS(D4592)/(ABS(D4593)+ABS(D4592)))),"")))</f>
        <v>#NAME?</v>
      </c>
    </row>
    <row r="4594" spans="2:5" x14ac:dyDescent="0.25">
      <c r="B4594" t="e">
        <f t="shared" ca="1" si="145"/>
        <v>#NAME?</v>
      </c>
      <c r="C4594">
        <v>4551</v>
      </c>
      <c r="D4594" t="e">
        <f t="shared" ca="1" si="144"/>
        <v>#NAME?</v>
      </c>
      <c r="E4594" s="115" t="e">
        <f t="array" aca="1" ref="E4594" ca="1">IF(OR(C4593=0,AND(B4595=0,C4595=0)),"",IFERROR(INDEX($F$27:$F$36,MATCH(C4594,($F$27:$F$36)*($D$27:$D$36&lt;&gt;0),0)),IF(OR(AND(D4594=0,B4594=0,B4595&lt;&gt;0),AND(D4594*D4593&lt;0,B4594&lt;&gt;0)),IF(D4594=0,C4594,C4594*(1-ABS(D4594)/(ABS(D4594)+ABS(D4593)))+C4593*(1-ABS(D4593)/(ABS(D4594)+ABS(D4593)))),"")))</f>
        <v>#NAME?</v>
      </c>
    </row>
    <row r="4595" spans="2:5" x14ac:dyDescent="0.25">
      <c r="B4595" t="e">
        <f t="shared" ca="1" si="145"/>
        <v>#NAME?</v>
      </c>
      <c r="C4595">
        <v>4552</v>
      </c>
      <c r="D4595" t="e">
        <f t="shared" ca="1" si="144"/>
        <v>#NAME?</v>
      </c>
      <c r="E4595" s="115" t="e">
        <f t="array" aca="1" ref="E4595" ca="1">IF(OR(C4594=0,AND(B4596=0,C4596=0)),"",IFERROR(INDEX($F$27:$F$36,MATCH(C4595,($F$27:$F$36)*($D$27:$D$36&lt;&gt;0),0)),IF(OR(AND(D4595=0,B4595=0,B4596&lt;&gt;0),AND(D4595*D4594&lt;0,B4595&lt;&gt;0)),IF(D4595=0,C4595,C4595*(1-ABS(D4595)/(ABS(D4595)+ABS(D4594)))+C4594*(1-ABS(D4594)/(ABS(D4595)+ABS(D4594)))),"")))</f>
        <v>#NAME?</v>
      </c>
    </row>
    <row r="4596" spans="2:5" x14ac:dyDescent="0.25">
      <c r="B4596" t="e">
        <f t="shared" ca="1" si="145"/>
        <v>#NAME?</v>
      </c>
      <c r="C4596">
        <v>4553</v>
      </c>
      <c r="D4596" t="e">
        <f t="shared" ca="1" si="144"/>
        <v>#NAME?</v>
      </c>
      <c r="E4596" s="115" t="e">
        <f t="array" aca="1" ref="E4596" ca="1">IF(OR(C4595=0,AND(B4597=0,C4597=0)),"",IFERROR(INDEX($F$27:$F$36,MATCH(C4596,($F$27:$F$36)*($D$27:$D$36&lt;&gt;0),0)),IF(OR(AND(D4596=0,B4596=0,B4597&lt;&gt;0),AND(D4596*D4595&lt;0,B4596&lt;&gt;0)),IF(D4596=0,C4596,C4596*(1-ABS(D4596)/(ABS(D4596)+ABS(D4595)))+C4595*(1-ABS(D4595)/(ABS(D4596)+ABS(D4595)))),"")))</f>
        <v>#NAME?</v>
      </c>
    </row>
    <row r="4597" spans="2:5" x14ac:dyDescent="0.25">
      <c r="B4597" t="e">
        <f t="shared" ca="1" si="145"/>
        <v>#NAME?</v>
      </c>
      <c r="C4597">
        <v>4554</v>
      </c>
      <c r="D4597" t="e">
        <f t="shared" ca="1" si="144"/>
        <v>#NAME?</v>
      </c>
      <c r="E4597" s="115" t="e">
        <f t="array" aca="1" ref="E4597" ca="1">IF(OR(C4596=0,AND(B4598=0,C4598=0)),"",IFERROR(INDEX($F$27:$F$36,MATCH(C4597,($F$27:$F$36)*($D$27:$D$36&lt;&gt;0),0)),IF(OR(AND(D4597=0,B4597=0,B4598&lt;&gt;0),AND(D4597*D4596&lt;0,B4597&lt;&gt;0)),IF(D4597=0,C4597,C4597*(1-ABS(D4597)/(ABS(D4597)+ABS(D4596)))+C4596*(1-ABS(D4596)/(ABS(D4597)+ABS(D4596)))),"")))</f>
        <v>#NAME?</v>
      </c>
    </row>
    <row r="4598" spans="2:5" x14ac:dyDescent="0.25">
      <c r="B4598" t="e">
        <f t="shared" ca="1" si="145"/>
        <v>#NAME?</v>
      </c>
      <c r="C4598">
        <v>4555</v>
      </c>
      <c r="D4598" t="e">
        <f t="shared" ca="1" si="144"/>
        <v>#NAME?</v>
      </c>
      <c r="E4598" s="115" t="e">
        <f t="array" aca="1" ref="E4598" ca="1">IF(OR(C4597=0,AND(B4599=0,C4599=0)),"",IFERROR(INDEX($F$27:$F$36,MATCH(C4598,($F$27:$F$36)*($D$27:$D$36&lt;&gt;0),0)),IF(OR(AND(D4598=0,B4598=0,B4599&lt;&gt;0),AND(D4598*D4597&lt;0,B4598&lt;&gt;0)),IF(D4598=0,C4598,C4598*(1-ABS(D4598)/(ABS(D4598)+ABS(D4597)))+C4597*(1-ABS(D4597)/(ABS(D4598)+ABS(D4597)))),"")))</f>
        <v>#NAME?</v>
      </c>
    </row>
    <row r="4599" spans="2:5" x14ac:dyDescent="0.25">
      <c r="B4599" t="e">
        <f t="shared" ca="1" si="145"/>
        <v>#NAME?</v>
      </c>
      <c r="C4599">
        <v>4556</v>
      </c>
      <c r="D4599" t="e">
        <f t="shared" ca="1" si="144"/>
        <v>#NAME?</v>
      </c>
      <c r="E4599" s="115" t="e">
        <f t="array" aca="1" ref="E4599" ca="1">IF(OR(C4598=0,AND(B4600=0,C4600=0)),"",IFERROR(INDEX($F$27:$F$36,MATCH(C4599,($F$27:$F$36)*($D$27:$D$36&lt;&gt;0),0)),IF(OR(AND(D4599=0,B4599=0,B4600&lt;&gt;0),AND(D4599*D4598&lt;0,B4599&lt;&gt;0)),IF(D4599=0,C4599,C4599*(1-ABS(D4599)/(ABS(D4599)+ABS(D4598)))+C4598*(1-ABS(D4598)/(ABS(D4599)+ABS(D4598)))),"")))</f>
        <v>#NAME?</v>
      </c>
    </row>
    <row r="4600" spans="2:5" x14ac:dyDescent="0.25">
      <c r="B4600" t="e">
        <f t="shared" ca="1" si="145"/>
        <v>#NAME?</v>
      </c>
      <c r="C4600">
        <v>4557</v>
      </c>
      <c r="D4600" t="e">
        <f t="shared" ca="1" si="144"/>
        <v>#NAME?</v>
      </c>
      <c r="E4600" s="115" t="e">
        <f t="array" aca="1" ref="E4600" ca="1">IF(OR(C4599=0,AND(B4601=0,C4601=0)),"",IFERROR(INDEX($F$27:$F$36,MATCH(C4600,($F$27:$F$36)*($D$27:$D$36&lt;&gt;0),0)),IF(OR(AND(D4600=0,B4600=0,B4601&lt;&gt;0),AND(D4600*D4599&lt;0,B4600&lt;&gt;0)),IF(D4600=0,C4600,C4600*(1-ABS(D4600)/(ABS(D4600)+ABS(D4599)))+C4599*(1-ABS(D4599)/(ABS(D4600)+ABS(D4599)))),"")))</f>
        <v>#NAME?</v>
      </c>
    </row>
    <row r="4601" spans="2:5" x14ac:dyDescent="0.25">
      <c r="B4601" t="e">
        <f t="shared" ca="1" si="145"/>
        <v>#NAME?</v>
      </c>
      <c r="C4601">
        <v>4558</v>
      </c>
      <c r="D4601" t="e">
        <f t="shared" ca="1" si="144"/>
        <v>#NAME?</v>
      </c>
      <c r="E4601" s="115" t="e">
        <f t="array" aca="1" ref="E4601" ca="1">IF(OR(C4600=0,AND(B4602=0,C4602=0)),"",IFERROR(INDEX($F$27:$F$36,MATCH(C4601,($F$27:$F$36)*($D$27:$D$36&lt;&gt;0),0)),IF(OR(AND(D4601=0,B4601=0,B4602&lt;&gt;0),AND(D4601*D4600&lt;0,B4601&lt;&gt;0)),IF(D4601=0,C4601,C4601*(1-ABS(D4601)/(ABS(D4601)+ABS(D4600)))+C4600*(1-ABS(D4600)/(ABS(D4601)+ABS(D4600)))),"")))</f>
        <v>#NAME?</v>
      </c>
    </row>
    <row r="4602" spans="2:5" x14ac:dyDescent="0.25">
      <c r="B4602" t="e">
        <f t="shared" ca="1" si="145"/>
        <v>#NAME?</v>
      </c>
      <c r="C4602">
        <v>4559</v>
      </c>
      <c r="D4602" t="e">
        <f t="shared" ca="1" si="144"/>
        <v>#NAME?</v>
      </c>
      <c r="E4602" s="115" t="e">
        <f t="array" aca="1" ref="E4602" ca="1">IF(OR(C4601=0,AND(B4603=0,C4603=0)),"",IFERROR(INDEX($F$27:$F$36,MATCH(C4602,($F$27:$F$36)*($D$27:$D$36&lt;&gt;0),0)),IF(OR(AND(D4602=0,B4602=0,B4603&lt;&gt;0),AND(D4602*D4601&lt;0,B4602&lt;&gt;0)),IF(D4602=0,C4602,C4602*(1-ABS(D4602)/(ABS(D4602)+ABS(D4601)))+C4601*(1-ABS(D4601)/(ABS(D4602)+ABS(D4601)))),"")))</f>
        <v>#NAME?</v>
      </c>
    </row>
    <row r="4603" spans="2:5" x14ac:dyDescent="0.25">
      <c r="B4603" t="e">
        <f t="shared" ca="1" si="145"/>
        <v>#NAME?</v>
      </c>
      <c r="C4603">
        <v>4560</v>
      </c>
      <c r="D4603" t="e">
        <f t="shared" ca="1" si="144"/>
        <v>#NAME?</v>
      </c>
      <c r="E4603" s="115" t="e">
        <f t="array" aca="1" ref="E4603" ca="1">IF(OR(C4602=0,AND(B4604=0,C4604=0)),"",IFERROR(INDEX($F$27:$F$36,MATCH(C4603,($F$27:$F$36)*($D$27:$D$36&lt;&gt;0),0)),IF(OR(AND(D4603=0,B4603=0,B4604&lt;&gt;0),AND(D4603*D4602&lt;0,B4603&lt;&gt;0)),IF(D4603=0,C4603,C4603*(1-ABS(D4603)/(ABS(D4603)+ABS(D4602)))+C4602*(1-ABS(D4602)/(ABS(D4603)+ABS(D4602)))),"")))</f>
        <v>#NAME?</v>
      </c>
    </row>
    <row r="4604" spans="2:5" x14ac:dyDescent="0.25">
      <c r="B4604" t="e">
        <f t="shared" ca="1" si="145"/>
        <v>#NAME?</v>
      </c>
      <c r="C4604">
        <v>4561</v>
      </c>
      <c r="D4604" t="e">
        <f t="shared" ca="1" si="144"/>
        <v>#NAME?</v>
      </c>
      <c r="E4604" s="115" t="e">
        <f t="array" aca="1" ref="E4604" ca="1">IF(OR(C4603=0,AND(B4605=0,C4605=0)),"",IFERROR(INDEX($F$27:$F$36,MATCH(C4604,($F$27:$F$36)*($D$27:$D$36&lt;&gt;0),0)),IF(OR(AND(D4604=0,B4604=0,B4605&lt;&gt;0),AND(D4604*D4603&lt;0,B4604&lt;&gt;0)),IF(D4604=0,C4604,C4604*(1-ABS(D4604)/(ABS(D4604)+ABS(D4603)))+C4603*(1-ABS(D4603)/(ABS(D4604)+ABS(D4603)))),"")))</f>
        <v>#NAME?</v>
      </c>
    </row>
    <row r="4605" spans="2:5" x14ac:dyDescent="0.25">
      <c r="B4605" t="e">
        <f t="shared" ca="1" si="145"/>
        <v>#NAME?</v>
      </c>
      <c r="C4605">
        <v>4562</v>
      </c>
      <c r="D4605" t="e">
        <f t="shared" ca="1" si="144"/>
        <v>#NAME?</v>
      </c>
      <c r="E4605" s="115" t="e">
        <f t="array" aca="1" ref="E4605" ca="1">IF(OR(C4604=0,AND(B4606=0,C4606=0)),"",IFERROR(INDEX($F$27:$F$36,MATCH(C4605,($F$27:$F$36)*($D$27:$D$36&lt;&gt;0),0)),IF(OR(AND(D4605=0,B4605=0,B4606&lt;&gt;0),AND(D4605*D4604&lt;0,B4605&lt;&gt;0)),IF(D4605=0,C4605,C4605*(1-ABS(D4605)/(ABS(D4605)+ABS(D4604)))+C4604*(1-ABS(D4604)/(ABS(D4605)+ABS(D4604)))),"")))</f>
        <v>#NAME?</v>
      </c>
    </row>
    <row r="4606" spans="2:5" x14ac:dyDescent="0.25">
      <c r="B4606" t="e">
        <f t="shared" ca="1" si="145"/>
        <v>#NAME?</v>
      </c>
      <c r="C4606">
        <v>4563</v>
      </c>
      <c r="D4606" t="e">
        <f t="shared" ca="1" si="144"/>
        <v>#NAME?</v>
      </c>
      <c r="E4606" s="115" t="e">
        <f t="array" aca="1" ref="E4606" ca="1">IF(OR(C4605=0,AND(B4607=0,C4607=0)),"",IFERROR(INDEX($F$27:$F$36,MATCH(C4606,($F$27:$F$36)*($D$27:$D$36&lt;&gt;0),0)),IF(OR(AND(D4606=0,B4606=0,B4607&lt;&gt;0),AND(D4606*D4605&lt;0,B4606&lt;&gt;0)),IF(D4606=0,C4606,C4606*(1-ABS(D4606)/(ABS(D4606)+ABS(D4605)))+C4605*(1-ABS(D4605)/(ABS(D4606)+ABS(D4605)))),"")))</f>
        <v>#NAME?</v>
      </c>
    </row>
    <row r="4607" spans="2:5" x14ac:dyDescent="0.25">
      <c r="B4607" t="e">
        <f t="shared" ca="1" si="145"/>
        <v>#NAME?</v>
      </c>
      <c r="C4607">
        <v>4564</v>
      </c>
      <c r="D4607" t="e">
        <f t="shared" ca="1" si="144"/>
        <v>#NAME?</v>
      </c>
      <c r="E4607" s="115" t="e">
        <f t="array" aca="1" ref="E4607" ca="1">IF(OR(C4606=0,AND(B4608=0,C4608=0)),"",IFERROR(INDEX($F$27:$F$36,MATCH(C4607,($F$27:$F$36)*($D$27:$D$36&lt;&gt;0),0)),IF(OR(AND(D4607=0,B4607=0,B4608&lt;&gt;0),AND(D4607*D4606&lt;0,B4607&lt;&gt;0)),IF(D4607=0,C4607,C4607*(1-ABS(D4607)/(ABS(D4607)+ABS(D4606)))+C4606*(1-ABS(D4606)/(ABS(D4607)+ABS(D4606)))),"")))</f>
        <v>#NAME?</v>
      </c>
    </row>
    <row r="4608" spans="2:5" x14ac:dyDescent="0.25">
      <c r="B4608" t="e">
        <f t="shared" ca="1" si="145"/>
        <v>#NAME?</v>
      </c>
      <c r="C4608">
        <v>4565</v>
      </c>
      <c r="D4608" t="e">
        <f t="shared" ca="1" si="144"/>
        <v>#NAME?</v>
      </c>
      <c r="E4608" s="115" t="e">
        <f t="array" aca="1" ref="E4608" ca="1">IF(OR(C4607=0,AND(B4609=0,C4609=0)),"",IFERROR(INDEX($F$27:$F$36,MATCH(C4608,($F$27:$F$36)*($D$27:$D$36&lt;&gt;0),0)),IF(OR(AND(D4608=0,B4608=0,B4609&lt;&gt;0),AND(D4608*D4607&lt;0,B4608&lt;&gt;0)),IF(D4608=0,C4608,C4608*(1-ABS(D4608)/(ABS(D4608)+ABS(D4607)))+C4607*(1-ABS(D4607)/(ABS(D4608)+ABS(D4607)))),"")))</f>
        <v>#NAME?</v>
      </c>
    </row>
    <row r="4609" spans="2:5" x14ac:dyDescent="0.25">
      <c r="B4609" t="e">
        <f t="shared" ca="1" si="145"/>
        <v>#NAME?</v>
      </c>
      <c r="C4609">
        <v>4566</v>
      </c>
      <c r="D4609" t="e">
        <f t="shared" ca="1" si="144"/>
        <v>#NAME?</v>
      </c>
      <c r="E4609" s="115" t="e">
        <f t="array" aca="1" ref="E4609" ca="1">IF(OR(C4608=0,AND(B4610=0,C4610=0)),"",IFERROR(INDEX($F$27:$F$36,MATCH(C4609,($F$27:$F$36)*($D$27:$D$36&lt;&gt;0),0)),IF(OR(AND(D4609=0,B4609=0,B4610&lt;&gt;0),AND(D4609*D4608&lt;0,B4609&lt;&gt;0)),IF(D4609=0,C4609,C4609*(1-ABS(D4609)/(ABS(D4609)+ABS(D4608)))+C4608*(1-ABS(D4608)/(ABS(D4609)+ABS(D4608)))),"")))</f>
        <v>#NAME?</v>
      </c>
    </row>
    <row r="4610" spans="2:5" x14ac:dyDescent="0.25">
      <c r="B4610" t="e">
        <f t="shared" ca="1" si="145"/>
        <v>#NAME?</v>
      </c>
      <c r="C4610">
        <v>4567</v>
      </c>
      <c r="D4610" t="e">
        <f t="shared" ca="1" si="144"/>
        <v>#NAME?</v>
      </c>
      <c r="E4610" s="115" t="e">
        <f t="array" aca="1" ref="E4610" ca="1">IF(OR(C4609=0,AND(B4611=0,C4611=0)),"",IFERROR(INDEX($F$27:$F$36,MATCH(C4610,($F$27:$F$36)*($D$27:$D$36&lt;&gt;0),0)),IF(OR(AND(D4610=0,B4610=0,B4611&lt;&gt;0),AND(D4610*D4609&lt;0,B4610&lt;&gt;0)),IF(D4610=0,C4610,C4610*(1-ABS(D4610)/(ABS(D4610)+ABS(D4609)))+C4609*(1-ABS(D4609)/(ABS(D4610)+ABS(D4609)))),"")))</f>
        <v>#NAME?</v>
      </c>
    </row>
    <row r="4611" spans="2:5" x14ac:dyDescent="0.25">
      <c r="B4611" t="e">
        <f t="shared" ca="1" si="145"/>
        <v>#NAME?</v>
      </c>
      <c r="C4611">
        <v>4568</v>
      </c>
      <c r="D4611" t="e">
        <f t="shared" ca="1" si="144"/>
        <v>#NAME?</v>
      </c>
      <c r="E4611" s="115" t="e">
        <f t="array" aca="1" ref="E4611" ca="1">IF(OR(C4610=0,AND(B4612=0,C4612=0)),"",IFERROR(INDEX($F$27:$F$36,MATCH(C4611,($F$27:$F$36)*($D$27:$D$36&lt;&gt;0),0)),IF(OR(AND(D4611=0,B4611=0,B4612&lt;&gt;0),AND(D4611*D4610&lt;0,B4611&lt;&gt;0)),IF(D4611=0,C4611,C4611*(1-ABS(D4611)/(ABS(D4611)+ABS(D4610)))+C4610*(1-ABS(D4610)/(ABS(D4611)+ABS(D4610)))),"")))</f>
        <v>#NAME?</v>
      </c>
    </row>
    <row r="4612" spans="2:5" x14ac:dyDescent="0.25">
      <c r="B4612" t="e">
        <f t="shared" ca="1" si="145"/>
        <v>#NAME?</v>
      </c>
      <c r="C4612">
        <v>4569</v>
      </c>
      <c r="D4612" t="e">
        <f t="shared" ca="1" si="144"/>
        <v>#NAME?</v>
      </c>
      <c r="E4612" s="115" t="e">
        <f t="array" aca="1" ref="E4612" ca="1">IF(OR(C4611=0,AND(B4613=0,C4613=0)),"",IFERROR(INDEX($F$27:$F$36,MATCH(C4612,($F$27:$F$36)*($D$27:$D$36&lt;&gt;0),0)),IF(OR(AND(D4612=0,B4612=0,B4613&lt;&gt;0),AND(D4612*D4611&lt;0,B4612&lt;&gt;0)),IF(D4612=0,C4612,C4612*(1-ABS(D4612)/(ABS(D4612)+ABS(D4611)))+C4611*(1-ABS(D4611)/(ABS(D4612)+ABS(D4611)))),"")))</f>
        <v>#NAME?</v>
      </c>
    </row>
    <row r="4613" spans="2:5" x14ac:dyDescent="0.25">
      <c r="B4613" t="e">
        <f t="shared" ca="1" si="145"/>
        <v>#NAME?</v>
      </c>
      <c r="C4613">
        <v>4570</v>
      </c>
      <c r="D4613" t="e">
        <f t="shared" ca="1" si="144"/>
        <v>#NAME?</v>
      </c>
      <c r="E4613" s="115" t="e">
        <f t="array" aca="1" ref="E4613" ca="1">IF(OR(C4612=0,AND(B4614=0,C4614=0)),"",IFERROR(INDEX($F$27:$F$36,MATCH(C4613,($F$27:$F$36)*($D$27:$D$36&lt;&gt;0),0)),IF(OR(AND(D4613=0,B4613=0,B4614&lt;&gt;0),AND(D4613*D4612&lt;0,B4613&lt;&gt;0)),IF(D4613=0,C4613,C4613*(1-ABS(D4613)/(ABS(D4613)+ABS(D4612)))+C4612*(1-ABS(D4612)/(ABS(D4613)+ABS(D4612)))),"")))</f>
        <v>#NAME?</v>
      </c>
    </row>
    <row r="4614" spans="2:5" x14ac:dyDescent="0.25">
      <c r="B4614" t="e">
        <f t="shared" ca="1" si="145"/>
        <v>#NAME?</v>
      </c>
      <c r="C4614">
        <v>4571</v>
      </c>
      <c r="D4614" t="e">
        <f t="shared" ca="1" si="144"/>
        <v>#NAME?</v>
      </c>
      <c r="E4614" s="115" t="e">
        <f t="array" aca="1" ref="E4614" ca="1">IF(OR(C4613=0,AND(B4615=0,C4615=0)),"",IFERROR(INDEX($F$27:$F$36,MATCH(C4614,($F$27:$F$36)*($D$27:$D$36&lt;&gt;0),0)),IF(OR(AND(D4614=0,B4614=0,B4615&lt;&gt;0),AND(D4614*D4613&lt;0,B4614&lt;&gt;0)),IF(D4614=0,C4614,C4614*(1-ABS(D4614)/(ABS(D4614)+ABS(D4613)))+C4613*(1-ABS(D4613)/(ABS(D4614)+ABS(D4613)))),"")))</f>
        <v>#NAME?</v>
      </c>
    </row>
    <row r="4615" spans="2:5" x14ac:dyDescent="0.25">
      <c r="B4615" t="e">
        <f t="shared" ca="1" si="145"/>
        <v>#NAME?</v>
      </c>
      <c r="C4615">
        <v>4572</v>
      </c>
      <c r="D4615" t="e">
        <f t="shared" ca="1" si="144"/>
        <v>#NAME?</v>
      </c>
      <c r="E4615" s="115" t="e">
        <f t="array" aca="1" ref="E4615" ca="1">IF(OR(C4614=0,AND(B4616=0,C4616=0)),"",IFERROR(INDEX($F$27:$F$36,MATCH(C4615,($F$27:$F$36)*($D$27:$D$36&lt;&gt;0),0)),IF(OR(AND(D4615=0,B4615=0,B4616&lt;&gt;0),AND(D4615*D4614&lt;0,B4615&lt;&gt;0)),IF(D4615=0,C4615,C4615*(1-ABS(D4615)/(ABS(D4615)+ABS(D4614)))+C4614*(1-ABS(D4614)/(ABS(D4615)+ABS(D4614)))),"")))</f>
        <v>#NAME?</v>
      </c>
    </row>
    <row r="4616" spans="2:5" x14ac:dyDescent="0.25">
      <c r="B4616" t="e">
        <f t="shared" ca="1" si="145"/>
        <v>#NAME?</v>
      </c>
      <c r="C4616">
        <v>4573</v>
      </c>
      <c r="D4616" t="e">
        <f t="shared" ca="1" si="144"/>
        <v>#NAME?</v>
      </c>
      <c r="E4616" s="115" t="e">
        <f t="array" aca="1" ref="E4616" ca="1">IF(OR(C4615=0,AND(B4617=0,C4617=0)),"",IFERROR(INDEX($F$27:$F$36,MATCH(C4616,($F$27:$F$36)*($D$27:$D$36&lt;&gt;0),0)),IF(OR(AND(D4616=0,B4616=0,B4617&lt;&gt;0),AND(D4616*D4615&lt;0,B4616&lt;&gt;0)),IF(D4616=0,C4616,C4616*(1-ABS(D4616)/(ABS(D4616)+ABS(D4615)))+C4615*(1-ABS(D4615)/(ABS(D4616)+ABS(D4615)))),"")))</f>
        <v>#NAME?</v>
      </c>
    </row>
    <row r="4617" spans="2:5" x14ac:dyDescent="0.25">
      <c r="B4617" t="e">
        <f t="shared" ca="1" si="145"/>
        <v>#NAME?</v>
      </c>
      <c r="C4617">
        <v>4574</v>
      </c>
      <c r="D4617" t="e">
        <f t="shared" ca="1" si="144"/>
        <v>#NAME?</v>
      </c>
      <c r="E4617" s="115" t="e">
        <f t="array" aca="1" ref="E4617" ca="1">IF(OR(C4616=0,AND(B4618=0,C4618=0)),"",IFERROR(INDEX($F$27:$F$36,MATCH(C4617,($F$27:$F$36)*($D$27:$D$36&lt;&gt;0),0)),IF(OR(AND(D4617=0,B4617=0,B4618&lt;&gt;0),AND(D4617*D4616&lt;0,B4617&lt;&gt;0)),IF(D4617=0,C4617,C4617*(1-ABS(D4617)/(ABS(D4617)+ABS(D4616)))+C4616*(1-ABS(D4616)/(ABS(D4617)+ABS(D4616)))),"")))</f>
        <v>#NAME?</v>
      </c>
    </row>
    <row r="4618" spans="2:5" x14ac:dyDescent="0.25">
      <c r="B4618" t="e">
        <f t="shared" ca="1" si="145"/>
        <v>#NAME?</v>
      </c>
      <c r="C4618">
        <v>4575</v>
      </c>
      <c r="D4618" t="e">
        <f t="shared" ca="1" si="144"/>
        <v>#NAME?</v>
      </c>
      <c r="E4618" s="115" t="e">
        <f t="array" aca="1" ref="E4618" ca="1">IF(OR(C4617=0,AND(B4619=0,C4619=0)),"",IFERROR(INDEX($F$27:$F$36,MATCH(C4618,($F$27:$F$36)*($D$27:$D$36&lt;&gt;0),0)),IF(OR(AND(D4618=0,B4618=0,B4619&lt;&gt;0),AND(D4618*D4617&lt;0,B4618&lt;&gt;0)),IF(D4618=0,C4618,C4618*(1-ABS(D4618)/(ABS(D4618)+ABS(D4617)))+C4617*(1-ABS(D4617)/(ABS(D4618)+ABS(D4617)))),"")))</f>
        <v>#NAME?</v>
      </c>
    </row>
    <row r="4619" spans="2:5" x14ac:dyDescent="0.25">
      <c r="B4619" t="e">
        <f t="shared" ca="1" si="145"/>
        <v>#NAME?</v>
      </c>
      <c r="C4619">
        <v>4576</v>
      </c>
      <c r="D4619" t="e">
        <f t="shared" ca="1" si="144"/>
        <v>#NAME?</v>
      </c>
      <c r="E4619" s="115" t="e">
        <f t="array" aca="1" ref="E4619" ca="1">IF(OR(C4618=0,AND(B4620=0,C4620=0)),"",IFERROR(INDEX($F$27:$F$36,MATCH(C4619,($F$27:$F$36)*($D$27:$D$36&lt;&gt;0),0)),IF(OR(AND(D4619=0,B4619=0,B4620&lt;&gt;0),AND(D4619*D4618&lt;0,B4619&lt;&gt;0)),IF(D4619=0,C4619,C4619*(1-ABS(D4619)/(ABS(D4619)+ABS(D4618)))+C4618*(1-ABS(D4618)/(ABS(D4619)+ABS(D4618)))),"")))</f>
        <v>#NAME?</v>
      </c>
    </row>
    <row r="4620" spans="2:5" x14ac:dyDescent="0.25">
      <c r="B4620" t="e">
        <f t="shared" ca="1" si="145"/>
        <v>#NAME?</v>
      </c>
      <c r="C4620">
        <v>4577</v>
      </c>
      <c r="D4620" t="e">
        <f t="shared" ca="1" si="144"/>
        <v>#NAME?</v>
      </c>
      <c r="E4620" s="115" t="e">
        <f t="array" aca="1" ref="E4620" ca="1">IF(OR(C4619=0,AND(B4621=0,C4621=0)),"",IFERROR(INDEX($F$27:$F$36,MATCH(C4620,($F$27:$F$36)*($D$27:$D$36&lt;&gt;0),0)),IF(OR(AND(D4620=0,B4620=0,B4621&lt;&gt;0),AND(D4620*D4619&lt;0,B4620&lt;&gt;0)),IF(D4620=0,C4620,C4620*(1-ABS(D4620)/(ABS(D4620)+ABS(D4619)))+C4619*(1-ABS(D4619)/(ABS(D4620)+ABS(D4619)))),"")))</f>
        <v>#NAME?</v>
      </c>
    </row>
    <row r="4621" spans="2:5" x14ac:dyDescent="0.25">
      <c r="B4621" t="e">
        <f t="shared" ca="1" si="145"/>
        <v>#NAME?</v>
      </c>
      <c r="C4621">
        <v>4578</v>
      </c>
      <c r="D4621" t="e">
        <f t="shared" ca="1" si="144"/>
        <v>#NAME?</v>
      </c>
      <c r="E4621" s="115" t="e">
        <f t="array" aca="1" ref="E4621" ca="1">IF(OR(C4620=0,AND(B4622=0,C4622=0)),"",IFERROR(INDEX($F$27:$F$36,MATCH(C4621,($F$27:$F$36)*($D$27:$D$36&lt;&gt;0),0)),IF(OR(AND(D4621=0,B4621=0,B4622&lt;&gt;0),AND(D4621*D4620&lt;0,B4621&lt;&gt;0)),IF(D4621=0,C4621,C4621*(1-ABS(D4621)/(ABS(D4621)+ABS(D4620)))+C4620*(1-ABS(D4620)/(ABS(D4621)+ABS(D4620)))),"")))</f>
        <v>#NAME?</v>
      </c>
    </row>
    <row r="4622" spans="2:5" x14ac:dyDescent="0.25">
      <c r="B4622" t="e">
        <f t="shared" ca="1" si="145"/>
        <v>#NAME?</v>
      </c>
      <c r="C4622">
        <v>4579</v>
      </c>
      <c r="D4622" t="e">
        <f t="shared" ca="1" si="144"/>
        <v>#NAME?</v>
      </c>
      <c r="E4622" s="115" t="e">
        <f t="array" aca="1" ref="E4622" ca="1">IF(OR(C4621=0,AND(B4623=0,C4623=0)),"",IFERROR(INDEX($F$27:$F$36,MATCH(C4622,($F$27:$F$36)*($D$27:$D$36&lt;&gt;0),0)),IF(OR(AND(D4622=0,B4622=0,B4623&lt;&gt;0),AND(D4622*D4621&lt;0,B4622&lt;&gt;0)),IF(D4622=0,C4622,C4622*(1-ABS(D4622)/(ABS(D4622)+ABS(D4621)))+C4621*(1-ABS(D4621)/(ABS(D4622)+ABS(D4621)))),"")))</f>
        <v>#NAME?</v>
      </c>
    </row>
    <row r="4623" spans="2:5" x14ac:dyDescent="0.25">
      <c r="B4623" t="e">
        <f t="shared" ca="1" si="145"/>
        <v>#NAME?</v>
      </c>
      <c r="C4623">
        <v>4580</v>
      </c>
      <c r="D4623" t="e">
        <f t="shared" ca="1" si="144"/>
        <v>#NAME?</v>
      </c>
      <c r="E4623" s="115" t="e">
        <f t="array" aca="1" ref="E4623" ca="1">IF(OR(C4622=0,AND(B4624=0,C4624=0)),"",IFERROR(INDEX($F$27:$F$36,MATCH(C4623,($F$27:$F$36)*($D$27:$D$36&lt;&gt;0),0)),IF(OR(AND(D4623=0,B4623=0,B4624&lt;&gt;0),AND(D4623*D4622&lt;0,B4623&lt;&gt;0)),IF(D4623=0,C4623,C4623*(1-ABS(D4623)/(ABS(D4623)+ABS(D4622)))+C4622*(1-ABS(D4622)/(ABS(D4623)+ABS(D4622)))),"")))</f>
        <v>#NAME?</v>
      </c>
    </row>
    <row r="4624" spans="2:5" x14ac:dyDescent="0.25">
      <c r="B4624" t="e">
        <f t="shared" ca="1" si="145"/>
        <v>#NAME?</v>
      </c>
      <c r="C4624">
        <v>4581</v>
      </c>
      <c r="D4624" t="e">
        <f t="shared" ca="1" si="144"/>
        <v>#NAME?</v>
      </c>
      <c r="E4624" s="115" t="e">
        <f t="array" aca="1" ref="E4624" ca="1">IF(OR(C4623=0,AND(B4625=0,C4625=0)),"",IFERROR(INDEX($F$27:$F$36,MATCH(C4624,($F$27:$F$36)*($D$27:$D$36&lt;&gt;0),0)),IF(OR(AND(D4624=0,B4624=0,B4625&lt;&gt;0),AND(D4624*D4623&lt;0,B4624&lt;&gt;0)),IF(D4624=0,C4624,C4624*(1-ABS(D4624)/(ABS(D4624)+ABS(D4623)))+C4623*(1-ABS(D4623)/(ABS(D4624)+ABS(D4623)))),"")))</f>
        <v>#NAME?</v>
      </c>
    </row>
    <row r="4625" spans="2:5" x14ac:dyDescent="0.25">
      <c r="B4625" t="e">
        <f t="shared" ca="1" si="145"/>
        <v>#NAME?</v>
      </c>
      <c r="C4625">
        <v>4582</v>
      </c>
      <c r="D4625" t="e">
        <f t="shared" ca="1" si="144"/>
        <v>#NAME?</v>
      </c>
      <c r="E4625" s="115" t="e">
        <f t="array" aca="1" ref="E4625" ca="1">IF(OR(C4624=0,AND(B4626=0,C4626=0)),"",IFERROR(INDEX($F$27:$F$36,MATCH(C4625,($F$27:$F$36)*($D$27:$D$36&lt;&gt;0),0)),IF(OR(AND(D4625=0,B4625=0,B4626&lt;&gt;0),AND(D4625*D4624&lt;0,B4625&lt;&gt;0)),IF(D4625=0,C4625,C4625*(1-ABS(D4625)/(ABS(D4625)+ABS(D4624)))+C4624*(1-ABS(D4624)/(ABS(D4625)+ABS(D4624)))),"")))</f>
        <v>#NAME?</v>
      </c>
    </row>
    <row r="4626" spans="2:5" x14ac:dyDescent="0.25">
      <c r="B4626" t="e">
        <f t="shared" ca="1" si="145"/>
        <v>#NAME?</v>
      </c>
      <c r="C4626">
        <v>4583</v>
      </c>
      <c r="D4626" t="e">
        <f t="shared" ca="1" si="144"/>
        <v>#NAME?</v>
      </c>
      <c r="E4626" s="115" t="e">
        <f t="array" aca="1" ref="E4626" ca="1">IF(OR(C4625=0,AND(B4627=0,C4627=0)),"",IFERROR(INDEX($F$27:$F$36,MATCH(C4626,($F$27:$F$36)*($D$27:$D$36&lt;&gt;0),0)),IF(OR(AND(D4626=0,B4626=0,B4627&lt;&gt;0),AND(D4626*D4625&lt;0,B4626&lt;&gt;0)),IF(D4626=0,C4626,C4626*(1-ABS(D4626)/(ABS(D4626)+ABS(D4625)))+C4625*(1-ABS(D4625)/(ABS(D4626)+ABS(D4625)))),"")))</f>
        <v>#NAME?</v>
      </c>
    </row>
    <row r="4627" spans="2:5" x14ac:dyDescent="0.25">
      <c r="B4627" t="e">
        <f t="shared" ca="1" si="145"/>
        <v>#NAME?</v>
      </c>
      <c r="C4627">
        <v>4584</v>
      </c>
      <c r="D4627" t="e">
        <f t="shared" ca="1" si="144"/>
        <v>#NAME?</v>
      </c>
      <c r="E4627" s="115" t="e">
        <f t="array" aca="1" ref="E4627" ca="1">IF(OR(C4626=0,AND(B4628=0,C4628=0)),"",IFERROR(INDEX($F$27:$F$36,MATCH(C4627,($F$27:$F$36)*($D$27:$D$36&lt;&gt;0),0)),IF(OR(AND(D4627=0,B4627=0,B4628&lt;&gt;0),AND(D4627*D4626&lt;0,B4627&lt;&gt;0)),IF(D4627=0,C4627,C4627*(1-ABS(D4627)/(ABS(D4627)+ABS(D4626)))+C4626*(1-ABS(D4626)/(ABS(D4627)+ABS(D4626)))),"")))</f>
        <v>#NAME?</v>
      </c>
    </row>
    <row r="4628" spans="2:5" x14ac:dyDescent="0.25">
      <c r="B4628" t="e">
        <f t="shared" ca="1" si="145"/>
        <v>#NAME?</v>
      </c>
      <c r="C4628">
        <v>4585</v>
      </c>
      <c r="D4628" t="e">
        <f t="shared" ca="1" si="144"/>
        <v>#NAME?</v>
      </c>
      <c r="E4628" s="115" t="e">
        <f t="array" aca="1" ref="E4628" ca="1">IF(OR(C4627=0,AND(B4629=0,C4629=0)),"",IFERROR(INDEX($F$27:$F$36,MATCH(C4628,($F$27:$F$36)*($D$27:$D$36&lt;&gt;0),0)),IF(OR(AND(D4628=0,B4628=0,B4629&lt;&gt;0),AND(D4628*D4627&lt;0,B4628&lt;&gt;0)),IF(D4628=0,C4628,C4628*(1-ABS(D4628)/(ABS(D4628)+ABS(D4627)))+C4627*(1-ABS(D4627)/(ABS(D4628)+ABS(D4627)))),"")))</f>
        <v>#NAME?</v>
      </c>
    </row>
    <row r="4629" spans="2:5" x14ac:dyDescent="0.25">
      <c r="B4629" t="e">
        <f t="shared" ca="1" si="145"/>
        <v>#NAME?</v>
      </c>
      <c r="C4629">
        <v>4586</v>
      </c>
      <c r="D4629" t="e">
        <f t="shared" ca="1" si="144"/>
        <v>#NAME?</v>
      </c>
      <c r="E4629" s="115" t="e">
        <f t="array" aca="1" ref="E4629" ca="1">IF(OR(C4628=0,AND(B4630=0,C4630=0)),"",IFERROR(INDEX($F$27:$F$36,MATCH(C4629,($F$27:$F$36)*($D$27:$D$36&lt;&gt;0),0)),IF(OR(AND(D4629=0,B4629=0,B4630&lt;&gt;0),AND(D4629*D4628&lt;0,B4629&lt;&gt;0)),IF(D4629=0,C4629,C4629*(1-ABS(D4629)/(ABS(D4629)+ABS(D4628)))+C4628*(1-ABS(D4628)/(ABS(D4629)+ABS(D4628)))),"")))</f>
        <v>#NAME?</v>
      </c>
    </row>
    <row r="4630" spans="2:5" x14ac:dyDescent="0.25">
      <c r="B4630" t="e">
        <f t="shared" ca="1" si="145"/>
        <v>#NAME?</v>
      </c>
      <c r="C4630">
        <v>4587</v>
      </c>
      <c r="D4630" t="e">
        <f t="shared" ca="1" si="144"/>
        <v>#NAME?</v>
      </c>
      <c r="E4630" s="115" t="e">
        <f t="array" aca="1" ref="E4630" ca="1">IF(OR(C4629=0,AND(B4631=0,C4631=0)),"",IFERROR(INDEX($F$27:$F$36,MATCH(C4630,($F$27:$F$36)*($D$27:$D$36&lt;&gt;0),0)),IF(OR(AND(D4630=0,B4630=0,B4631&lt;&gt;0),AND(D4630*D4629&lt;0,B4630&lt;&gt;0)),IF(D4630=0,C4630,C4630*(1-ABS(D4630)/(ABS(D4630)+ABS(D4629)))+C4629*(1-ABS(D4629)/(ABS(D4630)+ABS(D4629)))),"")))</f>
        <v>#NAME?</v>
      </c>
    </row>
    <row r="4631" spans="2:5" x14ac:dyDescent="0.25">
      <c r="B4631" t="e">
        <f t="shared" ca="1" si="145"/>
        <v>#NAME?</v>
      </c>
      <c r="C4631">
        <v>4588</v>
      </c>
      <c r="D4631" t="e">
        <f t="shared" ca="1" si="144"/>
        <v>#NAME?</v>
      </c>
      <c r="E4631" s="115" t="e">
        <f t="array" aca="1" ref="E4631" ca="1">IF(OR(C4630=0,AND(B4632=0,C4632=0)),"",IFERROR(INDEX($F$27:$F$36,MATCH(C4631,($F$27:$F$36)*($D$27:$D$36&lt;&gt;0),0)),IF(OR(AND(D4631=0,B4631=0,B4632&lt;&gt;0),AND(D4631*D4630&lt;0,B4631&lt;&gt;0)),IF(D4631=0,C4631,C4631*(1-ABS(D4631)/(ABS(D4631)+ABS(D4630)))+C4630*(1-ABS(D4630)/(ABS(D4631)+ABS(D4630)))),"")))</f>
        <v>#NAME?</v>
      </c>
    </row>
    <row r="4632" spans="2:5" x14ac:dyDescent="0.25">
      <c r="B4632" t="e">
        <f t="shared" ca="1" si="145"/>
        <v>#NAME?</v>
      </c>
      <c r="C4632">
        <v>4589</v>
      </c>
      <c r="D4632" t="e">
        <f t="shared" ca="1" si="144"/>
        <v>#NAME?</v>
      </c>
      <c r="E4632" s="115" t="e">
        <f t="array" aca="1" ref="E4632" ca="1">IF(OR(C4631=0,AND(B4633=0,C4633=0)),"",IFERROR(INDEX($F$27:$F$36,MATCH(C4632,($F$27:$F$36)*($D$27:$D$36&lt;&gt;0),0)),IF(OR(AND(D4632=0,B4632=0,B4633&lt;&gt;0),AND(D4632*D4631&lt;0,B4632&lt;&gt;0)),IF(D4632=0,C4632,C4632*(1-ABS(D4632)/(ABS(D4632)+ABS(D4631)))+C4631*(1-ABS(D4631)/(ABS(D4632)+ABS(D4631)))),"")))</f>
        <v>#NAME?</v>
      </c>
    </row>
    <row r="4633" spans="2:5" x14ac:dyDescent="0.25">
      <c r="B4633" t="e">
        <f t="shared" ca="1" si="145"/>
        <v>#NAME?</v>
      </c>
      <c r="C4633">
        <v>4590</v>
      </c>
      <c r="D4633" t="e">
        <f t="shared" ca="1" si="144"/>
        <v>#NAME?</v>
      </c>
      <c r="E4633" s="115" t="e">
        <f t="array" aca="1" ref="E4633" ca="1">IF(OR(C4632=0,AND(B4634=0,C4634=0)),"",IFERROR(INDEX($F$27:$F$36,MATCH(C4633,($F$27:$F$36)*($D$27:$D$36&lt;&gt;0),0)),IF(OR(AND(D4633=0,B4633=0,B4634&lt;&gt;0),AND(D4633*D4632&lt;0,B4633&lt;&gt;0)),IF(D4633=0,C4633,C4633*(1-ABS(D4633)/(ABS(D4633)+ABS(D4632)))+C4632*(1-ABS(D4632)/(ABS(D4633)+ABS(D4632)))),"")))</f>
        <v>#NAME?</v>
      </c>
    </row>
    <row r="4634" spans="2:5" x14ac:dyDescent="0.25">
      <c r="B4634" t="e">
        <f t="shared" ca="1" si="145"/>
        <v>#NAME?</v>
      </c>
      <c r="C4634">
        <v>4591</v>
      </c>
      <c r="D4634" t="e">
        <f t="shared" ca="1" si="144"/>
        <v>#NAME?</v>
      </c>
      <c r="E4634" s="115" t="e">
        <f t="array" aca="1" ref="E4634" ca="1">IF(OR(C4633=0,AND(B4635=0,C4635=0)),"",IFERROR(INDEX($F$27:$F$36,MATCH(C4634,($F$27:$F$36)*($D$27:$D$36&lt;&gt;0),0)),IF(OR(AND(D4634=0,B4634=0,B4635&lt;&gt;0),AND(D4634*D4633&lt;0,B4634&lt;&gt;0)),IF(D4634=0,C4634,C4634*(1-ABS(D4634)/(ABS(D4634)+ABS(D4633)))+C4633*(1-ABS(D4633)/(ABS(D4634)+ABS(D4633)))),"")))</f>
        <v>#NAME?</v>
      </c>
    </row>
    <row r="4635" spans="2:5" x14ac:dyDescent="0.25">
      <c r="B4635" t="e">
        <f t="shared" ca="1" si="145"/>
        <v>#NAME?</v>
      </c>
      <c r="C4635">
        <v>4592</v>
      </c>
      <c r="D4635" t="e">
        <f t="shared" ca="1" si="144"/>
        <v>#NAME?</v>
      </c>
      <c r="E4635" s="115" t="e">
        <f t="array" aca="1" ref="E4635" ca="1">IF(OR(C4634=0,AND(B4636=0,C4636=0)),"",IFERROR(INDEX($F$27:$F$36,MATCH(C4635,($F$27:$F$36)*($D$27:$D$36&lt;&gt;0),0)),IF(OR(AND(D4635=0,B4635=0,B4636&lt;&gt;0),AND(D4635*D4634&lt;0,B4635&lt;&gt;0)),IF(D4635=0,C4635,C4635*(1-ABS(D4635)/(ABS(D4635)+ABS(D4634)))+C4634*(1-ABS(D4634)/(ABS(D4635)+ABS(D4634)))),"")))</f>
        <v>#NAME?</v>
      </c>
    </row>
    <row r="4636" spans="2:5" x14ac:dyDescent="0.25">
      <c r="B4636" t="e">
        <f t="shared" ca="1" si="145"/>
        <v>#NAME?</v>
      </c>
      <c r="C4636">
        <v>4593</v>
      </c>
      <c r="D4636" t="e">
        <f t="shared" ca="1" si="144"/>
        <v>#NAME?</v>
      </c>
      <c r="E4636" s="115" t="e">
        <f t="array" aca="1" ref="E4636" ca="1">IF(OR(C4635=0,AND(B4637=0,C4637=0)),"",IFERROR(INDEX($F$27:$F$36,MATCH(C4636,($F$27:$F$36)*($D$27:$D$36&lt;&gt;0),0)),IF(OR(AND(D4636=0,B4636=0,B4637&lt;&gt;0),AND(D4636*D4635&lt;0,B4636&lt;&gt;0)),IF(D4636=0,C4636,C4636*(1-ABS(D4636)/(ABS(D4636)+ABS(D4635)))+C4635*(1-ABS(D4635)/(ABS(D4636)+ABS(D4635)))),"")))</f>
        <v>#NAME?</v>
      </c>
    </row>
    <row r="4637" spans="2:5" x14ac:dyDescent="0.25">
      <c r="B4637" t="e">
        <f t="shared" ca="1" si="145"/>
        <v>#NAME?</v>
      </c>
      <c r="C4637">
        <v>4594</v>
      </c>
      <c r="D4637" t="e">
        <f t="shared" ca="1" si="144"/>
        <v>#NAME?</v>
      </c>
      <c r="E4637" s="115" t="e">
        <f t="array" aca="1" ref="E4637" ca="1">IF(OR(C4636=0,AND(B4638=0,C4638=0)),"",IFERROR(INDEX($F$27:$F$36,MATCH(C4637,($F$27:$F$36)*($D$27:$D$36&lt;&gt;0),0)),IF(OR(AND(D4637=0,B4637=0,B4638&lt;&gt;0),AND(D4637*D4636&lt;0,B4637&lt;&gt;0)),IF(D4637=0,C4637,C4637*(1-ABS(D4637)/(ABS(D4637)+ABS(D4636)))+C4636*(1-ABS(D4636)/(ABS(D4637)+ABS(D4636)))),"")))</f>
        <v>#NAME?</v>
      </c>
    </row>
    <row r="4638" spans="2:5" x14ac:dyDescent="0.25">
      <c r="B4638" t="e">
        <f t="shared" ca="1" si="145"/>
        <v>#NAME?</v>
      </c>
      <c r="C4638">
        <v>4595</v>
      </c>
      <c r="D4638" t="e">
        <f t="shared" ca="1" si="144"/>
        <v>#NAME?</v>
      </c>
      <c r="E4638" s="115" t="e">
        <f t="array" aca="1" ref="E4638" ca="1">IF(OR(C4637=0,AND(B4639=0,C4639=0)),"",IFERROR(INDEX($F$27:$F$36,MATCH(C4638,($F$27:$F$36)*($D$27:$D$36&lt;&gt;0),0)),IF(OR(AND(D4638=0,B4638=0,B4639&lt;&gt;0),AND(D4638*D4637&lt;0,B4638&lt;&gt;0)),IF(D4638=0,C4638,C4638*(1-ABS(D4638)/(ABS(D4638)+ABS(D4637)))+C4637*(1-ABS(D4637)/(ABS(D4638)+ABS(D4637)))),"")))</f>
        <v>#NAME?</v>
      </c>
    </row>
    <row r="4639" spans="2:5" x14ac:dyDescent="0.25">
      <c r="B4639" t="e">
        <f t="shared" ca="1" si="145"/>
        <v>#NAME?</v>
      </c>
      <c r="C4639">
        <v>4596</v>
      </c>
      <c r="D4639" t="e">
        <f t="shared" ca="1" si="144"/>
        <v>#NAME?</v>
      </c>
      <c r="E4639" s="115" t="e">
        <f t="array" aca="1" ref="E4639" ca="1">IF(OR(C4638=0,AND(B4640=0,C4640=0)),"",IFERROR(INDEX($F$27:$F$36,MATCH(C4639,($F$27:$F$36)*($D$27:$D$36&lt;&gt;0),0)),IF(OR(AND(D4639=0,B4639=0,B4640&lt;&gt;0),AND(D4639*D4638&lt;0,B4639&lt;&gt;0)),IF(D4639=0,C4639,C4639*(1-ABS(D4639)/(ABS(D4639)+ABS(D4638)))+C4638*(1-ABS(D4638)/(ABS(D4639)+ABS(D4638)))),"")))</f>
        <v>#NAME?</v>
      </c>
    </row>
    <row r="4640" spans="2:5" x14ac:dyDescent="0.25">
      <c r="B4640" t="e">
        <f t="shared" ca="1" si="145"/>
        <v>#NAME?</v>
      </c>
      <c r="C4640">
        <v>4597</v>
      </c>
      <c r="D4640" t="e">
        <f t="shared" ca="1" si="144"/>
        <v>#NAME?</v>
      </c>
      <c r="E4640" s="115" t="e">
        <f t="array" aca="1" ref="E4640" ca="1">IF(OR(C4639=0,AND(B4641=0,C4641=0)),"",IFERROR(INDEX($F$27:$F$36,MATCH(C4640,($F$27:$F$36)*($D$27:$D$36&lt;&gt;0),0)),IF(OR(AND(D4640=0,B4640=0,B4641&lt;&gt;0),AND(D4640*D4639&lt;0,B4640&lt;&gt;0)),IF(D4640=0,C4640,C4640*(1-ABS(D4640)/(ABS(D4640)+ABS(D4639)))+C4639*(1-ABS(D4639)/(ABS(D4640)+ABS(D4639)))),"")))</f>
        <v>#NAME?</v>
      </c>
    </row>
    <row r="4641" spans="2:5" x14ac:dyDescent="0.25">
      <c r="B4641" t="e">
        <f t="shared" ca="1" si="145"/>
        <v>#NAME?</v>
      </c>
      <c r="C4641">
        <v>4598</v>
      </c>
      <c r="D4641" t="e">
        <f t="shared" ca="1" si="144"/>
        <v>#NAME?</v>
      </c>
      <c r="E4641" s="115" t="e">
        <f t="array" aca="1" ref="E4641" ca="1">IF(OR(C4640=0,AND(B4642=0,C4642=0)),"",IFERROR(INDEX($F$27:$F$36,MATCH(C4641,($F$27:$F$36)*($D$27:$D$36&lt;&gt;0),0)),IF(OR(AND(D4641=0,B4641=0,B4642&lt;&gt;0),AND(D4641*D4640&lt;0,B4641&lt;&gt;0)),IF(D4641=0,C4641,C4641*(1-ABS(D4641)/(ABS(D4641)+ABS(D4640)))+C4640*(1-ABS(D4640)/(ABS(D4641)+ABS(D4640)))),"")))</f>
        <v>#NAME?</v>
      </c>
    </row>
    <row r="4642" spans="2:5" x14ac:dyDescent="0.25">
      <c r="B4642" t="e">
        <f t="shared" ca="1" si="145"/>
        <v>#NAME?</v>
      </c>
      <c r="C4642">
        <v>4599</v>
      </c>
      <c r="D4642" t="e">
        <f t="shared" ca="1" si="144"/>
        <v>#NAME?</v>
      </c>
      <c r="E4642" s="115" t="e">
        <f t="array" aca="1" ref="E4642" ca="1">IF(OR(C4641=0,AND(B4643=0,C4643=0)),"",IFERROR(INDEX($F$27:$F$36,MATCH(C4642,($F$27:$F$36)*($D$27:$D$36&lt;&gt;0),0)),IF(OR(AND(D4642=0,B4642=0,B4643&lt;&gt;0),AND(D4642*D4641&lt;0,B4642&lt;&gt;0)),IF(D4642=0,C4642,C4642*(1-ABS(D4642)/(ABS(D4642)+ABS(D4641)))+C4641*(1-ABS(D4641)/(ABS(D4642)+ABS(D4641)))),"")))</f>
        <v>#NAME?</v>
      </c>
    </row>
    <row r="4643" spans="2:5" x14ac:dyDescent="0.25">
      <c r="B4643" t="e">
        <f t="shared" ca="1" si="145"/>
        <v>#NAME?</v>
      </c>
      <c r="C4643">
        <v>4600</v>
      </c>
      <c r="D4643" t="e">
        <f t="shared" ca="1" si="144"/>
        <v>#NAME?</v>
      </c>
      <c r="E4643" s="115" t="e">
        <f t="array" aca="1" ref="E4643" ca="1">IF(OR(C4642=0,AND(B4644=0,C4644=0)),"",IFERROR(INDEX($F$27:$F$36,MATCH(C4643,($F$27:$F$36)*($D$27:$D$36&lt;&gt;0),0)),IF(OR(AND(D4643=0,B4643=0,B4644&lt;&gt;0),AND(D4643*D4642&lt;0,B4643&lt;&gt;0)),IF(D4643=0,C4643,C4643*(1-ABS(D4643)/(ABS(D4643)+ABS(D4642)))+C4642*(1-ABS(D4642)/(ABS(D4643)+ABS(D4642)))),"")))</f>
        <v>#NAME?</v>
      </c>
    </row>
    <row r="4644" spans="2:5" x14ac:dyDescent="0.25">
      <c r="B4644" t="e">
        <f t="shared" ca="1" si="145"/>
        <v>#NAME?</v>
      </c>
      <c r="C4644">
        <v>4601</v>
      </c>
      <c r="D4644" t="e">
        <f t="shared" ca="1" si="144"/>
        <v>#NAME?</v>
      </c>
      <c r="E4644" s="115" t="e">
        <f t="array" aca="1" ref="E4644" ca="1">IF(OR(C4643=0,AND(B4645=0,C4645=0)),"",IFERROR(INDEX($F$27:$F$36,MATCH(C4644,($F$27:$F$36)*($D$27:$D$36&lt;&gt;0),0)),IF(OR(AND(D4644=0,B4644=0,B4645&lt;&gt;0),AND(D4644*D4643&lt;0,B4644&lt;&gt;0)),IF(D4644=0,C4644,C4644*(1-ABS(D4644)/(ABS(D4644)+ABS(D4643)))+C4643*(1-ABS(D4643)/(ABS(D4644)+ABS(D4643)))),"")))</f>
        <v>#NAME?</v>
      </c>
    </row>
    <row r="4645" spans="2:5" x14ac:dyDescent="0.25">
      <c r="B4645" t="e">
        <f t="shared" ca="1" si="145"/>
        <v>#NAME?</v>
      </c>
      <c r="C4645">
        <v>4602</v>
      </c>
      <c r="D4645" t="e">
        <f t="shared" ca="1" si="144"/>
        <v>#NAME?</v>
      </c>
      <c r="E4645" s="115" t="e">
        <f t="array" aca="1" ref="E4645" ca="1">IF(OR(C4644=0,AND(B4646=0,C4646=0)),"",IFERROR(INDEX($F$27:$F$36,MATCH(C4645,($F$27:$F$36)*($D$27:$D$36&lt;&gt;0),0)),IF(OR(AND(D4645=0,B4645=0,B4646&lt;&gt;0),AND(D4645*D4644&lt;0,B4645&lt;&gt;0)),IF(D4645=0,C4645,C4645*(1-ABS(D4645)/(ABS(D4645)+ABS(D4644)))+C4644*(1-ABS(D4644)/(ABS(D4645)+ABS(D4644)))),"")))</f>
        <v>#NAME?</v>
      </c>
    </row>
    <row r="4646" spans="2:5" x14ac:dyDescent="0.25">
      <c r="B4646" t="e">
        <f t="shared" ca="1" si="145"/>
        <v>#NAME?</v>
      </c>
      <c r="C4646">
        <v>4603</v>
      </c>
      <c r="D4646" t="e">
        <f t="shared" ca="1" si="144"/>
        <v>#NAME?</v>
      </c>
      <c r="E4646" s="115" t="e">
        <f t="array" aca="1" ref="E4646" ca="1">IF(OR(C4645=0,AND(B4647=0,C4647=0)),"",IFERROR(INDEX($F$27:$F$36,MATCH(C4646,($F$27:$F$36)*($D$27:$D$36&lt;&gt;0),0)),IF(OR(AND(D4646=0,B4646=0,B4647&lt;&gt;0),AND(D4646*D4645&lt;0,B4646&lt;&gt;0)),IF(D4646=0,C4646,C4646*(1-ABS(D4646)/(ABS(D4646)+ABS(D4645)))+C4645*(1-ABS(D4645)/(ABS(D4646)+ABS(D4645)))),"")))</f>
        <v>#NAME?</v>
      </c>
    </row>
    <row r="4647" spans="2:5" x14ac:dyDescent="0.25">
      <c r="B4647" t="e">
        <f t="shared" ca="1" si="145"/>
        <v>#NAME?</v>
      </c>
      <c r="C4647">
        <v>4604</v>
      </c>
      <c r="D4647" t="e">
        <f t="shared" ca="1" si="144"/>
        <v>#NAME?</v>
      </c>
      <c r="E4647" s="115" t="e">
        <f t="array" aca="1" ref="E4647" ca="1">IF(OR(C4646=0,AND(B4648=0,C4648=0)),"",IFERROR(INDEX($F$27:$F$36,MATCH(C4647,($F$27:$F$36)*($D$27:$D$36&lt;&gt;0),0)),IF(OR(AND(D4647=0,B4647=0,B4648&lt;&gt;0),AND(D4647*D4646&lt;0,B4647&lt;&gt;0)),IF(D4647=0,C4647,C4647*(1-ABS(D4647)/(ABS(D4647)+ABS(D4646)))+C4646*(1-ABS(D4646)/(ABS(D4647)+ABS(D4646)))),"")))</f>
        <v>#NAME?</v>
      </c>
    </row>
    <row r="4648" spans="2:5" x14ac:dyDescent="0.25">
      <c r="B4648" t="e">
        <f t="shared" ca="1" si="145"/>
        <v>#NAME?</v>
      </c>
      <c r="C4648">
        <v>4605</v>
      </c>
      <c r="D4648" t="e">
        <f t="shared" ca="1" si="144"/>
        <v>#NAME?</v>
      </c>
      <c r="E4648" s="115" t="e">
        <f t="array" aca="1" ref="E4648" ca="1">IF(OR(C4647=0,AND(B4649=0,C4649=0)),"",IFERROR(INDEX($F$27:$F$36,MATCH(C4648,($F$27:$F$36)*($D$27:$D$36&lt;&gt;0),0)),IF(OR(AND(D4648=0,B4648=0,B4649&lt;&gt;0),AND(D4648*D4647&lt;0,B4648&lt;&gt;0)),IF(D4648=0,C4648,C4648*(1-ABS(D4648)/(ABS(D4648)+ABS(D4647)))+C4647*(1-ABS(D4647)/(ABS(D4648)+ABS(D4647)))),"")))</f>
        <v>#NAME?</v>
      </c>
    </row>
    <row r="4649" spans="2:5" x14ac:dyDescent="0.25">
      <c r="B4649" t="e">
        <f t="shared" ca="1" si="145"/>
        <v>#NAME?</v>
      </c>
      <c r="C4649">
        <v>4606</v>
      </c>
      <c r="D4649" t="e">
        <f t="shared" ca="1" si="144"/>
        <v>#NAME?</v>
      </c>
      <c r="E4649" s="115" t="e">
        <f t="array" aca="1" ref="E4649" ca="1">IF(OR(C4648=0,AND(B4650=0,C4650=0)),"",IFERROR(INDEX($F$27:$F$36,MATCH(C4649,($F$27:$F$36)*($D$27:$D$36&lt;&gt;0),0)),IF(OR(AND(D4649=0,B4649=0,B4650&lt;&gt;0),AND(D4649*D4648&lt;0,B4649&lt;&gt;0)),IF(D4649=0,C4649,C4649*(1-ABS(D4649)/(ABS(D4649)+ABS(D4648)))+C4648*(1-ABS(D4648)/(ABS(D4649)+ABS(D4648)))),"")))</f>
        <v>#NAME?</v>
      </c>
    </row>
    <row r="4650" spans="2:5" x14ac:dyDescent="0.25">
      <c r="B4650" t="e">
        <f t="shared" ca="1" si="145"/>
        <v>#NAME?</v>
      </c>
      <c r="C4650">
        <v>4607</v>
      </c>
      <c r="D4650" t="e">
        <f t="shared" ca="1" si="144"/>
        <v>#NAME?</v>
      </c>
      <c r="E4650" s="115" t="e">
        <f t="array" aca="1" ref="E4650" ca="1">IF(OR(C4649=0,AND(B4651=0,C4651=0)),"",IFERROR(INDEX($F$27:$F$36,MATCH(C4650,($F$27:$F$36)*($D$27:$D$36&lt;&gt;0),0)),IF(OR(AND(D4650=0,B4650=0,B4651&lt;&gt;0),AND(D4650*D4649&lt;0,B4650&lt;&gt;0)),IF(D4650=0,C4650,C4650*(1-ABS(D4650)/(ABS(D4650)+ABS(D4649)))+C4649*(1-ABS(D4649)/(ABS(D4650)+ABS(D4649)))),"")))</f>
        <v>#NAME?</v>
      </c>
    </row>
    <row r="4651" spans="2:5" x14ac:dyDescent="0.25">
      <c r="B4651" t="e">
        <f t="shared" ca="1" si="145"/>
        <v>#NAME?</v>
      </c>
      <c r="C4651">
        <v>4608</v>
      </c>
      <c r="D4651" t="e">
        <f t="shared" ref="D4651:D4714" ca="1" si="146">SUMPRODUCT(--($J$27:$J$37&gt;0),--($C4651-$F$27:$F$37&gt;0),($D$27:$D$37),($C4651-$F$27:$F$37))+SUMPRODUCT(--($J$27:$J$37&lt;0),--($F$27:$F$37-$C4651&gt;0),($D$27:$D$37),($F$27:$F$37-$C4651))-SUMPRODUCT($D$27:$D$37,$E$27:$E$37)</f>
        <v>#NAME?</v>
      </c>
      <c r="E4651" s="115" t="e">
        <f t="array" aca="1" ref="E4651" ca="1">IF(OR(C4650=0,AND(B4652=0,C4652=0)),"",IFERROR(INDEX($F$27:$F$36,MATCH(C4651,($F$27:$F$36)*($D$27:$D$36&lt;&gt;0),0)),IF(OR(AND(D4651=0,B4651=0,B4652&lt;&gt;0),AND(D4651*D4650&lt;0,B4651&lt;&gt;0)),IF(D4651=0,C4651,C4651*(1-ABS(D4651)/(ABS(D4651)+ABS(D4650)))+C4650*(1-ABS(D4650)/(ABS(D4651)+ABS(D4650)))),"")))</f>
        <v>#NAME?</v>
      </c>
    </row>
    <row r="4652" spans="2:5" x14ac:dyDescent="0.25">
      <c r="B4652" t="e">
        <f t="shared" ref="B4652:B4715" ca="1" si="147">ROUND((D4652-D4651)/(C4652-C4651),12)</f>
        <v>#NAME?</v>
      </c>
      <c r="C4652">
        <v>4609</v>
      </c>
      <c r="D4652" t="e">
        <f t="shared" ca="1" si="146"/>
        <v>#NAME?</v>
      </c>
      <c r="E4652" s="115" t="e">
        <f t="array" aca="1" ref="E4652" ca="1">IF(OR(C4651=0,AND(B4653=0,C4653=0)),"",IFERROR(INDEX($F$27:$F$36,MATCH(C4652,($F$27:$F$36)*($D$27:$D$36&lt;&gt;0),0)),IF(OR(AND(D4652=0,B4652=0,B4653&lt;&gt;0),AND(D4652*D4651&lt;0,B4652&lt;&gt;0)),IF(D4652=0,C4652,C4652*(1-ABS(D4652)/(ABS(D4652)+ABS(D4651)))+C4651*(1-ABS(D4651)/(ABS(D4652)+ABS(D4651)))),"")))</f>
        <v>#NAME?</v>
      </c>
    </row>
    <row r="4653" spans="2:5" x14ac:dyDescent="0.25">
      <c r="B4653" t="e">
        <f t="shared" ca="1" si="147"/>
        <v>#NAME?</v>
      </c>
      <c r="C4653">
        <v>4610</v>
      </c>
      <c r="D4653" t="e">
        <f t="shared" ca="1" si="146"/>
        <v>#NAME?</v>
      </c>
      <c r="E4653" s="115" t="e">
        <f t="array" aca="1" ref="E4653" ca="1">IF(OR(C4652=0,AND(B4654=0,C4654=0)),"",IFERROR(INDEX($F$27:$F$36,MATCH(C4653,($F$27:$F$36)*($D$27:$D$36&lt;&gt;0),0)),IF(OR(AND(D4653=0,B4653=0,B4654&lt;&gt;0),AND(D4653*D4652&lt;0,B4653&lt;&gt;0)),IF(D4653=0,C4653,C4653*(1-ABS(D4653)/(ABS(D4653)+ABS(D4652)))+C4652*(1-ABS(D4652)/(ABS(D4653)+ABS(D4652)))),"")))</f>
        <v>#NAME?</v>
      </c>
    </row>
    <row r="4654" spans="2:5" x14ac:dyDescent="0.25">
      <c r="B4654" t="e">
        <f t="shared" ca="1" si="147"/>
        <v>#NAME?</v>
      </c>
      <c r="C4654">
        <v>4611</v>
      </c>
      <c r="D4654" t="e">
        <f t="shared" ca="1" si="146"/>
        <v>#NAME?</v>
      </c>
      <c r="E4654" s="115" t="e">
        <f t="array" aca="1" ref="E4654" ca="1">IF(OR(C4653=0,AND(B4655=0,C4655=0)),"",IFERROR(INDEX($F$27:$F$36,MATCH(C4654,($F$27:$F$36)*($D$27:$D$36&lt;&gt;0),0)),IF(OR(AND(D4654=0,B4654=0,B4655&lt;&gt;0),AND(D4654*D4653&lt;0,B4654&lt;&gt;0)),IF(D4654=0,C4654,C4654*(1-ABS(D4654)/(ABS(D4654)+ABS(D4653)))+C4653*(1-ABS(D4653)/(ABS(D4654)+ABS(D4653)))),"")))</f>
        <v>#NAME?</v>
      </c>
    </row>
    <row r="4655" spans="2:5" x14ac:dyDescent="0.25">
      <c r="B4655" t="e">
        <f t="shared" ca="1" si="147"/>
        <v>#NAME?</v>
      </c>
      <c r="C4655">
        <v>4612</v>
      </c>
      <c r="D4655" t="e">
        <f t="shared" ca="1" si="146"/>
        <v>#NAME?</v>
      </c>
      <c r="E4655" s="115" t="e">
        <f t="array" aca="1" ref="E4655" ca="1">IF(OR(C4654=0,AND(B4656=0,C4656=0)),"",IFERROR(INDEX($F$27:$F$36,MATCH(C4655,($F$27:$F$36)*($D$27:$D$36&lt;&gt;0),0)),IF(OR(AND(D4655=0,B4655=0,B4656&lt;&gt;0),AND(D4655*D4654&lt;0,B4655&lt;&gt;0)),IF(D4655=0,C4655,C4655*(1-ABS(D4655)/(ABS(D4655)+ABS(D4654)))+C4654*(1-ABS(D4654)/(ABS(D4655)+ABS(D4654)))),"")))</f>
        <v>#NAME?</v>
      </c>
    </row>
    <row r="4656" spans="2:5" x14ac:dyDescent="0.25">
      <c r="B4656" t="e">
        <f t="shared" ca="1" si="147"/>
        <v>#NAME?</v>
      </c>
      <c r="C4656">
        <v>4613</v>
      </c>
      <c r="D4656" t="e">
        <f t="shared" ca="1" si="146"/>
        <v>#NAME?</v>
      </c>
      <c r="E4656" s="115" t="e">
        <f t="array" aca="1" ref="E4656" ca="1">IF(OR(C4655=0,AND(B4657=0,C4657=0)),"",IFERROR(INDEX($F$27:$F$36,MATCH(C4656,($F$27:$F$36)*($D$27:$D$36&lt;&gt;0),0)),IF(OR(AND(D4656=0,B4656=0,B4657&lt;&gt;0),AND(D4656*D4655&lt;0,B4656&lt;&gt;0)),IF(D4656=0,C4656,C4656*(1-ABS(D4656)/(ABS(D4656)+ABS(D4655)))+C4655*(1-ABS(D4655)/(ABS(D4656)+ABS(D4655)))),"")))</f>
        <v>#NAME?</v>
      </c>
    </row>
    <row r="4657" spans="2:5" x14ac:dyDescent="0.25">
      <c r="B4657" t="e">
        <f t="shared" ca="1" si="147"/>
        <v>#NAME?</v>
      </c>
      <c r="C4657">
        <v>4614</v>
      </c>
      <c r="D4657" t="e">
        <f t="shared" ca="1" si="146"/>
        <v>#NAME?</v>
      </c>
      <c r="E4657" s="115" t="e">
        <f t="array" aca="1" ref="E4657" ca="1">IF(OR(C4656=0,AND(B4658=0,C4658=0)),"",IFERROR(INDEX($F$27:$F$36,MATCH(C4657,($F$27:$F$36)*($D$27:$D$36&lt;&gt;0),0)),IF(OR(AND(D4657=0,B4657=0,B4658&lt;&gt;0),AND(D4657*D4656&lt;0,B4657&lt;&gt;0)),IF(D4657=0,C4657,C4657*(1-ABS(D4657)/(ABS(D4657)+ABS(D4656)))+C4656*(1-ABS(D4656)/(ABS(D4657)+ABS(D4656)))),"")))</f>
        <v>#NAME?</v>
      </c>
    </row>
    <row r="4658" spans="2:5" x14ac:dyDescent="0.25">
      <c r="B4658" t="e">
        <f t="shared" ca="1" si="147"/>
        <v>#NAME?</v>
      </c>
      <c r="C4658">
        <v>4615</v>
      </c>
      <c r="D4658" t="e">
        <f t="shared" ca="1" si="146"/>
        <v>#NAME?</v>
      </c>
      <c r="E4658" s="115" t="e">
        <f t="array" aca="1" ref="E4658" ca="1">IF(OR(C4657=0,AND(B4659=0,C4659=0)),"",IFERROR(INDEX($F$27:$F$36,MATCH(C4658,($F$27:$F$36)*($D$27:$D$36&lt;&gt;0),0)),IF(OR(AND(D4658=0,B4658=0,B4659&lt;&gt;0),AND(D4658*D4657&lt;0,B4658&lt;&gt;0)),IF(D4658=0,C4658,C4658*(1-ABS(D4658)/(ABS(D4658)+ABS(D4657)))+C4657*(1-ABS(D4657)/(ABS(D4658)+ABS(D4657)))),"")))</f>
        <v>#NAME?</v>
      </c>
    </row>
    <row r="4659" spans="2:5" x14ac:dyDescent="0.25">
      <c r="B4659" t="e">
        <f t="shared" ca="1" si="147"/>
        <v>#NAME?</v>
      </c>
      <c r="C4659">
        <v>4616</v>
      </c>
      <c r="D4659" t="e">
        <f t="shared" ca="1" si="146"/>
        <v>#NAME?</v>
      </c>
      <c r="E4659" s="115" t="e">
        <f t="array" aca="1" ref="E4659" ca="1">IF(OR(C4658=0,AND(B4660=0,C4660=0)),"",IFERROR(INDEX($F$27:$F$36,MATCH(C4659,($F$27:$F$36)*($D$27:$D$36&lt;&gt;0),0)),IF(OR(AND(D4659=0,B4659=0,B4660&lt;&gt;0),AND(D4659*D4658&lt;0,B4659&lt;&gt;0)),IF(D4659=0,C4659,C4659*(1-ABS(D4659)/(ABS(D4659)+ABS(D4658)))+C4658*(1-ABS(D4658)/(ABS(D4659)+ABS(D4658)))),"")))</f>
        <v>#NAME?</v>
      </c>
    </row>
    <row r="4660" spans="2:5" x14ac:dyDescent="0.25">
      <c r="B4660" t="e">
        <f t="shared" ca="1" si="147"/>
        <v>#NAME?</v>
      </c>
      <c r="C4660">
        <v>4617</v>
      </c>
      <c r="D4660" t="e">
        <f t="shared" ca="1" si="146"/>
        <v>#NAME?</v>
      </c>
      <c r="E4660" s="115" t="e">
        <f t="array" aca="1" ref="E4660" ca="1">IF(OR(C4659=0,AND(B4661=0,C4661=0)),"",IFERROR(INDEX($F$27:$F$36,MATCH(C4660,($F$27:$F$36)*($D$27:$D$36&lt;&gt;0),0)),IF(OR(AND(D4660=0,B4660=0,B4661&lt;&gt;0),AND(D4660*D4659&lt;0,B4660&lt;&gt;0)),IF(D4660=0,C4660,C4660*(1-ABS(D4660)/(ABS(D4660)+ABS(D4659)))+C4659*(1-ABS(D4659)/(ABS(D4660)+ABS(D4659)))),"")))</f>
        <v>#NAME?</v>
      </c>
    </row>
    <row r="4661" spans="2:5" x14ac:dyDescent="0.25">
      <c r="B4661" t="e">
        <f t="shared" ca="1" si="147"/>
        <v>#NAME?</v>
      </c>
      <c r="C4661">
        <v>4618</v>
      </c>
      <c r="D4661" t="e">
        <f t="shared" ca="1" si="146"/>
        <v>#NAME?</v>
      </c>
      <c r="E4661" s="115" t="e">
        <f t="array" aca="1" ref="E4661" ca="1">IF(OR(C4660=0,AND(B4662=0,C4662=0)),"",IFERROR(INDEX($F$27:$F$36,MATCH(C4661,($F$27:$F$36)*($D$27:$D$36&lt;&gt;0),0)),IF(OR(AND(D4661=0,B4661=0,B4662&lt;&gt;0),AND(D4661*D4660&lt;0,B4661&lt;&gt;0)),IF(D4661=0,C4661,C4661*(1-ABS(D4661)/(ABS(D4661)+ABS(D4660)))+C4660*(1-ABS(D4660)/(ABS(D4661)+ABS(D4660)))),"")))</f>
        <v>#NAME?</v>
      </c>
    </row>
    <row r="4662" spans="2:5" x14ac:dyDescent="0.25">
      <c r="B4662" t="e">
        <f t="shared" ca="1" si="147"/>
        <v>#NAME?</v>
      </c>
      <c r="C4662">
        <v>4619</v>
      </c>
      <c r="D4662" t="e">
        <f t="shared" ca="1" si="146"/>
        <v>#NAME?</v>
      </c>
      <c r="E4662" s="115" t="e">
        <f t="array" aca="1" ref="E4662" ca="1">IF(OR(C4661=0,AND(B4663=0,C4663=0)),"",IFERROR(INDEX($F$27:$F$36,MATCH(C4662,($F$27:$F$36)*($D$27:$D$36&lt;&gt;0),0)),IF(OR(AND(D4662=0,B4662=0,B4663&lt;&gt;0),AND(D4662*D4661&lt;0,B4662&lt;&gt;0)),IF(D4662=0,C4662,C4662*(1-ABS(D4662)/(ABS(D4662)+ABS(D4661)))+C4661*(1-ABS(D4661)/(ABS(D4662)+ABS(D4661)))),"")))</f>
        <v>#NAME?</v>
      </c>
    </row>
    <row r="4663" spans="2:5" x14ac:dyDescent="0.25">
      <c r="B4663" t="e">
        <f t="shared" ca="1" si="147"/>
        <v>#NAME?</v>
      </c>
      <c r="C4663">
        <v>4620</v>
      </c>
      <c r="D4663" t="e">
        <f t="shared" ca="1" si="146"/>
        <v>#NAME?</v>
      </c>
      <c r="E4663" s="115" t="e">
        <f t="array" aca="1" ref="E4663" ca="1">IF(OR(C4662=0,AND(B4664=0,C4664=0)),"",IFERROR(INDEX($F$27:$F$36,MATCH(C4663,($F$27:$F$36)*($D$27:$D$36&lt;&gt;0),0)),IF(OR(AND(D4663=0,B4663=0,B4664&lt;&gt;0),AND(D4663*D4662&lt;0,B4663&lt;&gt;0)),IF(D4663=0,C4663,C4663*(1-ABS(D4663)/(ABS(D4663)+ABS(D4662)))+C4662*(1-ABS(D4662)/(ABS(D4663)+ABS(D4662)))),"")))</f>
        <v>#NAME?</v>
      </c>
    </row>
    <row r="4664" spans="2:5" x14ac:dyDescent="0.25">
      <c r="B4664" t="e">
        <f t="shared" ca="1" si="147"/>
        <v>#NAME?</v>
      </c>
      <c r="C4664">
        <v>4621</v>
      </c>
      <c r="D4664" t="e">
        <f t="shared" ca="1" si="146"/>
        <v>#NAME?</v>
      </c>
      <c r="E4664" s="115" t="e">
        <f t="array" aca="1" ref="E4664" ca="1">IF(OR(C4663=0,AND(B4665=0,C4665=0)),"",IFERROR(INDEX($F$27:$F$36,MATCH(C4664,($F$27:$F$36)*($D$27:$D$36&lt;&gt;0),0)),IF(OR(AND(D4664=0,B4664=0,B4665&lt;&gt;0),AND(D4664*D4663&lt;0,B4664&lt;&gt;0)),IF(D4664=0,C4664,C4664*(1-ABS(D4664)/(ABS(D4664)+ABS(D4663)))+C4663*(1-ABS(D4663)/(ABS(D4664)+ABS(D4663)))),"")))</f>
        <v>#NAME?</v>
      </c>
    </row>
    <row r="4665" spans="2:5" x14ac:dyDescent="0.25">
      <c r="B4665" t="e">
        <f t="shared" ca="1" si="147"/>
        <v>#NAME?</v>
      </c>
      <c r="C4665">
        <v>4622</v>
      </c>
      <c r="D4665" t="e">
        <f t="shared" ca="1" si="146"/>
        <v>#NAME?</v>
      </c>
      <c r="E4665" s="115" t="e">
        <f t="array" aca="1" ref="E4665" ca="1">IF(OR(C4664=0,AND(B4666=0,C4666=0)),"",IFERROR(INDEX($F$27:$F$36,MATCH(C4665,($F$27:$F$36)*($D$27:$D$36&lt;&gt;0),0)),IF(OR(AND(D4665=0,B4665=0,B4666&lt;&gt;0),AND(D4665*D4664&lt;0,B4665&lt;&gt;0)),IF(D4665=0,C4665,C4665*(1-ABS(D4665)/(ABS(D4665)+ABS(D4664)))+C4664*(1-ABS(D4664)/(ABS(D4665)+ABS(D4664)))),"")))</f>
        <v>#NAME?</v>
      </c>
    </row>
    <row r="4666" spans="2:5" x14ac:dyDescent="0.25">
      <c r="B4666" t="e">
        <f t="shared" ca="1" si="147"/>
        <v>#NAME?</v>
      </c>
      <c r="C4666">
        <v>4623</v>
      </c>
      <c r="D4666" t="e">
        <f t="shared" ca="1" si="146"/>
        <v>#NAME?</v>
      </c>
      <c r="E4666" s="115" t="e">
        <f t="array" aca="1" ref="E4666" ca="1">IF(OR(C4665=0,AND(B4667=0,C4667=0)),"",IFERROR(INDEX($F$27:$F$36,MATCH(C4666,($F$27:$F$36)*($D$27:$D$36&lt;&gt;0),0)),IF(OR(AND(D4666=0,B4666=0,B4667&lt;&gt;0),AND(D4666*D4665&lt;0,B4666&lt;&gt;0)),IF(D4666=0,C4666,C4666*(1-ABS(D4666)/(ABS(D4666)+ABS(D4665)))+C4665*(1-ABS(D4665)/(ABS(D4666)+ABS(D4665)))),"")))</f>
        <v>#NAME?</v>
      </c>
    </row>
    <row r="4667" spans="2:5" x14ac:dyDescent="0.25">
      <c r="B4667" t="e">
        <f t="shared" ca="1" si="147"/>
        <v>#NAME?</v>
      </c>
      <c r="C4667">
        <v>4624</v>
      </c>
      <c r="D4667" t="e">
        <f t="shared" ca="1" si="146"/>
        <v>#NAME?</v>
      </c>
      <c r="E4667" s="115" t="e">
        <f t="array" aca="1" ref="E4667" ca="1">IF(OR(C4666=0,AND(B4668=0,C4668=0)),"",IFERROR(INDEX($F$27:$F$36,MATCH(C4667,($F$27:$F$36)*($D$27:$D$36&lt;&gt;0),0)),IF(OR(AND(D4667=0,B4667=0,B4668&lt;&gt;0),AND(D4667*D4666&lt;0,B4667&lt;&gt;0)),IF(D4667=0,C4667,C4667*(1-ABS(D4667)/(ABS(D4667)+ABS(D4666)))+C4666*(1-ABS(D4666)/(ABS(D4667)+ABS(D4666)))),"")))</f>
        <v>#NAME?</v>
      </c>
    </row>
    <row r="4668" spans="2:5" x14ac:dyDescent="0.25">
      <c r="B4668" t="e">
        <f t="shared" ca="1" si="147"/>
        <v>#NAME?</v>
      </c>
      <c r="C4668">
        <v>4625</v>
      </c>
      <c r="D4668" t="e">
        <f t="shared" ca="1" si="146"/>
        <v>#NAME?</v>
      </c>
      <c r="E4668" s="115" t="e">
        <f t="array" aca="1" ref="E4668" ca="1">IF(OR(C4667=0,AND(B4669=0,C4669=0)),"",IFERROR(INDEX($F$27:$F$36,MATCH(C4668,($F$27:$F$36)*($D$27:$D$36&lt;&gt;0),0)),IF(OR(AND(D4668=0,B4668=0,B4669&lt;&gt;0),AND(D4668*D4667&lt;0,B4668&lt;&gt;0)),IF(D4668=0,C4668,C4668*(1-ABS(D4668)/(ABS(D4668)+ABS(D4667)))+C4667*(1-ABS(D4667)/(ABS(D4668)+ABS(D4667)))),"")))</f>
        <v>#NAME?</v>
      </c>
    </row>
    <row r="4669" spans="2:5" x14ac:dyDescent="0.25">
      <c r="B4669" t="e">
        <f t="shared" ca="1" si="147"/>
        <v>#NAME?</v>
      </c>
      <c r="C4669">
        <v>4626</v>
      </c>
      <c r="D4669" t="e">
        <f t="shared" ca="1" si="146"/>
        <v>#NAME?</v>
      </c>
      <c r="E4669" s="115" t="e">
        <f t="array" aca="1" ref="E4669" ca="1">IF(OR(C4668=0,AND(B4670=0,C4670=0)),"",IFERROR(INDEX($F$27:$F$36,MATCH(C4669,($F$27:$F$36)*($D$27:$D$36&lt;&gt;0),0)),IF(OR(AND(D4669=0,B4669=0,B4670&lt;&gt;0),AND(D4669*D4668&lt;0,B4669&lt;&gt;0)),IF(D4669=0,C4669,C4669*(1-ABS(D4669)/(ABS(D4669)+ABS(D4668)))+C4668*(1-ABS(D4668)/(ABS(D4669)+ABS(D4668)))),"")))</f>
        <v>#NAME?</v>
      </c>
    </row>
    <row r="4670" spans="2:5" x14ac:dyDescent="0.25">
      <c r="B4670" t="e">
        <f t="shared" ca="1" si="147"/>
        <v>#NAME?</v>
      </c>
      <c r="C4670">
        <v>4627</v>
      </c>
      <c r="D4670" t="e">
        <f t="shared" ca="1" si="146"/>
        <v>#NAME?</v>
      </c>
      <c r="E4670" s="115" t="e">
        <f t="array" aca="1" ref="E4670" ca="1">IF(OR(C4669=0,AND(B4671=0,C4671=0)),"",IFERROR(INDEX($F$27:$F$36,MATCH(C4670,($F$27:$F$36)*($D$27:$D$36&lt;&gt;0),0)),IF(OR(AND(D4670=0,B4670=0,B4671&lt;&gt;0),AND(D4670*D4669&lt;0,B4670&lt;&gt;0)),IF(D4670=0,C4670,C4670*(1-ABS(D4670)/(ABS(D4670)+ABS(D4669)))+C4669*(1-ABS(D4669)/(ABS(D4670)+ABS(D4669)))),"")))</f>
        <v>#NAME?</v>
      </c>
    </row>
    <row r="4671" spans="2:5" x14ac:dyDescent="0.25">
      <c r="B4671" t="e">
        <f t="shared" ca="1" si="147"/>
        <v>#NAME?</v>
      </c>
      <c r="C4671">
        <v>4628</v>
      </c>
      <c r="D4671" t="e">
        <f t="shared" ca="1" si="146"/>
        <v>#NAME?</v>
      </c>
      <c r="E4671" s="115" t="e">
        <f t="array" aca="1" ref="E4671" ca="1">IF(OR(C4670=0,AND(B4672=0,C4672=0)),"",IFERROR(INDEX($F$27:$F$36,MATCH(C4671,($F$27:$F$36)*($D$27:$D$36&lt;&gt;0),0)),IF(OR(AND(D4671=0,B4671=0,B4672&lt;&gt;0),AND(D4671*D4670&lt;0,B4671&lt;&gt;0)),IF(D4671=0,C4671,C4671*(1-ABS(D4671)/(ABS(D4671)+ABS(D4670)))+C4670*(1-ABS(D4670)/(ABS(D4671)+ABS(D4670)))),"")))</f>
        <v>#NAME?</v>
      </c>
    </row>
    <row r="4672" spans="2:5" x14ac:dyDescent="0.25">
      <c r="B4672" t="e">
        <f t="shared" ca="1" si="147"/>
        <v>#NAME?</v>
      </c>
      <c r="C4672">
        <v>4629</v>
      </c>
      <c r="D4672" t="e">
        <f t="shared" ca="1" si="146"/>
        <v>#NAME?</v>
      </c>
      <c r="E4672" s="115" t="e">
        <f t="array" aca="1" ref="E4672" ca="1">IF(OR(C4671=0,AND(B4673=0,C4673=0)),"",IFERROR(INDEX($F$27:$F$36,MATCH(C4672,($F$27:$F$36)*($D$27:$D$36&lt;&gt;0),0)),IF(OR(AND(D4672=0,B4672=0,B4673&lt;&gt;0),AND(D4672*D4671&lt;0,B4672&lt;&gt;0)),IF(D4672=0,C4672,C4672*(1-ABS(D4672)/(ABS(D4672)+ABS(D4671)))+C4671*(1-ABS(D4671)/(ABS(D4672)+ABS(D4671)))),"")))</f>
        <v>#NAME?</v>
      </c>
    </row>
    <row r="4673" spans="2:5" x14ac:dyDescent="0.25">
      <c r="B4673" t="e">
        <f t="shared" ca="1" si="147"/>
        <v>#NAME?</v>
      </c>
      <c r="C4673">
        <v>4630</v>
      </c>
      <c r="D4673" t="e">
        <f t="shared" ca="1" si="146"/>
        <v>#NAME?</v>
      </c>
      <c r="E4673" s="115" t="e">
        <f t="array" aca="1" ref="E4673" ca="1">IF(OR(C4672=0,AND(B4674=0,C4674=0)),"",IFERROR(INDEX($F$27:$F$36,MATCH(C4673,($F$27:$F$36)*($D$27:$D$36&lt;&gt;0),0)),IF(OR(AND(D4673=0,B4673=0,B4674&lt;&gt;0),AND(D4673*D4672&lt;0,B4673&lt;&gt;0)),IF(D4673=0,C4673,C4673*(1-ABS(D4673)/(ABS(D4673)+ABS(D4672)))+C4672*(1-ABS(D4672)/(ABS(D4673)+ABS(D4672)))),"")))</f>
        <v>#NAME?</v>
      </c>
    </row>
    <row r="4674" spans="2:5" x14ac:dyDescent="0.25">
      <c r="B4674" t="e">
        <f t="shared" ca="1" si="147"/>
        <v>#NAME?</v>
      </c>
      <c r="C4674">
        <v>4631</v>
      </c>
      <c r="D4674" t="e">
        <f t="shared" ca="1" si="146"/>
        <v>#NAME?</v>
      </c>
      <c r="E4674" s="115" t="e">
        <f t="array" aca="1" ref="E4674" ca="1">IF(OR(C4673=0,AND(B4675=0,C4675=0)),"",IFERROR(INDEX($F$27:$F$36,MATCH(C4674,($F$27:$F$36)*($D$27:$D$36&lt;&gt;0),0)),IF(OR(AND(D4674=0,B4674=0,B4675&lt;&gt;0),AND(D4674*D4673&lt;0,B4674&lt;&gt;0)),IF(D4674=0,C4674,C4674*(1-ABS(D4674)/(ABS(D4674)+ABS(D4673)))+C4673*(1-ABS(D4673)/(ABS(D4674)+ABS(D4673)))),"")))</f>
        <v>#NAME?</v>
      </c>
    </row>
    <row r="4675" spans="2:5" x14ac:dyDescent="0.25">
      <c r="B4675" t="e">
        <f t="shared" ca="1" si="147"/>
        <v>#NAME?</v>
      </c>
      <c r="C4675">
        <v>4632</v>
      </c>
      <c r="D4675" t="e">
        <f t="shared" ca="1" si="146"/>
        <v>#NAME?</v>
      </c>
      <c r="E4675" s="115" t="e">
        <f t="array" aca="1" ref="E4675" ca="1">IF(OR(C4674=0,AND(B4676=0,C4676=0)),"",IFERROR(INDEX($F$27:$F$36,MATCH(C4675,($F$27:$F$36)*($D$27:$D$36&lt;&gt;0),0)),IF(OR(AND(D4675=0,B4675=0,B4676&lt;&gt;0),AND(D4675*D4674&lt;0,B4675&lt;&gt;0)),IF(D4675=0,C4675,C4675*(1-ABS(D4675)/(ABS(D4675)+ABS(D4674)))+C4674*(1-ABS(D4674)/(ABS(D4675)+ABS(D4674)))),"")))</f>
        <v>#NAME?</v>
      </c>
    </row>
    <row r="4676" spans="2:5" x14ac:dyDescent="0.25">
      <c r="B4676" t="e">
        <f t="shared" ca="1" si="147"/>
        <v>#NAME?</v>
      </c>
      <c r="C4676">
        <v>4633</v>
      </c>
      <c r="D4676" t="e">
        <f t="shared" ca="1" si="146"/>
        <v>#NAME?</v>
      </c>
      <c r="E4676" s="115" t="e">
        <f t="array" aca="1" ref="E4676" ca="1">IF(OR(C4675=0,AND(B4677=0,C4677=0)),"",IFERROR(INDEX($F$27:$F$36,MATCH(C4676,($F$27:$F$36)*($D$27:$D$36&lt;&gt;0),0)),IF(OR(AND(D4676=0,B4676=0,B4677&lt;&gt;0),AND(D4676*D4675&lt;0,B4676&lt;&gt;0)),IF(D4676=0,C4676,C4676*(1-ABS(D4676)/(ABS(D4676)+ABS(D4675)))+C4675*(1-ABS(D4675)/(ABS(D4676)+ABS(D4675)))),"")))</f>
        <v>#NAME?</v>
      </c>
    </row>
    <row r="4677" spans="2:5" x14ac:dyDescent="0.25">
      <c r="B4677" t="e">
        <f t="shared" ca="1" si="147"/>
        <v>#NAME?</v>
      </c>
      <c r="C4677">
        <v>4634</v>
      </c>
      <c r="D4677" t="e">
        <f t="shared" ca="1" si="146"/>
        <v>#NAME?</v>
      </c>
      <c r="E4677" s="115" t="e">
        <f t="array" aca="1" ref="E4677" ca="1">IF(OR(C4676=0,AND(B4678=0,C4678=0)),"",IFERROR(INDEX($F$27:$F$36,MATCH(C4677,($F$27:$F$36)*($D$27:$D$36&lt;&gt;0),0)),IF(OR(AND(D4677=0,B4677=0,B4678&lt;&gt;0),AND(D4677*D4676&lt;0,B4677&lt;&gt;0)),IF(D4677=0,C4677,C4677*(1-ABS(D4677)/(ABS(D4677)+ABS(D4676)))+C4676*(1-ABS(D4676)/(ABS(D4677)+ABS(D4676)))),"")))</f>
        <v>#NAME?</v>
      </c>
    </row>
    <row r="4678" spans="2:5" x14ac:dyDescent="0.25">
      <c r="B4678" t="e">
        <f t="shared" ca="1" si="147"/>
        <v>#NAME?</v>
      </c>
      <c r="C4678">
        <v>4635</v>
      </c>
      <c r="D4678" t="e">
        <f t="shared" ca="1" si="146"/>
        <v>#NAME?</v>
      </c>
      <c r="E4678" s="115" t="e">
        <f t="array" aca="1" ref="E4678" ca="1">IF(OR(C4677=0,AND(B4679=0,C4679=0)),"",IFERROR(INDEX($F$27:$F$36,MATCH(C4678,($F$27:$F$36)*($D$27:$D$36&lt;&gt;0),0)),IF(OR(AND(D4678=0,B4678=0,B4679&lt;&gt;0),AND(D4678*D4677&lt;0,B4678&lt;&gt;0)),IF(D4678=0,C4678,C4678*(1-ABS(D4678)/(ABS(D4678)+ABS(D4677)))+C4677*(1-ABS(D4677)/(ABS(D4678)+ABS(D4677)))),"")))</f>
        <v>#NAME?</v>
      </c>
    </row>
    <row r="4679" spans="2:5" x14ac:dyDescent="0.25">
      <c r="B4679" t="e">
        <f t="shared" ca="1" si="147"/>
        <v>#NAME?</v>
      </c>
      <c r="C4679">
        <v>4636</v>
      </c>
      <c r="D4679" t="e">
        <f t="shared" ca="1" si="146"/>
        <v>#NAME?</v>
      </c>
      <c r="E4679" s="115" t="e">
        <f t="array" aca="1" ref="E4679" ca="1">IF(OR(C4678=0,AND(B4680=0,C4680=0)),"",IFERROR(INDEX($F$27:$F$36,MATCH(C4679,($F$27:$F$36)*($D$27:$D$36&lt;&gt;0),0)),IF(OR(AND(D4679=0,B4679=0,B4680&lt;&gt;0),AND(D4679*D4678&lt;0,B4679&lt;&gt;0)),IF(D4679=0,C4679,C4679*(1-ABS(D4679)/(ABS(D4679)+ABS(D4678)))+C4678*(1-ABS(D4678)/(ABS(D4679)+ABS(D4678)))),"")))</f>
        <v>#NAME?</v>
      </c>
    </row>
    <row r="4680" spans="2:5" x14ac:dyDescent="0.25">
      <c r="B4680" t="e">
        <f t="shared" ca="1" si="147"/>
        <v>#NAME?</v>
      </c>
      <c r="C4680">
        <v>4637</v>
      </c>
      <c r="D4680" t="e">
        <f t="shared" ca="1" si="146"/>
        <v>#NAME?</v>
      </c>
      <c r="E4680" s="115" t="e">
        <f t="array" aca="1" ref="E4680" ca="1">IF(OR(C4679=0,AND(B4681=0,C4681=0)),"",IFERROR(INDEX($F$27:$F$36,MATCH(C4680,($F$27:$F$36)*($D$27:$D$36&lt;&gt;0),0)),IF(OR(AND(D4680=0,B4680=0,B4681&lt;&gt;0),AND(D4680*D4679&lt;0,B4680&lt;&gt;0)),IF(D4680=0,C4680,C4680*(1-ABS(D4680)/(ABS(D4680)+ABS(D4679)))+C4679*(1-ABS(D4679)/(ABS(D4680)+ABS(D4679)))),"")))</f>
        <v>#NAME?</v>
      </c>
    </row>
    <row r="4681" spans="2:5" x14ac:dyDescent="0.25">
      <c r="B4681" t="e">
        <f t="shared" ca="1" si="147"/>
        <v>#NAME?</v>
      </c>
      <c r="C4681">
        <v>4638</v>
      </c>
      <c r="D4681" t="e">
        <f t="shared" ca="1" si="146"/>
        <v>#NAME?</v>
      </c>
      <c r="E4681" s="115" t="e">
        <f t="array" aca="1" ref="E4681" ca="1">IF(OR(C4680=0,AND(B4682=0,C4682=0)),"",IFERROR(INDEX($F$27:$F$36,MATCH(C4681,($F$27:$F$36)*($D$27:$D$36&lt;&gt;0),0)),IF(OR(AND(D4681=0,B4681=0,B4682&lt;&gt;0),AND(D4681*D4680&lt;0,B4681&lt;&gt;0)),IF(D4681=0,C4681,C4681*(1-ABS(D4681)/(ABS(D4681)+ABS(D4680)))+C4680*(1-ABS(D4680)/(ABS(D4681)+ABS(D4680)))),"")))</f>
        <v>#NAME?</v>
      </c>
    </row>
    <row r="4682" spans="2:5" x14ac:dyDescent="0.25">
      <c r="B4682" t="e">
        <f t="shared" ca="1" si="147"/>
        <v>#NAME?</v>
      </c>
      <c r="C4682">
        <v>4639</v>
      </c>
      <c r="D4682" t="e">
        <f t="shared" ca="1" si="146"/>
        <v>#NAME?</v>
      </c>
      <c r="E4682" s="115" t="e">
        <f t="array" aca="1" ref="E4682" ca="1">IF(OR(C4681=0,AND(B4683=0,C4683=0)),"",IFERROR(INDEX($F$27:$F$36,MATCH(C4682,($F$27:$F$36)*($D$27:$D$36&lt;&gt;0),0)),IF(OR(AND(D4682=0,B4682=0,B4683&lt;&gt;0),AND(D4682*D4681&lt;0,B4682&lt;&gt;0)),IF(D4682=0,C4682,C4682*(1-ABS(D4682)/(ABS(D4682)+ABS(D4681)))+C4681*(1-ABS(D4681)/(ABS(D4682)+ABS(D4681)))),"")))</f>
        <v>#NAME?</v>
      </c>
    </row>
    <row r="4683" spans="2:5" x14ac:dyDescent="0.25">
      <c r="B4683" t="e">
        <f t="shared" ca="1" si="147"/>
        <v>#NAME?</v>
      </c>
      <c r="C4683">
        <v>4640</v>
      </c>
      <c r="D4683" t="e">
        <f t="shared" ca="1" si="146"/>
        <v>#NAME?</v>
      </c>
      <c r="E4683" s="115" t="e">
        <f t="array" aca="1" ref="E4683" ca="1">IF(OR(C4682=0,AND(B4684=0,C4684=0)),"",IFERROR(INDEX($F$27:$F$36,MATCH(C4683,($F$27:$F$36)*($D$27:$D$36&lt;&gt;0),0)),IF(OR(AND(D4683=0,B4683=0,B4684&lt;&gt;0),AND(D4683*D4682&lt;0,B4683&lt;&gt;0)),IF(D4683=0,C4683,C4683*(1-ABS(D4683)/(ABS(D4683)+ABS(D4682)))+C4682*(1-ABS(D4682)/(ABS(D4683)+ABS(D4682)))),"")))</f>
        <v>#NAME?</v>
      </c>
    </row>
    <row r="4684" spans="2:5" x14ac:dyDescent="0.25">
      <c r="B4684" t="e">
        <f t="shared" ca="1" si="147"/>
        <v>#NAME?</v>
      </c>
      <c r="C4684">
        <v>4641</v>
      </c>
      <c r="D4684" t="e">
        <f t="shared" ca="1" si="146"/>
        <v>#NAME?</v>
      </c>
      <c r="E4684" s="115" t="e">
        <f t="array" aca="1" ref="E4684" ca="1">IF(OR(C4683=0,AND(B4685=0,C4685=0)),"",IFERROR(INDEX($F$27:$F$36,MATCH(C4684,($F$27:$F$36)*($D$27:$D$36&lt;&gt;0),0)),IF(OR(AND(D4684=0,B4684=0,B4685&lt;&gt;0),AND(D4684*D4683&lt;0,B4684&lt;&gt;0)),IF(D4684=0,C4684,C4684*(1-ABS(D4684)/(ABS(D4684)+ABS(D4683)))+C4683*(1-ABS(D4683)/(ABS(D4684)+ABS(D4683)))),"")))</f>
        <v>#NAME?</v>
      </c>
    </row>
    <row r="4685" spans="2:5" x14ac:dyDescent="0.25">
      <c r="B4685" t="e">
        <f t="shared" ca="1" si="147"/>
        <v>#NAME?</v>
      </c>
      <c r="C4685">
        <v>4642</v>
      </c>
      <c r="D4685" t="e">
        <f t="shared" ca="1" si="146"/>
        <v>#NAME?</v>
      </c>
      <c r="E4685" s="115" t="e">
        <f t="array" aca="1" ref="E4685" ca="1">IF(OR(C4684=0,AND(B4686=0,C4686=0)),"",IFERROR(INDEX($F$27:$F$36,MATCH(C4685,($F$27:$F$36)*($D$27:$D$36&lt;&gt;0),0)),IF(OR(AND(D4685=0,B4685=0,B4686&lt;&gt;0),AND(D4685*D4684&lt;0,B4685&lt;&gt;0)),IF(D4685=0,C4685,C4685*(1-ABS(D4685)/(ABS(D4685)+ABS(D4684)))+C4684*(1-ABS(D4684)/(ABS(D4685)+ABS(D4684)))),"")))</f>
        <v>#NAME?</v>
      </c>
    </row>
    <row r="4686" spans="2:5" x14ac:dyDescent="0.25">
      <c r="B4686" t="e">
        <f t="shared" ca="1" si="147"/>
        <v>#NAME?</v>
      </c>
      <c r="C4686">
        <v>4643</v>
      </c>
      <c r="D4686" t="e">
        <f t="shared" ca="1" si="146"/>
        <v>#NAME?</v>
      </c>
      <c r="E4686" s="115" t="e">
        <f t="array" aca="1" ref="E4686" ca="1">IF(OR(C4685=0,AND(B4687=0,C4687=0)),"",IFERROR(INDEX($F$27:$F$36,MATCH(C4686,($F$27:$F$36)*($D$27:$D$36&lt;&gt;0),0)),IF(OR(AND(D4686=0,B4686=0,B4687&lt;&gt;0),AND(D4686*D4685&lt;0,B4686&lt;&gt;0)),IF(D4686=0,C4686,C4686*(1-ABS(D4686)/(ABS(D4686)+ABS(D4685)))+C4685*(1-ABS(D4685)/(ABS(D4686)+ABS(D4685)))),"")))</f>
        <v>#NAME?</v>
      </c>
    </row>
    <row r="4687" spans="2:5" x14ac:dyDescent="0.25">
      <c r="B4687" t="e">
        <f t="shared" ca="1" si="147"/>
        <v>#NAME?</v>
      </c>
      <c r="C4687">
        <v>4644</v>
      </c>
      <c r="D4687" t="e">
        <f t="shared" ca="1" si="146"/>
        <v>#NAME?</v>
      </c>
      <c r="E4687" s="115" t="e">
        <f t="array" aca="1" ref="E4687" ca="1">IF(OR(C4686=0,AND(B4688=0,C4688=0)),"",IFERROR(INDEX($F$27:$F$36,MATCH(C4687,($F$27:$F$36)*($D$27:$D$36&lt;&gt;0),0)),IF(OR(AND(D4687=0,B4687=0,B4688&lt;&gt;0),AND(D4687*D4686&lt;0,B4687&lt;&gt;0)),IF(D4687=0,C4687,C4687*(1-ABS(D4687)/(ABS(D4687)+ABS(D4686)))+C4686*(1-ABS(D4686)/(ABS(D4687)+ABS(D4686)))),"")))</f>
        <v>#NAME?</v>
      </c>
    </row>
    <row r="4688" spans="2:5" x14ac:dyDescent="0.25">
      <c r="B4688" t="e">
        <f t="shared" ca="1" si="147"/>
        <v>#NAME?</v>
      </c>
      <c r="C4688">
        <v>4645</v>
      </c>
      <c r="D4688" t="e">
        <f t="shared" ca="1" si="146"/>
        <v>#NAME?</v>
      </c>
      <c r="E4688" s="115" t="e">
        <f t="array" aca="1" ref="E4688" ca="1">IF(OR(C4687=0,AND(B4689=0,C4689=0)),"",IFERROR(INDEX($F$27:$F$36,MATCH(C4688,($F$27:$F$36)*($D$27:$D$36&lt;&gt;0),0)),IF(OR(AND(D4688=0,B4688=0,B4689&lt;&gt;0),AND(D4688*D4687&lt;0,B4688&lt;&gt;0)),IF(D4688=0,C4688,C4688*(1-ABS(D4688)/(ABS(D4688)+ABS(D4687)))+C4687*(1-ABS(D4687)/(ABS(D4688)+ABS(D4687)))),"")))</f>
        <v>#NAME?</v>
      </c>
    </row>
    <row r="4689" spans="2:5" x14ac:dyDescent="0.25">
      <c r="B4689" t="e">
        <f t="shared" ca="1" si="147"/>
        <v>#NAME?</v>
      </c>
      <c r="C4689">
        <v>4646</v>
      </c>
      <c r="D4689" t="e">
        <f t="shared" ca="1" si="146"/>
        <v>#NAME?</v>
      </c>
      <c r="E4689" s="115" t="e">
        <f t="array" aca="1" ref="E4689" ca="1">IF(OR(C4688=0,AND(B4690=0,C4690=0)),"",IFERROR(INDEX($F$27:$F$36,MATCH(C4689,($F$27:$F$36)*($D$27:$D$36&lt;&gt;0),0)),IF(OR(AND(D4689=0,B4689=0,B4690&lt;&gt;0),AND(D4689*D4688&lt;0,B4689&lt;&gt;0)),IF(D4689=0,C4689,C4689*(1-ABS(D4689)/(ABS(D4689)+ABS(D4688)))+C4688*(1-ABS(D4688)/(ABS(D4689)+ABS(D4688)))),"")))</f>
        <v>#NAME?</v>
      </c>
    </row>
    <row r="4690" spans="2:5" x14ac:dyDescent="0.25">
      <c r="B4690" t="e">
        <f t="shared" ca="1" si="147"/>
        <v>#NAME?</v>
      </c>
      <c r="C4690">
        <v>4647</v>
      </c>
      <c r="D4690" t="e">
        <f t="shared" ca="1" si="146"/>
        <v>#NAME?</v>
      </c>
      <c r="E4690" s="115" t="e">
        <f t="array" aca="1" ref="E4690" ca="1">IF(OR(C4689=0,AND(B4691=0,C4691=0)),"",IFERROR(INDEX($F$27:$F$36,MATCH(C4690,($F$27:$F$36)*($D$27:$D$36&lt;&gt;0),0)),IF(OR(AND(D4690=0,B4690=0,B4691&lt;&gt;0),AND(D4690*D4689&lt;0,B4690&lt;&gt;0)),IF(D4690=0,C4690,C4690*(1-ABS(D4690)/(ABS(D4690)+ABS(D4689)))+C4689*(1-ABS(D4689)/(ABS(D4690)+ABS(D4689)))),"")))</f>
        <v>#NAME?</v>
      </c>
    </row>
    <row r="4691" spans="2:5" x14ac:dyDescent="0.25">
      <c r="B4691" t="e">
        <f t="shared" ca="1" si="147"/>
        <v>#NAME?</v>
      </c>
      <c r="C4691">
        <v>4648</v>
      </c>
      <c r="D4691" t="e">
        <f t="shared" ca="1" si="146"/>
        <v>#NAME?</v>
      </c>
      <c r="E4691" s="115" t="e">
        <f t="array" aca="1" ref="E4691" ca="1">IF(OR(C4690=0,AND(B4692=0,C4692=0)),"",IFERROR(INDEX($F$27:$F$36,MATCH(C4691,($F$27:$F$36)*($D$27:$D$36&lt;&gt;0),0)),IF(OR(AND(D4691=0,B4691=0,B4692&lt;&gt;0),AND(D4691*D4690&lt;0,B4691&lt;&gt;0)),IF(D4691=0,C4691,C4691*(1-ABS(D4691)/(ABS(D4691)+ABS(D4690)))+C4690*(1-ABS(D4690)/(ABS(D4691)+ABS(D4690)))),"")))</f>
        <v>#NAME?</v>
      </c>
    </row>
    <row r="4692" spans="2:5" x14ac:dyDescent="0.25">
      <c r="B4692" t="e">
        <f t="shared" ca="1" si="147"/>
        <v>#NAME?</v>
      </c>
      <c r="C4692">
        <v>4649</v>
      </c>
      <c r="D4692" t="e">
        <f t="shared" ca="1" si="146"/>
        <v>#NAME?</v>
      </c>
      <c r="E4692" s="115" t="e">
        <f t="array" aca="1" ref="E4692" ca="1">IF(OR(C4691=0,AND(B4693=0,C4693=0)),"",IFERROR(INDEX($F$27:$F$36,MATCH(C4692,($F$27:$F$36)*($D$27:$D$36&lt;&gt;0),0)),IF(OR(AND(D4692=0,B4692=0,B4693&lt;&gt;0),AND(D4692*D4691&lt;0,B4692&lt;&gt;0)),IF(D4692=0,C4692,C4692*(1-ABS(D4692)/(ABS(D4692)+ABS(D4691)))+C4691*(1-ABS(D4691)/(ABS(D4692)+ABS(D4691)))),"")))</f>
        <v>#NAME?</v>
      </c>
    </row>
    <row r="4693" spans="2:5" x14ac:dyDescent="0.25">
      <c r="B4693" t="e">
        <f t="shared" ca="1" si="147"/>
        <v>#NAME?</v>
      </c>
      <c r="C4693">
        <v>4650</v>
      </c>
      <c r="D4693" t="e">
        <f t="shared" ca="1" si="146"/>
        <v>#NAME?</v>
      </c>
      <c r="E4693" s="115" t="e">
        <f t="array" aca="1" ref="E4693" ca="1">IF(OR(C4692=0,AND(B4694=0,C4694=0)),"",IFERROR(INDEX($F$27:$F$36,MATCH(C4693,($F$27:$F$36)*($D$27:$D$36&lt;&gt;0),0)),IF(OR(AND(D4693=0,B4693=0,B4694&lt;&gt;0),AND(D4693*D4692&lt;0,B4693&lt;&gt;0)),IF(D4693=0,C4693,C4693*(1-ABS(D4693)/(ABS(D4693)+ABS(D4692)))+C4692*(1-ABS(D4692)/(ABS(D4693)+ABS(D4692)))),"")))</f>
        <v>#NAME?</v>
      </c>
    </row>
    <row r="4694" spans="2:5" x14ac:dyDescent="0.25">
      <c r="B4694" t="e">
        <f t="shared" ca="1" si="147"/>
        <v>#NAME?</v>
      </c>
      <c r="C4694">
        <v>4651</v>
      </c>
      <c r="D4694" t="e">
        <f t="shared" ca="1" si="146"/>
        <v>#NAME?</v>
      </c>
      <c r="E4694" s="115" t="e">
        <f t="array" aca="1" ref="E4694" ca="1">IF(OR(C4693=0,AND(B4695=0,C4695=0)),"",IFERROR(INDEX($F$27:$F$36,MATCH(C4694,($F$27:$F$36)*($D$27:$D$36&lt;&gt;0),0)),IF(OR(AND(D4694=0,B4694=0,B4695&lt;&gt;0),AND(D4694*D4693&lt;0,B4694&lt;&gt;0)),IF(D4694=0,C4694,C4694*(1-ABS(D4694)/(ABS(D4694)+ABS(D4693)))+C4693*(1-ABS(D4693)/(ABS(D4694)+ABS(D4693)))),"")))</f>
        <v>#NAME?</v>
      </c>
    </row>
    <row r="4695" spans="2:5" x14ac:dyDescent="0.25">
      <c r="B4695" t="e">
        <f t="shared" ca="1" si="147"/>
        <v>#NAME?</v>
      </c>
      <c r="C4695">
        <v>4652</v>
      </c>
      <c r="D4695" t="e">
        <f t="shared" ca="1" si="146"/>
        <v>#NAME?</v>
      </c>
      <c r="E4695" s="115" t="e">
        <f t="array" aca="1" ref="E4695" ca="1">IF(OR(C4694=0,AND(B4696=0,C4696=0)),"",IFERROR(INDEX($F$27:$F$36,MATCH(C4695,($F$27:$F$36)*($D$27:$D$36&lt;&gt;0),0)),IF(OR(AND(D4695=0,B4695=0,B4696&lt;&gt;0),AND(D4695*D4694&lt;0,B4695&lt;&gt;0)),IF(D4695=0,C4695,C4695*(1-ABS(D4695)/(ABS(D4695)+ABS(D4694)))+C4694*(1-ABS(D4694)/(ABS(D4695)+ABS(D4694)))),"")))</f>
        <v>#NAME?</v>
      </c>
    </row>
    <row r="4696" spans="2:5" x14ac:dyDescent="0.25">
      <c r="B4696" t="e">
        <f t="shared" ca="1" si="147"/>
        <v>#NAME?</v>
      </c>
      <c r="C4696">
        <v>4653</v>
      </c>
      <c r="D4696" t="e">
        <f t="shared" ca="1" si="146"/>
        <v>#NAME?</v>
      </c>
      <c r="E4696" s="115" t="e">
        <f t="array" aca="1" ref="E4696" ca="1">IF(OR(C4695=0,AND(B4697=0,C4697=0)),"",IFERROR(INDEX($F$27:$F$36,MATCH(C4696,($F$27:$F$36)*($D$27:$D$36&lt;&gt;0),0)),IF(OR(AND(D4696=0,B4696=0,B4697&lt;&gt;0),AND(D4696*D4695&lt;0,B4696&lt;&gt;0)),IF(D4696=0,C4696,C4696*(1-ABS(D4696)/(ABS(D4696)+ABS(D4695)))+C4695*(1-ABS(D4695)/(ABS(D4696)+ABS(D4695)))),"")))</f>
        <v>#NAME?</v>
      </c>
    </row>
    <row r="4697" spans="2:5" x14ac:dyDescent="0.25">
      <c r="B4697" t="e">
        <f t="shared" ca="1" si="147"/>
        <v>#NAME?</v>
      </c>
      <c r="C4697">
        <v>4654</v>
      </c>
      <c r="D4697" t="e">
        <f t="shared" ca="1" si="146"/>
        <v>#NAME?</v>
      </c>
      <c r="E4697" s="115" t="e">
        <f t="array" aca="1" ref="E4697" ca="1">IF(OR(C4696=0,AND(B4698=0,C4698=0)),"",IFERROR(INDEX($F$27:$F$36,MATCH(C4697,($F$27:$F$36)*($D$27:$D$36&lt;&gt;0),0)),IF(OR(AND(D4697=0,B4697=0,B4698&lt;&gt;0),AND(D4697*D4696&lt;0,B4697&lt;&gt;0)),IF(D4697=0,C4697,C4697*(1-ABS(D4697)/(ABS(D4697)+ABS(D4696)))+C4696*(1-ABS(D4696)/(ABS(D4697)+ABS(D4696)))),"")))</f>
        <v>#NAME?</v>
      </c>
    </row>
    <row r="4698" spans="2:5" x14ac:dyDescent="0.25">
      <c r="B4698" t="e">
        <f t="shared" ca="1" si="147"/>
        <v>#NAME?</v>
      </c>
      <c r="C4698">
        <v>4655</v>
      </c>
      <c r="D4698" t="e">
        <f t="shared" ca="1" si="146"/>
        <v>#NAME?</v>
      </c>
      <c r="E4698" s="115" t="e">
        <f t="array" aca="1" ref="E4698" ca="1">IF(OR(C4697=0,AND(B4699=0,C4699=0)),"",IFERROR(INDEX($F$27:$F$36,MATCH(C4698,($F$27:$F$36)*($D$27:$D$36&lt;&gt;0),0)),IF(OR(AND(D4698=0,B4698=0,B4699&lt;&gt;0),AND(D4698*D4697&lt;0,B4698&lt;&gt;0)),IF(D4698=0,C4698,C4698*(1-ABS(D4698)/(ABS(D4698)+ABS(D4697)))+C4697*(1-ABS(D4697)/(ABS(D4698)+ABS(D4697)))),"")))</f>
        <v>#NAME?</v>
      </c>
    </row>
    <row r="4699" spans="2:5" x14ac:dyDescent="0.25">
      <c r="B4699" t="e">
        <f t="shared" ca="1" si="147"/>
        <v>#NAME?</v>
      </c>
      <c r="C4699">
        <v>4656</v>
      </c>
      <c r="D4699" t="e">
        <f t="shared" ca="1" si="146"/>
        <v>#NAME?</v>
      </c>
      <c r="E4699" s="115" t="e">
        <f t="array" aca="1" ref="E4699" ca="1">IF(OR(C4698=0,AND(B4700=0,C4700=0)),"",IFERROR(INDEX($F$27:$F$36,MATCH(C4699,($F$27:$F$36)*($D$27:$D$36&lt;&gt;0),0)),IF(OR(AND(D4699=0,B4699=0,B4700&lt;&gt;0),AND(D4699*D4698&lt;0,B4699&lt;&gt;0)),IF(D4699=0,C4699,C4699*(1-ABS(D4699)/(ABS(D4699)+ABS(D4698)))+C4698*(1-ABS(D4698)/(ABS(D4699)+ABS(D4698)))),"")))</f>
        <v>#NAME?</v>
      </c>
    </row>
    <row r="4700" spans="2:5" x14ac:dyDescent="0.25">
      <c r="B4700" t="e">
        <f t="shared" ca="1" si="147"/>
        <v>#NAME?</v>
      </c>
      <c r="C4700">
        <v>4657</v>
      </c>
      <c r="D4700" t="e">
        <f t="shared" ca="1" si="146"/>
        <v>#NAME?</v>
      </c>
      <c r="E4700" s="115" t="e">
        <f t="array" aca="1" ref="E4700" ca="1">IF(OR(C4699=0,AND(B4701=0,C4701=0)),"",IFERROR(INDEX($F$27:$F$36,MATCH(C4700,($F$27:$F$36)*($D$27:$D$36&lt;&gt;0),0)),IF(OR(AND(D4700=0,B4700=0,B4701&lt;&gt;0),AND(D4700*D4699&lt;0,B4700&lt;&gt;0)),IF(D4700=0,C4700,C4700*(1-ABS(D4700)/(ABS(D4700)+ABS(D4699)))+C4699*(1-ABS(D4699)/(ABS(D4700)+ABS(D4699)))),"")))</f>
        <v>#NAME?</v>
      </c>
    </row>
    <row r="4701" spans="2:5" x14ac:dyDescent="0.25">
      <c r="B4701" t="e">
        <f t="shared" ca="1" si="147"/>
        <v>#NAME?</v>
      </c>
      <c r="C4701">
        <v>4658</v>
      </c>
      <c r="D4701" t="e">
        <f t="shared" ca="1" si="146"/>
        <v>#NAME?</v>
      </c>
      <c r="E4701" s="115" t="e">
        <f t="array" aca="1" ref="E4701" ca="1">IF(OR(C4700=0,AND(B4702=0,C4702=0)),"",IFERROR(INDEX($F$27:$F$36,MATCH(C4701,($F$27:$F$36)*($D$27:$D$36&lt;&gt;0),0)),IF(OR(AND(D4701=0,B4701=0,B4702&lt;&gt;0),AND(D4701*D4700&lt;0,B4701&lt;&gt;0)),IF(D4701=0,C4701,C4701*(1-ABS(D4701)/(ABS(D4701)+ABS(D4700)))+C4700*(1-ABS(D4700)/(ABS(D4701)+ABS(D4700)))),"")))</f>
        <v>#NAME?</v>
      </c>
    </row>
    <row r="4702" spans="2:5" x14ac:dyDescent="0.25">
      <c r="B4702" t="e">
        <f t="shared" ca="1" si="147"/>
        <v>#NAME?</v>
      </c>
      <c r="C4702">
        <v>4659</v>
      </c>
      <c r="D4702" t="e">
        <f t="shared" ca="1" si="146"/>
        <v>#NAME?</v>
      </c>
      <c r="E4702" s="115" t="e">
        <f t="array" aca="1" ref="E4702" ca="1">IF(OR(C4701=0,AND(B4703=0,C4703=0)),"",IFERROR(INDEX($F$27:$F$36,MATCH(C4702,($F$27:$F$36)*($D$27:$D$36&lt;&gt;0),0)),IF(OR(AND(D4702=0,B4702=0,B4703&lt;&gt;0),AND(D4702*D4701&lt;0,B4702&lt;&gt;0)),IF(D4702=0,C4702,C4702*(1-ABS(D4702)/(ABS(D4702)+ABS(D4701)))+C4701*(1-ABS(D4701)/(ABS(D4702)+ABS(D4701)))),"")))</f>
        <v>#NAME?</v>
      </c>
    </row>
    <row r="4703" spans="2:5" x14ac:dyDescent="0.25">
      <c r="B4703" t="e">
        <f t="shared" ca="1" si="147"/>
        <v>#NAME?</v>
      </c>
      <c r="C4703">
        <v>4660</v>
      </c>
      <c r="D4703" t="e">
        <f t="shared" ca="1" si="146"/>
        <v>#NAME?</v>
      </c>
      <c r="E4703" s="115" t="e">
        <f t="array" aca="1" ref="E4703" ca="1">IF(OR(C4702=0,AND(B4704=0,C4704=0)),"",IFERROR(INDEX($F$27:$F$36,MATCH(C4703,($F$27:$F$36)*($D$27:$D$36&lt;&gt;0),0)),IF(OR(AND(D4703=0,B4703=0,B4704&lt;&gt;0),AND(D4703*D4702&lt;0,B4703&lt;&gt;0)),IF(D4703=0,C4703,C4703*(1-ABS(D4703)/(ABS(D4703)+ABS(D4702)))+C4702*(1-ABS(D4702)/(ABS(D4703)+ABS(D4702)))),"")))</f>
        <v>#NAME?</v>
      </c>
    </row>
    <row r="4704" spans="2:5" x14ac:dyDescent="0.25">
      <c r="B4704" t="e">
        <f t="shared" ca="1" si="147"/>
        <v>#NAME?</v>
      </c>
      <c r="C4704">
        <v>4661</v>
      </c>
      <c r="D4704" t="e">
        <f t="shared" ca="1" si="146"/>
        <v>#NAME?</v>
      </c>
      <c r="E4704" s="115" t="e">
        <f t="array" aca="1" ref="E4704" ca="1">IF(OR(C4703=0,AND(B4705=0,C4705=0)),"",IFERROR(INDEX($F$27:$F$36,MATCH(C4704,($F$27:$F$36)*($D$27:$D$36&lt;&gt;0),0)),IF(OR(AND(D4704=0,B4704=0,B4705&lt;&gt;0),AND(D4704*D4703&lt;0,B4704&lt;&gt;0)),IF(D4704=0,C4704,C4704*(1-ABS(D4704)/(ABS(D4704)+ABS(D4703)))+C4703*(1-ABS(D4703)/(ABS(D4704)+ABS(D4703)))),"")))</f>
        <v>#NAME?</v>
      </c>
    </row>
    <row r="4705" spans="2:5" x14ac:dyDescent="0.25">
      <c r="B4705" t="e">
        <f t="shared" ca="1" si="147"/>
        <v>#NAME?</v>
      </c>
      <c r="C4705">
        <v>4662</v>
      </c>
      <c r="D4705" t="e">
        <f t="shared" ca="1" si="146"/>
        <v>#NAME?</v>
      </c>
      <c r="E4705" s="115" t="e">
        <f t="array" aca="1" ref="E4705" ca="1">IF(OR(C4704=0,AND(B4706=0,C4706=0)),"",IFERROR(INDEX($F$27:$F$36,MATCH(C4705,($F$27:$F$36)*($D$27:$D$36&lt;&gt;0),0)),IF(OR(AND(D4705=0,B4705=0,B4706&lt;&gt;0),AND(D4705*D4704&lt;0,B4705&lt;&gt;0)),IF(D4705=0,C4705,C4705*(1-ABS(D4705)/(ABS(D4705)+ABS(D4704)))+C4704*(1-ABS(D4704)/(ABS(D4705)+ABS(D4704)))),"")))</f>
        <v>#NAME?</v>
      </c>
    </row>
    <row r="4706" spans="2:5" x14ac:dyDescent="0.25">
      <c r="B4706" t="e">
        <f t="shared" ca="1" si="147"/>
        <v>#NAME?</v>
      </c>
      <c r="C4706">
        <v>4663</v>
      </c>
      <c r="D4706" t="e">
        <f t="shared" ca="1" si="146"/>
        <v>#NAME?</v>
      </c>
      <c r="E4706" s="115" t="e">
        <f t="array" aca="1" ref="E4706" ca="1">IF(OR(C4705=0,AND(B4707=0,C4707=0)),"",IFERROR(INDEX($F$27:$F$36,MATCH(C4706,($F$27:$F$36)*($D$27:$D$36&lt;&gt;0),0)),IF(OR(AND(D4706=0,B4706=0,B4707&lt;&gt;0),AND(D4706*D4705&lt;0,B4706&lt;&gt;0)),IF(D4706=0,C4706,C4706*(1-ABS(D4706)/(ABS(D4706)+ABS(D4705)))+C4705*(1-ABS(D4705)/(ABS(D4706)+ABS(D4705)))),"")))</f>
        <v>#NAME?</v>
      </c>
    </row>
    <row r="4707" spans="2:5" x14ac:dyDescent="0.25">
      <c r="B4707" t="e">
        <f t="shared" ca="1" si="147"/>
        <v>#NAME?</v>
      </c>
      <c r="C4707">
        <v>4664</v>
      </c>
      <c r="D4707" t="e">
        <f t="shared" ca="1" si="146"/>
        <v>#NAME?</v>
      </c>
      <c r="E4707" s="115" t="e">
        <f t="array" aca="1" ref="E4707" ca="1">IF(OR(C4706=0,AND(B4708=0,C4708=0)),"",IFERROR(INDEX($F$27:$F$36,MATCH(C4707,($F$27:$F$36)*($D$27:$D$36&lt;&gt;0),0)),IF(OR(AND(D4707=0,B4707=0,B4708&lt;&gt;0),AND(D4707*D4706&lt;0,B4707&lt;&gt;0)),IF(D4707=0,C4707,C4707*(1-ABS(D4707)/(ABS(D4707)+ABS(D4706)))+C4706*(1-ABS(D4706)/(ABS(D4707)+ABS(D4706)))),"")))</f>
        <v>#NAME?</v>
      </c>
    </row>
    <row r="4708" spans="2:5" x14ac:dyDescent="0.25">
      <c r="B4708" t="e">
        <f t="shared" ca="1" si="147"/>
        <v>#NAME?</v>
      </c>
      <c r="C4708">
        <v>4665</v>
      </c>
      <c r="D4708" t="e">
        <f t="shared" ca="1" si="146"/>
        <v>#NAME?</v>
      </c>
      <c r="E4708" s="115" t="e">
        <f t="array" aca="1" ref="E4708" ca="1">IF(OR(C4707=0,AND(B4709=0,C4709=0)),"",IFERROR(INDEX($F$27:$F$36,MATCH(C4708,($F$27:$F$36)*($D$27:$D$36&lt;&gt;0),0)),IF(OR(AND(D4708=0,B4708=0,B4709&lt;&gt;0),AND(D4708*D4707&lt;0,B4708&lt;&gt;0)),IF(D4708=0,C4708,C4708*(1-ABS(D4708)/(ABS(D4708)+ABS(D4707)))+C4707*(1-ABS(D4707)/(ABS(D4708)+ABS(D4707)))),"")))</f>
        <v>#NAME?</v>
      </c>
    </row>
    <row r="4709" spans="2:5" x14ac:dyDescent="0.25">
      <c r="B4709" t="e">
        <f t="shared" ca="1" si="147"/>
        <v>#NAME?</v>
      </c>
      <c r="C4709">
        <v>4666</v>
      </c>
      <c r="D4709" t="e">
        <f t="shared" ca="1" si="146"/>
        <v>#NAME?</v>
      </c>
      <c r="E4709" s="115" t="e">
        <f t="array" aca="1" ref="E4709" ca="1">IF(OR(C4708=0,AND(B4710=0,C4710=0)),"",IFERROR(INDEX($F$27:$F$36,MATCH(C4709,($F$27:$F$36)*($D$27:$D$36&lt;&gt;0),0)),IF(OR(AND(D4709=0,B4709=0,B4710&lt;&gt;0),AND(D4709*D4708&lt;0,B4709&lt;&gt;0)),IF(D4709=0,C4709,C4709*(1-ABS(D4709)/(ABS(D4709)+ABS(D4708)))+C4708*(1-ABS(D4708)/(ABS(D4709)+ABS(D4708)))),"")))</f>
        <v>#NAME?</v>
      </c>
    </row>
    <row r="4710" spans="2:5" x14ac:dyDescent="0.25">
      <c r="B4710" t="e">
        <f t="shared" ca="1" si="147"/>
        <v>#NAME?</v>
      </c>
      <c r="C4710">
        <v>4667</v>
      </c>
      <c r="D4710" t="e">
        <f t="shared" ca="1" si="146"/>
        <v>#NAME?</v>
      </c>
      <c r="E4710" s="115" t="e">
        <f t="array" aca="1" ref="E4710" ca="1">IF(OR(C4709=0,AND(B4711=0,C4711=0)),"",IFERROR(INDEX($F$27:$F$36,MATCH(C4710,($F$27:$F$36)*($D$27:$D$36&lt;&gt;0),0)),IF(OR(AND(D4710=0,B4710=0,B4711&lt;&gt;0),AND(D4710*D4709&lt;0,B4710&lt;&gt;0)),IF(D4710=0,C4710,C4710*(1-ABS(D4710)/(ABS(D4710)+ABS(D4709)))+C4709*(1-ABS(D4709)/(ABS(D4710)+ABS(D4709)))),"")))</f>
        <v>#NAME?</v>
      </c>
    </row>
    <row r="4711" spans="2:5" x14ac:dyDescent="0.25">
      <c r="B4711" t="e">
        <f t="shared" ca="1" si="147"/>
        <v>#NAME?</v>
      </c>
      <c r="C4711">
        <v>4668</v>
      </c>
      <c r="D4711" t="e">
        <f t="shared" ca="1" si="146"/>
        <v>#NAME?</v>
      </c>
      <c r="E4711" s="115" t="e">
        <f t="array" aca="1" ref="E4711" ca="1">IF(OR(C4710=0,AND(B4712=0,C4712=0)),"",IFERROR(INDEX($F$27:$F$36,MATCH(C4711,($F$27:$F$36)*($D$27:$D$36&lt;&gt;0),0)),IF(OR(AND(D4711=0,B4711=0,B4712&lt;&gt;0),AND(D4711*D4710&lt;0,B4711&lt;&gt;0)),IF(D4711=0,C4711,C4711*(1-ABS(D4711)/(ABS(D4711)+ABS(D4710)))+C4710*(1-ABS(D4710)/(ABS(D4711)+ABS(D4710)))),"")))</f>
        <v>#NAME?</v>
      </c>
    </row>
    <row r="4712" spans="2:5" x14ac:dyDescent="0.25">
      <c r="B4712" t="e">
        <f t="shared" ca="1" si="147"/>
        <v>#NAME?</v>
      </c>
      <c r="C4712">
        <v>4669</v>
      </c>
      <c r="D4712" t="e">
        <f t="shared" ca="1" si="146"/>
        <v>#NAME?</v>
      </c>
      <c r="E4712" s="115" t="e">
        <f t="array" aca="1" ref="E4712" ca="1">IF(OR(C4711=0,AND(B4713=0,C4713=0)),"",IFERROR(INDEX($F$27:$F$36,MATCH(C4712,($F$27:$F$36)*($D$27:$D$36&lt;&gt;0),0)),IF(OR(AND(D4712=0,B4712=0,B4713&lt;&gt;0),AND(D4712*D4711&lt;0,B4712&lt;&gt;0)),IF(D4712=0,C4712,C4712*(1-ABS(D4712)/(ABS(D4712)+ABS(D4711)))+C4711*(1-ABS(D4711)/(ABS(D4712)+ABS(D4711)))),"")))</f>
        <v>#NAME?</v>
      </c>
    </row>
    <row r="4713" spans="2:5" x14ac:dyDescent="0.25">
      <c r="B4713" t="e">
        <f t="shared" ca="1" si="147"/>
        <v>#NAME?</v>
      </c>
      <c r="C4713">
        <v>4670</v>
      </c>
      <c r="D4713" t="e">
        <f t="shared" ca="1" si="146"/>
        <v>#NAME?</v>
      </c>
      <c r="E4713" s="115" t="e">
        <f t="array" aca="1" ref="E4713" ca="1">IF(OR(C4712=0,AND(B4714=0,C4714=0)),"",IFERROR(INDEX($F$27:$F$36,MATCH(C4713,($F$27:$F$36)*($D$27:$D$36&lt;&gt;0),0)),IF(OR(AND(D4713=0,B4713=0,B4714&lt;&gt;0),AND(D4713*D4712&lt;0,B4713&lt;&gt;0)),IF(D4713=0,C4713,C4713*(1-ABS(D4713)/(ABS(D4713)+ABS(D4712)))+C4712*(1-ABS(D4712)/(ABS(D4713)+ABS(D4712)))),"")))</f>
        <v>#NAME?</v>
      </c>
    </row>
    <row r="4714" spans="2:5" x14ac:dyDescent="0.25">
      <c r="B4714" t="e">
        <f t="shared" ca="1" si="147"/>
        <v>#NAME?</v>
      </c>
      <c r="C4714">
        <v>4671</v>
      </c>
      <c r="D4714" t="e">
        <f t="shared" ca="1" si="146"/>
        <v>#NAME?</v>
      </c>
      <c r="E4714" s="115" t="e">
        <f t="array" aca="1" ref="E4714" ca="1">IF(OR(C4713=0,AND(B4715=0,C4715=0)),"",IFERROR(INDEX($F$27:$F$36,MATCH(C4714,($F$27:$F$36)*($D$27:$D$36&lt;&gt;0),0)),IF(OR(AND(D4714=0,B4714=0,B4715&lt;&gt;0),AND(D4714*D4713&lt;0,B4714&lt;&gt;0)),IF(D4714=0,C4714,C4714*(1-ABS(D4714)/(ABS(D4714)+ABS(D4713)))+C4713*(1-ABS(D4713)/(ABS(D4714)+ABS(D4713)))),"")))</f>
        <v>#NAME?</v>
      </c>
    </row>
    <row r="4715" spans="2:5" x14ac:dyDescent="0.25">
      <c r="B4715" t="e">
        <f t="shared" ca="1" si="147"/>
        <v>#NAME?</v>
      </c>
      <c r="C4715">
        <v>4672</v>
      </c>
      <c r="D4715" t="e">
        <f t="shared" ref="D4715:D4778" ca="1" si="148">SUMPRODUCT(--($J$27:$J$37&gt;0),--($C4715-$F$27:$F$37&gt;0),($D$27:$D$37),($C4715-$F$27:$F$37))+SUMPRODUCT(--($J$27:$J$37&lt;0),--($F$27:$F$37-$C4715&gt;0),($D$27:$D$37),($F$27:$F$37-$C4715))-SUMPRODUCT($D$27:$D$37,$E$27:$E$37)</f>
        <v>#NAME?</v>
      </c>
      <c r="E4715" s="115" t="e">
        <f t="array" aca="1" ref="E4715" ca="1">IF(OR(C4714=0,AND(B4716=0,C4716=0)),"",IFERROR(INDEX($F$27:$F$36,MATCH(C4715,($F$27:$F$36)*($D$27:$D$36&lt;&gt;0),0)),IF(OR(AND(D4715=0,B4715=0,B4716&lt;&gt;0),AND(D4715*D4714&lt;0,B4715&lt;&gt;0)),IF(D4715=0,C4715,C4715*(1-ABS(D4715)/(ABS(D4715)+ABS(D4714)))+C4714*(1-ABS(D4714)/(ABS(D4715)+ABS(D4714)))),"")))</f>
        <v>#NAME?</v>
      </c>
    </row>
    <row r="4716" spans="2:5" x14ac:dyDescent="0.25">
      <c r="B4716" t="e">
        <f t="shared" ref="B4716:B4779" ca="1" si="149">ROUND((D4716-D4715)/(C4716-C4715),12)</f>
        <v>#NAME?</v>
      </c>
      <c r="C4716">
        <v>4673</v>
      </c>
      <c r="D4716" t="e">
        <f t="shared" ca="1" si="148"/>
        <v>#NAME?</v>
      </c>
      <c r="E4716" s="115" t="e">
        <f t="array" aca="1" ref="E4716" ca="1">IF(OR(C4715=0,AND(B4717=0,C4717=0)),"",IFERROR(INDEX($F$27:$F$36,MATCH(C4716,($F$27:$F$36)*($D$27:$D$36&lt;&gt;0),0)),IF(OR(AND(D4716=0,B4716=0,B4717&lt;&gt;0),AND(D4716*D4715&lt;0,B4716&lt;&gt;0)),IF(D4716=0,C4716,C4716*(1-ABS(D4716)/(ABS(D4716)+ABS(D4715)))+C4715*(1-ABS(D4715)/(ABS(D4716)+ABS(D4715)))),"")))</f>
        <v>#NAME?</v>
      </c>
    </row>
    <row r="4717" spans="2:5" x14ac:dyDescent="0.25">
      <c r="B4717" t="e">
        <f t="shared" ca="1" si="149"/>
        <v>#NAME?</v>
      </c>
      <c r="C4717">
        <v>4674</v>
      </c>
      <c r="D4717" t="e">
        <f t="shared" ca="1" si="148"/>
        <v>#NAME?</v>
      </c>
      <c r="E4717" s="115" t="e">
        <f t="array" aca="1" ref="E4717" ca="1">IF(OR(C4716=0,AND(B4718=0,C4718=0)),"",IFERROR(INDEX($F$27:$F$36,MATCH(C4717,($F$27:$F$36)*($D$27:$D$36&lt;&gt;0),0)),IF(OR(AND(D4717=0,B4717=0,B4718&lt;&gt;0),AND(D4717*D4716&lt;0,B4717&lt;&gt;0)),IF(D4717=0,C4717,C4717*(1-ABS(D4717)/(ABS(D4717)+ABS(D4716)))+C4716*(1-ABS(D4716)/(ABS(D4717)+ABS(D4716)))),"")))</f>
        <v>#NAME?</v>
      </c>
    </row>
    <row r="4718" spans="2:5" x14ac:dyDescent="0.25">
      <c r="B4718" t="e">
        <f t="shared" ca="1" si="149"/>
        <v>#NAME?</v>
      </c>
      <c r="C4718">
        <v>4675</v>
      </c>
      <c r="D4718" t="e">
        <f t="shared" ca="1" si="148"/>
        <v>#NAME?</v>
      </c>
      <c r="E4718" s="115" t="e">
        <f t="array" aca="1" ref="E4718" ca="1">IF(OR(C4717=0,AND(B4719=0,C4719=0)),"",IFERROR(INDEX($F$27:$F$36,MATCH(C4718,($F$27:$F$36)*($D$27:$D$36&lt;&gt;0),0)),IF(OR(AND(D4718=0,B4718=0,B4719&lt;&gt;0),AND(D4718*D4717&lt;0,B4718&lt;&gt;0)),IF(D4718=0,C4718,C4718*(1-ABS(D4718)/(ABS(D4718)+ABS(D4717)))+C4717*(1-ABS(D4717)/(ABS(D4718)+ABS(D4717)))),"")))</f>
        <v>#NAME?</v>
      </c>
    </row>
    <row r="4719" spans="2:5" x14ac:dyDescent="0.25">
      <c r="B4719" t="e">
        <f t="shared" ca="1" si="149"/>
        <v>#NAME?</v>
      </c>
      <c r="C4719">
        <v>4676</v>
      </c>
      <c r="D4719" t="e">
        <f t="shared" ca="1" si="148"/>
        <v>#NAME?</v>
      </c>
      <c r="E4719" s="115" t="e">
        <f t="array" aca="1" ref="E4719" ca="1">IF(OR(C4718=0,AND(B4720=0,C4720=0)),"",IFERROR(INDEX($F$27:$F$36,MATCH(C4719,($F$27:$F$36)*($D$27:$D$36&lt;&gt;0),0)),IF(OR(AND(D4719=0,B4719=0,B4720&lt;&gt;0),AND(D4719*D4718&lt;0,B4719&lt;&gt;0)),IF(D4719=0,C4719,C4719*(1-ABS(D4719)/(ABS(D4719)+ABS(D4718)))+C4718*(1-ABS(D4718)/(ABS(D4719)+ABS(D4718)))),"")))</f>
        <v>#NAME?</v>
      </c>
    </row>
    <row r="4720" spans="2:5" x14ac:dyDescent="0.25">
      <c r="B4720" t="e">
        <f t="shared" ca="1" si="149"/>
        <v>#NAME?</v>
      </c>
      <c r="C4720">
        <v>4677</v>
      </c>
      <c r="D4720" t="e">
        <f t="shared" ca="1" si="148"/>
        <v>#NAME?</v>
      </c>
      <c r="E4720" s="115" t="e">
        <f t="array" aca="1" ref="E4720" ca="1">IF(OR(C4719=0,AND(B4721=0,C4721=0)),"",IFERROR(INDEX($F$27:$F$36,MATCH(C4720,($F$27:$F$36)*($D$27:$D$36&lt;&gt;0),0)),IF(OR(AND(D4720=0,B4720=0,B4721&lt;&gt;0),AND(D4720*D4719&lt;0,B4720&lt;&gt;0)),IF(D4720=0,C4720,C4720*(1-ABS(D4720)/(ABS(D4720)+ABS(D4719)))+C4719*(1-ABS(D4719)/(ABS(D4720)+ABS(D4719)))),"")))</f>
        <v>#NAME?</v>
      </c>
    </row>
    <row r="4721" spans="2:5" x14ac:dyDescent="0.25">
      <c r="B4721" t="e">
        <f t="shared" ca="1" si="149"/>
        <v>#NAME?</v>
      </c>
      <c r="C4721">
        <v>4678</v>
      </c>
      <c r="D4721" t="e">
        <f t="shared" ca="1" si="148"/>
        <v>#NAME?</v>
      </c>
      <c r="E4721" s="115" t="e">
        <f t="array" aca="1" ref="E4721" ca="1">IF(OR(C4720=0,AND(B4722=0,C4722=0)),"",IFERROR(INDEX($F$27:$F$36,MATCH(C4721,($F$27:$F$36)*($D$27:$D$36&lt;&gt;0),0)),IF(OR(AND(D4721=0,B4721=0,B4722&lt;&gt;0),AND(D4721*D4720&lt;0,B4721&lt;&gt;0)),IF(D4721=0,C4721,C4721*(1-ABS(D4721)/(ABS(D4721)+ABS(D4720)))+C4720*(1-ABS(D4720)/(ABS(D4721)+ABS(D4720)))),"")))</f>
        <v>#NAME?</v>
      </c>
    </row>
    <row r="4722" spans="2:5" x14ac:dyDescent="0.25">
      <c r="B4722" t="e">
        <f t="shared" ca="1" si="149"/>
        <v>#NAME?</v>
      </c>
      <c r="C4722">
        <v>4679</v>
      </c>
      <c r="D4722" t="e">
        <f t="shared" ca="1" si="148"/>
        <v>#NAME?</v>
      </c>
      <c r="E4722" s="115" t="e">
        <f t="array" aca="1" ref="E4722" ca="1">IF(OR(C4721=0,AND(B4723=0,C4723=0)),"",IFERROR(INDEX($F$27:$F$36,MATCH(C4722,($F$27:$F$36)*($D$27:$D$36&lt;&gt;0),0)),IF(OR(AND(D4722=0,B4722=0,B4723&lt;&gt;0),AND(D4722*D4721&lt;0,B4722&lt;&gt;0)),IF(D4722=0,C4722,C4722*(1-ABS(D4722)/(ABS(D4722)+ABS(D4721)))+C4721*(1-ABS(D4721)/(ABS(D4722)+ABS(D4721)))),"")))</f>
        <v>#NAME?</v>
      </c>
    </row>
    <row r="4723" spans="2:5" x14ac:dyDescent="0.25">
      <c r="B4723" t="e">
        <f t="shared" ca="1" si="149"/>
        <v>#NAME?</v>
      </c>
      <c r="C4723">
        <v>4680</v>
      </c>
      <c r="D4723" t="e">
        <f t="shared" ca="1" si="148"/>
        <v>#NAME?</v>
      </c>
      <c r="E4723" s="115" t="e">
        <f t="array" aca="1" ref="E4723" ca="1">IF(OR(C4722=0,AND(B4724=0,C4724=0)),"",IFERROR(INDEX($F$27:$F$36,MATCH(C4723,($F$27:$F$36)*($D$27:$D$36&lt;&gt;0),0)),IF(OR(AND(D4723=0,B4723=0,B4724&lt;&gt;0),AND(D4723*D4722&lt;0,B4723&lt;&gt;0)),IF(D4723=0,C4723,C4723*(1-ABS(D4723)/(ABS(D4723)+ABS(D4722)))+C4722*(1-ABS(D4722)/(ABS(D4723)+ABS(D4722)))),"")))</f>
        <v>#NAME?</v>
      </c>
    </row>
    <row r="4724" spans="2:5" x14ac:dyDescent="0.25">
      <c r="B4724" t="e">
        <f t="shared" ca="1" si="149"/>
        <v>#NAME?</v>
      </c>
      <c r="C4724">
        <v>4681</v>
      </c>
      <c r="D4724" t="e">
        <f t="shared" ca="1" si="148"/>
        <v>#NAME?</v>
      </c>
      <c r="E4724" s="115" t="e">
        <f t="array" aca="1" ref="E4724" ca="1">IF(OR(C4723=0,AND(B4725=0,C4725=0)),"",IFERROR(INDEX($F$27:$F$36,MATCH(C4724,($F$27:$F$36)*($D$27:$D$36&lt;&gt;0),0)),IF(OR(AND(D4724=0,B4724=0,B4725&lt;&gt;0),AND(D4724*D4723&lt;0,B4724&lt;&gt;0)),IF(D4724=0,C4724,C4724*(1-ABS(D4724)/(ABS(D4724)+ABS(D4723)))+C4723*(1-ABS(D4723)/(ABS(D4724)+ABS(D4723)))),"")))</f>
        <v>#NAME?</v>
      </c>
    </row>
    <row r="4725" spans="2:5" x14ac:dyDescent="0.25">
      <c r="B4725" t="e">
        <f t="shared" ca="1" si="149"/>
        <v>#NAME?</v>
      </c>
      <c r="C4725">
        <v>4682</v>
      </c>
      <c r="D4725" t="e">
        <f t="shared" ca="1" si="148"/>
        <v>#NAME?</v>
      </c>
      <c r="E4725" s="115" t="e">
        <f t="array" aca="1" ref="E4725" ca="1">IF(OR(C4724=0,AND(B4726=0,C4726=0)),"",IFERROR(INDEX($F$27:$F$36,MATCH(C4725,($F$27:$F$36)*($D$27:$D$36&lt;&gt;0),0)),IF(OR(AND(D4725=0,B4725=0,B4726&lt;&gt;0),AND(D4725*D4724&lt;0,B4725&lt;&gt;0)),IF(D4725=0,C4725,C4725*(1-ABS(D4725)/(ABS(D4725)+ABS(D4724)))+C4724*(1-ABS(D4724)/(ABS(D4725)+ABS(D4724)))),"")))</f>
        <v>#NAME?</v>
      </c>
    </row>
    <row r="4726" spans="2:5" x14ac:dyDescent="0.25">
      <c r="B4726" t="e">
        <f t="shared" ca="1" si="149"/>
        <v>#NAME?</v>
      </c>
      <c r="C4726">
        <v>4683</v>
      </c>
      <c r="D4726" t="e">
        <f t="shared" ca="1" si="148"/>
        <v>#NAME?</v>
      </c>
      <c r="E4726" s="115" t="e">
        <f t="array" aca="1" ref="E4726" ca="1">IF(OR(C4725=0,AND(B4727=0,C4727=0)),"",IFERROR(INDEX($F$27:$F$36,MATCH(C4726,($F$27:$F$36)*($D$27:$D$36&lt;&gt;0),0)),IF(OR(AND(D4726=0,B4726=0,B4727&lt;&gt;0),AND(D4726*D4725&lt;0,B4726&lt;&gt;0)),IF(D4726=0,C4726,C4726*(1-ABS(D4726)/(ABS(D4726)+ABS(D4725)))+C4725*(1-ABS(D4725)/(ABS(D4726)+ABS(D4725)))),"")))</f>
        <v>#NAME?</v>
      </c>
    </row>
    <row r="4727" spans="2:5" x14ac:dyDescent="0.25">
      <c r="B4727" t="e">
        <f t="shared" ca="1" si="149"/>
        <v>#NAME?</v>
      </c>
      <c r="C4727">
        <v>4684</v>
      </c>
      <c r="D4727" t="e">
        <f t="shared" ca="1" si="148"/>
        <v>#NAME?</v>
      </c>
      <c r="E4727" s="115" t="e">
        <f t="array" aca="1" ref="E4727" ca="1">IF(OR(C4726=0,AND(B4728=0,C4728=0)),"",IFERROR(INDEX($F$27:$F$36,MATCH(C4727,($F$27:$F$36)*($D$27:$D$36&lt;&gt;0),0)),IF(OR(AND(D4727=0,B4727=0,B4728&lt;&gt;0),AND(D4727*D4726&lt;0,B4727&lt;&gt;0)),IF(D4727=0,C4727,C4727*(1-ABS(D4727)/(ABS(D4727)+ABS(D4726)))+C4726*(1-ABS(D4726)/(ABS(D4727)+ABS(D4726)))),"")))</f>
        <v>#NAME?</v>
      </c>
    </row>
    <row r="4728" spans="2:5" x14ac:dyDescent="0.25">
      <c r="B4728" t="e">
        <f t="shared" ca="1" si="149"/>
        <v>#NAME?</v>
      </c>
      <c r="C4728">
        <v>4685</v>
      </c>
      <c r="D4728" t="e">
        <f t="shared" ca="1" si="148"/>
        <v>#NAME?</v>
      </c>
      <c r="E4728" s="115" t="e">
        <f t="array" aca="1" ref="E4728" ca="1">IF(OR(C4727=0,AND(B4729=0,C4729=0)),"",IFERROR(INDEX($F$27:$F$36,MATCH(C4728,($F$27:$F$36)*($D$27:$D$36&lt;&gt;0),0)),IF(OR(AND(D4728=0,B4728=0,B4729&lt;&gt;0),AND(D4728*D4727&lt;0,B4728&lt;&gt;0)),IF(D4728=0,C4728,C4728*(1-ABS(D4728)/(ABS(D4728)+ABS(D4727)))+C4727*(1-ABS(D4727)/(ABS(D4728)+ABS(D4727)))),"")))</f>
        <v>#NAME?</v>
      </c>
    </row>
    <row r="4729" spans="2:5" x14ac:dyDescent="0.25">
      <c r="B4729" t="e">
        <f t="shared" ca="1" si="149"/>
        <v>#NAME?</v>
      </c>
      <c r="C4729">
        <v>4686</v>
      </c>
      <c r="D4729" t="e">
        <f t="shared" ca="1" si="148"/>
        <v>#NAME?</v>
      </c>
      <c r="E4729" s="115" t="e">
        <f t="array" aca="1" ref="E4729" ca="1">IF(OR(C4728=0,AND(B4730=0,C4730=0)),"",IFERROR(INDEX($F$27:$F$36,MATCH(C4729,($F$27:$F$36)*($D$27:$D$36&lt;&gt;0),0)),IF(OR(AND(D4729=0,B4729=0,B4730&lt;&gt;0),AND(D4729*D4728&lt;0,B4729&lt;&gt;0)),IF(D4729=0,C4729,C4729*(1-ABS(D4729)/(ABS(D4729)+ABS(D4728)))+C4728*(1-ABS(D4728)/(ABS(D4729)+ABS(D4728)))),"")))</f>
        <v>#NAME?</v>
      </c>
    </row>
    <row r="4730" spans="2:5" x14ac:dyDescent="0.25">
      <c r="B4730" t="e">
        <f t="shared" ca="1" si="149"/>
        <v>#NAME?</v>
      </c>
      <c r="C4730">
        <v>4687</v>
      </c>
      <c r="D4730" t="e">
        <f t="shared" ca="1" si="148"/>
        <v>#NAME?</v>
      </c>
      <c r="E4730" s="115" t="e">
        <f t="array" aca="1" ref="E4730" ca="1">IF(OR(C4729=0,AND(B4731=0,C4731=0)),"",IFERROR(INDEX($F$27:$F$36,MATCH(C4730,($F$27:$F$36)*($D$27:$D$36&lt;&gt;0),0)),IF(OR(AND(D4730=0,B4730=0,B4731&lt;&gt;0),AND(D4730*D4729&lt;0,B4730&lt;&gt;0)),IF(D4730=0,C4730,C4730*(1-ABS(D4730)/(ABS(D4730)+ABS(D4729)))+C4729*(1-ABS(D4729)/(ABS(D4730)+ABS(D4729)))),"")))</f>
        <v>#NAME?</v>
      </c>
    </row>
    <row r="4731" spans="2:5" x14ac:dyDescent="0.25">
      <c r="B4731" t="e">
        <f t="shared" ca="1" si="149"/>
        <v>#NAME?</v>
      </c>
      <c r="C4731">
        <v>4688</v>
      </c>
      <c r="D4731" t="e">
        <f t="shared" ca="1" si="148"/>
        <v>#NAME?</v>
      </c>
      <c r="E4731" s="115" t="e">
        <f t="array" aca="1" ref="E4731" ca="1">IF(OR(C4730=0,AND(B4732=0,C4732=0)),"",IFERROR(INDEX($F$27:$F$36,MATCH(C4731,($F$27:$F$36)*($D$27:$D$36&lt;&gt;0),0)),IF(OR(AND(D4731=0,B4731=0,B4732&lt;&gt;0),AND(D4731*D4730&lt;0,B4731&lt;&gt;0)),IF(D4731=0,C4731,C4731*(1-ABS(D4731)/(ABS(D4731)+ABS(D4730)))+C4730*(1-ABS(D4730)/(ABS(D4731)+ABS(D4730)))),"")))</f>
        <v>#NAME?</v>
      </c>
    </row>
    <row r="4732" spans="2:5" x14ac:dyDescent="0.25">
      <c r="B4732" t="e">
        <f t="shared" ca="1" si="149"/>
        <v>#NAME?</v>
      </c>
      <c r="C4732">
        <v>4689</v>
      </c>
      <c r="D4732" t="e">
        <f t="shared" ca="1" si="148"/>
        <v>#NAME?</v>
      </c>
      <c r="E4732" s="115" t="e">
        <f t="array" aca="1" ref="E4732" ca="1">IF(OR(C4731=0,AND(B4733=0,C4733=0)),"",IFERROR(INDEX($F$27:$F$36,MATCH(C4732,($F$27:$F$36)*($D$27:$D$36&lt;&gt;0),0)),IF(OR(AND(D4732=0,B4732=0,B4733&lt;&gt;0),AND(D4732*D4731&lt;0,B4732&lt;&gt;0)),IF(D4732=0,C4732,C4732*(1-ABS(D4732)/(ABS(D4732)+ABS(D4731)))+C4731*(1-ABS(D4731)/(ABS(D4732)+ABS(D4731)))),"")))</f>
        <v>#NAME?</v>
      </c>
    </row>
    <row r="4733" spans="2:5" x14ac:dyDescent="0.25">
      <c r="B4733" t="e">
        <f t="shared" ca="1" si="149"/>
        <v>#NAME?</v>
      </c>
      <c r="C4733">
        <v>4690</v>
      </c>
      <c r="D4733" t="e">
        <f t="shared" ca="1" si="148"/>
        <v>#NAME?</v>
      </c>
      <c r="E4733" s="115" t="e">
        <f t="array" aca="1" ref="E4733" ca="1">IF(OR(C4732=0,AND(B4734=0,C4734=0)),"",IFERROR(INDEX($F$27:$F$36,MATCH(C4733,($F$27:$F$36)*($D$27:$D$36&lt;&gt;0),0)),IF(OR(AND(D4733=0,B4733=0,B4734&lt;&gt;0),AND(D4733*D4732&lt;0,B4733&lt;&gt;0)),IF(D4733=0,C4733,C4733*(1-ABS(D4733)/(ABS(D4733)+ABS(D4732)))+C4732*(1-ABS(D4732)/(ABS(D4733)+ABS(D4732)))),"")))</f>
        <v>#NAME?</v>
      </c>
    </row>
    <row r="4734" spans="2:5" x14ac:dyDescent="0.25">
      <c r="B4734" t="e">
        <f t="shared" ca="1" si="149"/>
        <v>#NAME?</v>
      </c>
      <c r="C4734">
        <v>4691</v>
      </c>
      <c r="D4734" t="e">
        <f t="shared" ca="1" si="148"/>
        <v>#NAME?</v>
      </c>
      <c r="E4734" s="115" t="e">
        <f t="array" aca="1" ref="E4734" ca="1">IF(OR(C4733=0,AND(B4735=0,C4735=0)),"",IFERROR(INDEX($F$27:$F$36,MATCH(C4734,($F$27:$F$36)*($D$27:$D$36&lt;&gt;0),0)),IF(OR(AND(D4734=0,B4734=0,B4735&lt;&gt;0),AND(D4734*D4733&lt;0,B4734&lt;&gt;0)),IF(D4734=0,C4734,C4734*(1-ABS(D4734)/(ABS(D4734)+ABS(D4733)))+C4733*(1-ABS(D4733)/(ABS(D4734)+ABS(D4733)))),"")))</f>
        <v>#NAME?</v>
      </c>
    </row>
    <row r="4735" spans="2:5" x14ac:dyDescent="0.25">
      <c r="B4735" t="e">
        <f t="shared" ca="1" si="149"/>
        <v>#NAME?</v>
      </c>
      <c r="C4735">
        <v>4692</v>
      </c>
      <c r="D4735" t="e">
        <f t="shared" ca="1" si="148"/>
        <v>#NAME?</v>
      </c>
      <c r="E4735" s="115" t="e">
        <f t="array" aca="1" ref="E4735" ca="1">IF(OR(C4734=0,AND(B4736=0,C4736=0)),"",IFERROR(INDEX($F$27:$F$36,MATCH(C4735,($F$27:$F$36)*($D$27:$D$36&lt;&gt;0),0)),IF(OR(AND(D4735=0,B4735=0,B4736&lt;&gt;0),AND(D4735*D4734&lt;0,B4735&lt;&gt;0)),IF(D4735=0,C4735,C4735*(1-ABS(D4735)/(ABS(D4735)+ABS(D4734)))+C4734*(1-ABS(D4734)/(ABS(D4735)+ABS(D4734)))),"")))</f>
        <v>#NAME?</v>
      </c>
    </row>
    <row r="4736" spans="2:5" x14ac:dyDescent="0.25">
      <c r="B4736" t="e">
        <f t="shared" ca="1" si="149"/>
        <v>#NAME?</v>
      </c>
      <c r="C4736">
        <v>4693</v>
      </c>
      <c r="D4736" t="e">
        <f t="shared" ca="1" si="148"/>
        <v>#NAME?</v>
      </c>
      <c r="E4736" s="115" t="e">
        <f t="array" aca="1" ref="E4736" ca="1">IF(OR(C4735=0,AND(B4737=0,C4737=0)),"",IFERROR(INDEX($F$27:$F$36,MATCH(C4736,($F$27:$F$36)*($D$27:$D$36&lt;&gt;0),0)),IF(OR(AND(D4736=0,B4736=0,B4737&lt;&gt;0),AND(D4736*D4735&lt;0,B4736&lt;&gt;0)),IF(D4736=0,C4736,C4736*(1-ABS(D4736)/(ABS(D4736)+ABS(D4735)))+C4735*(1-ABS(D4735)/(ABS(D4736)+ABS(D4735)))),"")))</f>
        <v>#NAME?</v>
      </c>
    </row>
    <row r="4737" spans="2:5" x14ac:dyDescent="0.25">
      <c r="B4737" t="e">
        <f t="shared" ca="1" si="149"/>
        <v>#NAME?</v>
      </c>
      <c r="C4737">
        <v>4694</v>
      </c>
      <c r="D4737" t="e">
        <f t="shared" ca="1" si="148"/>
        <v>#NAME?</v>
      </c>
      <c r="E4737" s="115" t="e">
        <f t="array" aca="1" ref="E4737" ca="1">IF(OR(C4736=0,AND(B4738=0,C4738=0)),"",IFERROR(INDEX($F$27:$F$36,MATCH(C4737,($F$27:$F$36)*($D$27:$D$36&lt;&gt;0),0)),IF(OR(AND(D4737=0,B4737=0,B4738&lt;&gt;0),AND(D4737*D4736&lt;0,B4737&lt;&gt;0)),IF(D4737=0,C4737,C4737*(1-ABS(D4737)/(ABS(D4737)+ABS(D4736)))+C4736*(1-ABS(D4736)/(ABS(D4737)+ABS(D4736)))),"")))</f>
        <v>#NAME?</v>
      </c>
    </row>
    <row r="4738" spans="2:5" x14ac:dyDescent="0.25">
      <c r="B4738" t="e">
        <f t="shared" ca="1" si="149"/>
        <v>#NAME?</v>
      </c>
      <c r="C4738">
        <v>4695</v>
      </c>
      <c r="D4738" t="e">
        <f t="shared" ca="1" si="148"/>
        <v>#NAME?</v>
      </c>
      <c r="E4738" s="115" t="e">
        <f t="array" aca="1" ref="E4738" ca="1">IF(OR(C4737=0,AND(B4739=0,C4739=0)),"",IFERROR(INDEX($F$27:$F$36,MATCH(C4738,($F$27:$F$36)*($D$27:$D$36&lt;&gt;0),0)),IF(OR(AND(D4738=0,B4738=0,B4739&lt;&gt;0),AND(D4738*D4737&lt;0,B4738&lt;&gt;0)),IF(D4738=0,C4738,C4738*(1-ABS(D4738)/(ABS(D4738)+ABS(D4737)))+C4737*(1-ABS(D4737)/(ABS(D4738)+ABS(D4737)))),"")))</f>
        <v>#NAME?</v>
      </c>
    </row>
    <row r="4739" spans="2:5" x14ac:dyDescent="0.25">
      <c r="B4739" t="e">
        <f t="shared" ca="1" si="149"/>
        <v>#NAME?</v>
      </c>
      <c r="C4739">
        <v>4696</v>
      </c>
      <c r="D4739" t="e">
        <f t="shared" ca="1" si="148"/>
        <v>#NAME?</v>
      </c>
      <c r="E4739" s="115" t="e">
        <f t="array" aca="1" ref="E4739" ca="1">IF(OR(C4738=0,AND(B4740=0,C4740=0)),"",IFERROR(INDEX($F$27:$F$36,MATCH(C4739,($F$27:$F$36)*($D$27:$D$36&lt;&gt;0),0)),IF(OR(AND(D4739=0,B4739=0,B4740&lt;&gt;0),AND(D4739*D4738&lt;0,B4739&lt;&gt;0)),IF(D4739=0,C4739,C4739*(1-ABS(D4739)/(ABS(D4739)+ABS(D4738)))+C4738*(1-ABS(D4738)/(ABS(D4739)+ABS(D4738)))),"")))</f>
        <v>#NAME?</v>
      </c>
    </row>
    <row r="4740" spans="2:5" x14ac:dyDescent="0.25">
      <c r="B4740" t="e">
        <f t="shared" ca="1" si="149"/>
        <v>#NAME?</v>
      </c>
      <c r="C4740">
        <v>4697</v>
      </c>
      <c r="D4740" t="e">
        <f t="shared" ca="1" si="148"/>
        <v>#NAME?</v>
      </c>
      <c r="E4740" s="115" t="e">
        <f t="array" aca="1" ref="E4740" ca="1">IF(OR(C4739=0,AND(B4741=0,C4741=0)),"",IFERROR(INDEX($F$27:$F$36,MATCH(C4740,($F$27:$F$36)*($D$27:$D$36&lt;&gt;0),0)),IF(OR(AND(D4740=0,B4740=0,B4741&lt;&gt;0),AND(D4740*D4739&lt;0,B4740&lt;&gt;0)),IF(D4740=0,C4740,C4740*(1-ABS(D4740)/(ABS(D4740)+ABS(D4739)))+C4739*(1-ABS(D4739)/(ABS(D4740)+ABS(D4739)))),"")))</f>
        <v>#NAME?</v>
      </c>
    </row>
    <row r="4741" spans="2:5" x14ac:dyDescent="0.25">
      <c r="B4741" t="e">
        <f t="shared" ca="1" si="149"/>
        <v>#NAME?</v>
      </c>
      <c r="C4741">
        <v>4698</v>
      </c>
      <c r="D4741" t="e">
        <f t="shared" ca="1" si="148"/>
        <v>#NAME?</v>
      </c>
      <c r="E4741" s="115" t="e">
        <f t="array" aca="1" ref="E4741" ca="1">IF(OR(C4740=0,AND(B4742=0,C4742=0)),"",IFERROR(INDEX($F$27:$F$36,MATCH(C4741,($F$27:$F$36)*($D$27:$D$36&lt;&gt;0),0)),IF(OR(AND(D4741=0,B4741=0,B4742&lt;&gt;0),AND(D4741*D4740&lt;0,B4741&lt;&gt;0)),IF(D4741=0,C4741,C4741*(1-ABS(D4741)/(ABS(D4741)+ABS(D4740)))+C4740*(1-ABS(D4740)/(ABS(D4741)+ABS(D4740)))),"")))</f>
        <v>#NAME?</v>
      </c>
    </row>
    <row r="4742" spans="2:5" x14ac:dyDescent="0.25">
      <c r="B4742" t="e">
        <f t="shared" ca="1" si="149"/>
        <v>#NAME?</v>
      </c>
      <c r="C4742">
        <v>4699</v>
      </c>
      <c r="D4742" t="e">
        <f t="shared" ca="1" si="148"/>
        <v>#NAME?</v>
      </c>
      <c r="E4742" s="115" t="e">
        <f t="array" aca="1" ref="E4742" ca="1">IF(OR(C4741=0,AND(B4743=0,C4743=0)),"",IFERROR(INDEX($F$27:$F$36,MATCH(C4742,($F$27:$F$36)*($D$27:$D$36&lt;&gt;0),0)),IF(OR(AND(D4742=0,B4742=0,B4743&lt;&gt;0),AND(D4742*D4741&lt;0,B4742&lt;&gt;0)),IF(D4742=0,C4742,C4742*(1-ABS(D4742)/(ABS(D4742)+ABS(D4741)))+C4741*(1-ABS(D4741)/(ABS(D4742)+ABS(D4741)))),"")))</f>
        <v>#NAME?</v>
      </c>
    </row>
    <row r="4743" spans="2:5" x14ac:dyDescent="0.25">
      <c r="B4743" t="e">
        <f t="shared" ca="1" si="149"/>
        <v>#NAME?</v>
      </c>
      <c r="C4743">
        <v>4700</v>
      </c>
      <c r="D4743" t="e">
        <f t="shared" ca="1" si="148"/>
        <v>#NAME?</v>
      </c>
      <c r="E4743" s="115" t="e">
        <f t="array" aca="1" ref="E4743" ca="1">IF(OR(C4742=0,AND(B4744=0,C4744=0)),"",IFERROR(INDEX($F$27:$F$36,MATCH(C4743,($F$27:$F$36)*($D$27:$D$36&lt;&gt;0),0)),IF(OR(AND(D4743=0,B4743=0,B4744&lt;&gt;0),AND(D4743*D4742&lt;0,B4743&lt;&gt;0)),IF(D4743=0,C4743,C4743*(1-ABS(D4743)/(ABS(D4743)+ABS(D4742)))+C4742*(1-ABS(D4742)/(ABS(D4743)+ABS(D4742)))),"")))</f>
        <v>#NAME?</v>
      </c>
    </row>
    <row r="4744" spans="2:5" x14ac:dyDescent="0.25">
      <c r="B4744" t="e">
        <f t="shared" ca="1" si="149"/>
        <v>#NAME?</v>
      </c>
      <c r="C4744">
        <v>4701</v>
      </c>
      <c r="D4744" t="e">
        <f t="shared" ca="1" si="148"/>
        <v>#NAME?</v>
      </c>
      <c r="E4744" s="115" t="e">
        <f t="array" aca="1" ref="E4744" ca="1">IF(OR(C4743=0,AND(B4745=0,C4745=0)),"",IFERROR(INDEX($F$27:$F$36,MATCH(C4744,($F$27:$F$36)*($D$27:$D$36&lt;&gt;0),0)),IF(OR(AND(D4744=0,B4744=0,B4745&lt;&gt;0),AND(D4744*D4743&lt;0,B4744&lt;&gt;0)),IF(D4744=0,C4744,C4744*(1-ABS(D4744)/(ABS(D4744)+ABS(D4743)))+C4743*(1-ABS(D4743)/(ABS(D4744)+ABS(D4743)))),"")))</f>
        <v>#NAME?</v>
      </c>
    </row>
    <row r="4745" spans="2:5" x14ac:dyDescent="0.25">
      <c r="B4745" t="e">
        <f t="shared" ca="1" si="149"/>
        <v>#NAME?</v>
      </c>
      <c r="C4745">
        <v>4702</v>
      </c>
      <c r="D4745" t="e">
        <f t="shared" ca="1" si="148"/>
        <v>#NAME?</v>
      </c>
      <c r="E4745" s="115" t="e">
        <f t="array" aca="1" ref="E4745" ca="1">IF(OR(C4744=0,AND(B4746=0,C4746=0)),"",IFERROR(INDEX($F$27:$F$36,MATCH(C4745,($F$27:$F$36)*($D$27:$D$36&lt;&gt;0),0)),IF(OR(AND(D4745=0,B4745=0,B4746&lt;&gt;0),AND(D4745*D4744&lt;0,B4745&lt;&gt;0)),IF(D4745=0,C4745,C4745*(1-ABS(D4745)/(ABS(D4745)+ABS(D4744)))+C4744*(1-ABS(D4744)/(ABS(D4745)+ABS(D4744)))),"")))</f>
        <v>#NAME?</v>
      </c>
    </row>
    <row r="4746" spans="2:5" x14ac:dyDescent="0.25">
      <c r="B4746" t="e">
        <f t="shared" ca="1" si="149"/>
        <v>#NAME?</v>
      </c>
      <c r="C4746">
        <v>4703</v>
      </c>
      <c r="D4746" t="e">
        <f t="shared" ca="1" si="148"/>
        <v>#NAME?</v>
      </c>
      <c r="E4746" s="115" t="e">
        <f t="array" aca="1" ref="E4746" ca="1">IF(OR(C4745=0,AND(B4747=0,C4747=0)),"",IFERROR(INDEX($F$27:$F$36,MATCH(C4746,($F$27:$F$36)*($D$27:$D$36&lt;&gt;0),0)),IF(OR(AND(D4746=0,B4746=0,B4747&lt;&gt;0),AND(D4746*D4745&lt;0,B4746&lt;&gt;0)),IF(D4746=0,C4746,C4746*(1-ABS(D4746)/(ABS(D4746)+ABS(D4745)))+C4745*(1-ABS(D4745)/(ABS(D4746)+ABS(D4745)))),"")))</f>
        <v>#NAME?</v>
      </c>
    </row>
    <row r="4747" spans="2:5" x14ac:dyDescent="0.25">
      <c r="B4747" t="e">
        <f t="shared" ca="1" si="149"/>
        <v>#NAME?</v>
      </c>
      <c r="C4747">
        <v>4704</v>
      </c>
      <c r="D4747" t="e">
        <f t="shared" ca="1" si="148"/>
        <v>#NAME?</v>
      </c>
      <c r="E4747" s="115" t="e">
        <f t="array" aca="1" ref="E4747" ca="1">IF(OR(C4746=0,AND(B4748=0,C4748=0)),"",IFERROR(INDEX($F$27:$F$36,MATCH(C4747,($F$27:$F$36)*($D$27:$D$36&lt;&gt;0),0)),IF(OR(AND(D4747=0,B4747=0,B4748&lt;&gt;0),AND(D4747*D4746&lt;0,B4747&lt;&gt;0)),IF(D4747=0,C4747,C4747*(1-ABS(D4747)/(ABS(D4747)+ABS(D4746)))+C4746*(1-ABS(D4746)/(ABS(D4747)+ABS(D4746)))),"")))</f>
        <v>#NAME?</v>
      </c>
    </row>
    <row r="4748" spans="2:5" x14ac:dyDescent="0.25">
      <c r="B4748" t="e">
        <f t="shared" ca="1" si="149"/>
        <v>#NAME?</v>
      </c>
      <c r="C4748">
        <v>4705</v>
      </c>
      <c r="D4748" t="e">
        <f t="shared" ca="1" si="148"/>
        <v>#NAME?</v>
      </c>
      <c r="E4748" s="115" t="e">
        <f t="array" aca="1" ref="E4748" ca="1">IF(OR(C4747=0,AND(B4749=0,C4749=0)),"",IFERROR(INDEX($F$27:$F$36,MATCH(C4748,($F$27:$F$36)*($D$27:$D$36&lt;&gt;0),0)),IF(OR(AND(D4748=0,B4748=0,B4749&lt;&gt;0),AND(D4748*D4747&lt;0,B4748&lt;&gt;0)),IF(D4748=0,C4748,C4748*(1-ABS(D4748)/(ABS(D4748)+ABS(D4747)))+C4747*(1-ABS(D4747)/(ABS(D4748)+ABS(D4747)))),"")))</f>
        <v>#NAME?</v>
      </c>
    </row>
    <row r="4749" spans="2:5" x14ac:dyDescent="0.25">
      <c r="B4749" t="e">
        <f t="shared" ca="1" si="149"/>
        <v>#NAME?</v>
      </c>
      <c r="C4749">
        <v>4706</v>
      </c>
      <c r="D4749" t="e">
        <f t="shared" ca="1" si="148"/>
        <v>#NAME?</v>
      </c>
      <c r="E4749" s="115" t="e">
        <f t="array" aca="1" ref="E4749" ca="1">IF(OR(C4748=0,AND(B4750=0,C4750=0)),"",IFERROR(INDEX($F$27:$F$36,MATCH(C4749,($F$27:$F$36)*($D$27:$D$36&lt;&gt;0),0)),IF(OR(AND(D4749=0,B4749=0,B4750&lt;&gt;0),AND(D4749*D4748&lt;0,B4749&lt;&gt;0)),IF(D4749=0,C4749,C4749*(1-ABS(D4749)/(ABS(D4749)+ABS(D4748)))+C4748*(1-ABS(D4748)/(ABS(D4749)+ABS(D4748)))),"")))</f>
        <v>#NAME?</v>
      </c>
    </row>
    <row r="4750" spans="2:5" x14ac:dyDescent="0.25">
      <c r="B4750" t="e">
        <f t="shared" ca="1" si="149"/>
        <v>#NAME?</v>
      </c>
      <c r="C4750">
        <v>4707</v>
      </c>
      <c r="D4750" t="e">
        <f t="shared" ca="1" si="148"/>
        <v>#NAME?</v>
      </c>
      <c r="E4750" s="115" t="e">
        <f t="array" aca="1" ref="E4750" ca="1">IF(OR(C4749=0,AND(B4751=0,C4751=0)),"",IFERROR(INDEX($F$27:$F$36,MATCH(C4750,($F$27:$F$36)*($D$27:$D$36&lt;&gt;0),0)),IF(OR(AND(D4750=0,B4750=0,B4751&lt;&gt;0),AND(D4750*D4749&lt;0,B4750&lt;&gt;0)),IF(D4750=0,C4750,C4750*(1-ABS(D4750)/(ABS(D4750)+ABS(D4749)))+C4749*(1-ABS(D4749)/(ABS(D4750)+ABS(D4749)))),"")))</f>
        <v>#NAME?</v>
      </c>
    </row>
    <row r="4751" spans="2:5" x14ac:dyDescent="0.25">
      <c r="B4751" t="e">
        <f t="shared" ca="1" si="149"/>
        <v>#NAME?</v>
      </c>
      <c r="C4751">
        <v>4708</v>
      </c>
      <c r="D4751" t="e">
        <f t="shared" ca="1" si="148"/>
        <v>#NAME?</v>
      </c>
      <c r="E4751" s="115" t="e">
        <f t="array" aca="1" ref="E4751" ca="1">IF(OR(C4750=0,AND(B4752=0,C4752=0)),"",IFERROR(INDEX($F$27:$F$36,MATCH(C4751,($F$27:$F$36)*($D$27:$D$36&lt;&gt;0),0)),IF(OR(AND(D4751=0,B4751=0,B4752&lt;&gt;0),AND(D4751*D4750&lt;0,B4751&lt;&gt;0)),IF(D4751=0,C4751,C4751*(1-ABS(D4751)/(ABS(D4751)+ABS(D4750)))+C4750*(1-ABS(D4750)/(ABS(D4751)+ABS(D4750)))),"")))</f>
        <v>#NAME?</v>
      </c>
    </row>
    <row r="4752" spans="2:5" x14ac:dyDescent="0.25">
      <c r="B4752" t="e">
        <f t="shared" ca="1" si="149"/>
        <v>#NAME?</v>
      </c>
      <c r="C4752">
        <v>4709</v>
      </c>
      <c r="D4752" t="e">
        <f t="shared" ca="1" si="148"/>
        <v>#NAME?</v>
      </c>
      <c r="E4752" s="115" t="e">
        <f t="array" aca="1" ref="E4752" ca="1">IF(OR(C4751=0,AND(B4753=0,C4753=0)),"",IFERROR(INDEX($F$27:$F$36,MATCH(C4752,($F$27:$F$36)*($D$27:$D$36&lt;&gt;0),0)),IF(OR(AND(D4752=0,B4752=0,B4753&lt;&gt;0),AND(D4752*D4751&lt;0,B4752&lt;&gt;0)),IF(D4752=0,C4752,C4752*(1-ABS(D4752)/(ABS(D4752)+ABS(D4751)))+C4751*(1-ABS(D4751)/(ABS(D4752)+ABS(D4751)))),"")))</f>
        <v>#NAME?</v>
      </c>
    </row>
    <row r="4753" spans="2:5" x14ac:dyDescent="0.25">
      <c r="B4753" t="e">
        <f t="shared" ca="1" si="149"/>
        <v>#NAME?</v>
      </c>
      <c r="C4753">
        <v>4710</v>
      </c>
      <c r="D4753" t="e">
        <f t="shared" ca="1" si="148"/>
        <v>#NAME?</v>
      </c>
      <c r="E4753" s="115" t="e">
        <f t="array" aca="1" ref="E4753" ca="1">IF(OR(C4752=0,AND(B4754=0,C4754=0)),"",IFERROR(INDEX($F$27:$F$36,MATCH(C4753,($F$27:$F$36)*($D$27:$D$36&lt;&gt;0),0)),IF(OR(AND(D4753=0,B4753=0,B4754&lt;&gt;0),AND(D4753*D4752&lt;0,B4753&lt;&gt;0)),IF(D4753=0,C4753,C4753*(1-ABS(D4753)/(ABS(D4753)+ABS(D4752)))+C4752*(1-ABS(D4752)/(ABS(D4753)+ABS(D4752)))),"")))</f>
        <v>#NAME?</v>
      </c>
    </row>
    <row r="4754" spans="2:5" x14ac:dyDescent="0.25">
      <c r="B4754" t="e">
        <f t="shared" ca="1" si="149"/>
        <v>#NAME?</v>
      </c>
      <c r="C4754">
        <v>4711</v>
      </c>
      <c r="D4754" t="e">
        <f t="shared" ca="1" si="148"/>
        <v>#NAME?</v>
      </c>
      <c r="E4754" s="115" t="e">
        <f t="array" aca="1" ref="E4754" ca="1">IF(OR(C4753=0,AND(B4755=0,C4755=0)),"",IFERROR(INDEX($F$27:$F$36,MATCH(C4754,($F$27:$F$36)*($D$27:$D$36&lt;&gt;0),0)),IF(OR(AND(D4754=0,B4754=0,B4755&lt;&gt;0),AND(D4754*D4753&lt;0,B4754&lt;&gt;0)),IF(D4754=0,C4754,C4754*(1-ABS(D4754)/(ABS(D4754)+ABS(D4753)))+C4753*(1-ABS(D4753)/(ABS(D4754)+ABS(D4753)))),"")))</f>
        <v>#NAME?</v>
      </c>
    </row>
    <row r="4755" spans="2:5" x14ac:dyDescent="0.25">
      <c r="B4755" t="e">
        <f t="shared" ca="1" si="149"/>
        <v>#NAME?</v>
      </c>
      <c r="C4755">
        <v>4712</v>
      </c>
      <c r="D4755" t="e">
        <f t="shared" ca="1" si="148"/>
        <v>#NAME?</v>
      </c>
      <c r="E4755" s="115" t="e">
        <f t="array" aca="1" ref="E4755" ca="1">IF(OR(C4754=0,AND(B4756=0,C4756=0)),"",IFERROR(INDEX($F$27:$F$36,MATCH(C4755,($F$27:$F$36)*($D$27:$D$36&lt;&gt;0),0)),IF(OR(AND(D4755=0,B4755=0,B4756&lt;&gt;0),AND(D4755*D4754&lt;0,B4755&lt;&gt;0)),IF(D4755=0,C4755,C4755*(1-ABS(D4755)/(ABS(D4755)+ABS(D4754)))+C4754*(1-ABS(D4754)/(ABS(D4755)+ABS(D4754)))),"")))</f>
        <v>#NAME?</v>
      </c>
    </row>
    <row r="4756" spans="2:5" x14ac:dyDescent="0.25">
      <c r="B4756" t="e">
        <f t="shared" ca="1" si="149"/>
        <v>#NAME?</v>
      </c>
      <c r="C4756">
        <v>4713</v>
      </c>
      <c r="D4756" t="e">
        <f t="shared" ca="1" si="148"/>
        <v>#NAME?</v>
      </c>
      <c r="E4756" s="115" t="e">
        <f t="array" aca="1" ref="E4756" ca="1">IF(OR(C4755=0,AND(B4757=0,C4757=0)),"",IFERROR(INDEX($F$27:$F$36,MATCH(C4756,($F$27:$F$36)*($D$27:$D$36&lt;&gt;0),0)),IF(OR(AND(D4756=0,B4756=0,B4757&lt;&gt;0),AND(D4756*D4755&lt;0,B4756&lt;&gt;0)),IF(D4756=0,C4756,C4756*(1-ABS(D4756)/(ABS(D4756)+ABS(D4755)))+C4755*(1-ABS(D4755)/(ABS(D4756)+ABS(D4755)))),"")))</f>
        <v>#NAME?</v>
      </c>
    </row>
    <row r="4757" spans="2:5" x14ac:dyDescent="0.25">
      <c r="B4757" t="e">
        <f t="shared" ca="1" si="149"/>
        <v>#NAME?</v>
      </c>
      <c r="C4757">
        <v>4714</v>
      </c>
      <c r="D4757" t="e">
        <f t="shared" ca="1" si="148"/>
        <v>#NAME?</v>
      </c>
      <c r="E4757" s="115" t="e">
        <f t="array" aca="1" ref="E4757" ca="1">IF(OR(C4756=0,AND(B4758=0,C4758=0)),"",IFERROR(INDEX($F$27:$F$36,MATCH(C4757,($F$27:$F$36)*($D$27:$D$36&lt;&gt;0),0)),IF(OR(AND(D4757=0,B4757=0,B4758&lt;&gt;0),AND(D4757*D4756&lt;0,B4757&lt;&gt;0)),IF(D4757=0,C4757,C4757*(1-ABS(D4757)/(ABS(D4757)+ABS(D4756)))+C4756*(1-ABS(D4756)/(ABS(D4757)+ABS(D4756)))),"")))</f>
        <v>#NAME?</v>
      </c>
    </row>
    <row r="4758" spans="2:5" x14ac:dyDescent="0.25">
      <c r="B4758" t="e">
        <f t="shared" ca="1" si="149"/>
        <v>#NAME?</v>
      </c>
      <c r="C4758">
        <v>4715</v>
      </c>
      <c r="D4758" t="e">
        <f t="shared" ca="1" si="148"/>
        <v>#NAME?</v>
      </c>
      <c r="E4758" s="115" t="e">
        <f t="array" aca="1" ref="E4758" ca="1">IF(OR(C4757=0,AND(B4759=0,C4759=0)),"",IFERROR(INDEX($F$27:$F$36,MATCH(C4758,($F$27:$F$36)*($D$27:$D$36&lt;&gt;0),0)),IF(OR(AND(D4758=0,B4758=0,B4759&lt;&gt;0),AND(D4758*D4757&lt;0,B4758&lt;&gt;0)),IF(D4758=0,C4758,C4758*(1-ABS(D4758)/(ABS(D4758)+ABS(D4757)))+C4757*(1-ABS(D4757)/(ABS(D4758)+ABS(D4757)))),"")))</f>
        <v>#NAME?</v>
      </c>
    </row>
    <row r="4759" spans="2:5" x14ac:dyDescent="0.25">
      <c r="B4759" t="e">
        <f t="shared" ca="1" si="149"/>
        <v>#NAME?</v>
      </c>
      <c r="C4759">
        <v>4716</v>
      </c>
      <c r="D4759" t="e">
        <f t="shared" ca="1" si="148"/>
        <v>#NAME?</v>
      </c>
      <c r="E4759" s="115" t="e">
        <f t="array" aca="1" ref="E4759" ca="1">IF(OR(C4758=0,AND(B4760=0,C4760=0)),"",IFERROR(INDEX($F$27:$F$36,MATCH(C4759,($F$27:$F$36)*($D$27:$D$36&lt;&gt;0),0)),IF(OR(AND(D4759=0,B4759=0,B4760&lt;&gt;0),AND(D4759*D4758&lt;0,B4759&lt;&gt;0)),IF(D4759=0,C4759,C4759*(1-ABS(D4759)/(ABS(D4759)+ABS(D4758)))+C4758*(1-ABS(D4758)/(ABS(D4759)+ABS(D4758)))),"")))</f>
        <v>#NAME?</v>
      </c>
    </row>
    <row r="4760" spans="2:5" x14ac:dyDescent="0.25">
      <c r="B4760" t="e">
        <f t="shared" ca="1" si="149"/>
        <v>#NAME?</v>
      </c>
      <c r="C4760">
        <v>4717</v>
      </c>
      <c r="D4760" t="e">
        <f t="shared" ca="1" si="148"/>
        <v>#NAME?</v>
      </c>
      <c r="E4760" s="115" t="e">
        <f t="array" aca="1" ref="E4760" ca="1">IF(OR(C4759=0,AND(B4761=0,C4761=0)),"",IFERROR(INDEX($F$27:$F$36,MATCH(C4760,($F$27:$F$36)*($D$27:$D$36&lt;&gt;0),0)),IF(OR(AND(D4760=0,B4760=0,B4761&lt;&gt;0),AND(D4760*D4759&lt;0,B4760&lt;&gt;0)),IF(D4760=0,C4760,C4760*(1-ABS(D4760)/(ABS(D4760)+ABS(D4759)))+C4759*(1-ABS(D4759)/(ABS(D4760)+ABS(D4759)))),"")))</f>
        <v>#NAME?</v>
      </c>
    </row>
    <row r="4761" spans="2:5" x14ac:dyDescent="0.25">
      <c r="B4761" t="e">
        <f t="shared" ca="1" si="149"/>
        <v>#NAME?</v>
      </c>
      <c r="C4761">
        <v>4718</v>
      </c>
      <c r="D4761" t="e">
        <f t="shared" ca="1" si="148"/>
        <v>#NAME?</v>
      </c>
      <c r="E4761" s="115" t="e">
        <f t="array" aca="1" ref="E4761" ca="1">IF(OR(C4760=0,AND(B4762=0,C4762=0)),"",IFERROR(INDEX($F$27:$F$36,MATCH(C4761,($F$27:$F$36)*($D$27:$D$36&lt;&gt;0),0)),IF(OR(AND(D4761=0,B4761=0,B4762&lt;&gt;0),AND(D4761*D4760&lt;0,B4761&lt;&gt;0)),IF(D4761=0,C4761,C4761*(1-ABS(D4761)/(ABS(D4761)+ABS(D4760)))+C4760*(1-ABS(D4760)/(ABS(D4761)+ABS(D4760)))),"")))</f>
        <v>#NAME?</v>
      </c>
    </row>
    <row r="4762" spans="2:5" x14ac:dyDescent="0.25">
      <c r="B4762" t="e">
        <f t="shared" ca="1" si="149"/>
        <v>#NAME?</v>
      </c>
      <c r="C4762">
        <v>4719</v>
      </c>
      <c r="D4762" t="e">
        <f t="shared" ca="1" si="148"/>
        <v>#NAME?</v>
      </c>
      <c r="E4762" s="115" t="e">
        <f t="array" aca="1" ref="E4762" ca="1">IF(OR(C4761=0,AND(B4763=0,C4763=0)),"",IFERROR(INDEX($F$27:$F$36,MATCH(C4762,($F$27:$F$36)*($D$27:$D$36&lt;&gt;0),0)),IF(OR(AND(D4762=0,B4762=0,B4763&lt;&gt;0),AND(D4762*D4761&lt;0,B4762&lt;&gt;0)),IF(D4762=0,C4762,C4762*(1-ABS(D4762)/(ABS(D4762)+ABS(D4761)))+C4761*(1-ABS(D4761)/(ABS(D4762)+ABS(D4761)))),"")))</f>
        <v>#NAME?</v>
      </c>
    </row>
    <row r="4763" spans="2:5" x14ac:dyDescent="0.25">
      <c r="B4763" t="e">
        <f t="shared" ca="1" si="149"/>
        <v>#NAME?</v>
      </c>
      <c r="C4763">
        <v>4720</v>
      </c>
      <c r="D4763" t="e">
        <f t="shared" ca="1" si="148"/>
        <v>#NAME?</v>
      </c>
      <c r="E4763" s="115" t="e">
        <f t="array" aca="1" ref="E4763" ca="1">IF(OR(C4762=0,AND(B4764=0,C4764=0)),"",IFERROR(INDEX($F$27:$F$36,MATCH(C4763,($F$27:$F$36)*($D$27:$D$36&lt;&gt;0),0)),IF(OR(AND(D4763=0,B4763=0,B4764&lt;&gt;0),AND(D4763*D4762&lt;0,B4763&lt;&gt;0)),IF(D4763=0,C4763,C4763*(1-ABS(D4763)/(ABS(D4763)+ABS(D4762)))+C4762*(1-ABS(D4762)/(ABS(D4763)+ABS(D4762)))),"")))</f>
        <v>#NAME?</v>
      </c>
    </row>
    <row r="4764" spans="2:5" x14ac:dyDescent="0.25">
      <c r="B4764" t="e">
        <f t="shared" ca="1" si="149"/>
        <v>#NAME?</v>
      </c>
      <c r="C4764">
        <v>4721</v>
      </c>
      <c r="D4764" t="e">
        <f t="shared" ca="1" si="148"/>
        <v>#NAME?</v>
      </c>
      <c r="E4764" s="115" t="e">
        <f t="array" aca="1" ref="E4764" ca="1">IF(OR(C4763=0,AND(B4765=0,C4765=0)),"",IFERROR(INDEX($F$27:$F$36,MATCH(C4764,($F$27:$F$36)*($D$27:$D$36&lt;&gt;0),0)),IF(OR(AND(D4764=0,B4764=0,B4765&lt;&gt;0),AND(D4764*D4763&lt;0,B4764&lt;&gt;0)),IF(D4764=0,C4764,C4764*(1-ABS(D4764)/(ABS(D4764)+ABS(D4763)))+C4763*(1-ABS(D4763)/(ABS(D4764)+ABS(D4763)))),"")))</f>
        <v>#NAME?</v>
      </c>
    </row>
    <row r="4765" spans="2:5" x14ac:dyDescent="0.25">
      <c r="B4765" t="e">
        <f t="shared" ca="1" si="149"/>
        <v>#NAME?</v>
      </c>
      <c r="C4765">
        <v>4722</v>
      </c>
      <c r="D4765" t="e">
        <f t="shared" ca="1" si="148"/>
        <v>#NAME?</v>
      </c>
      <c r="E4765" s="115" t="e">
        <f t="array" aca="1" ref="E4765" ca="1">IF(OR(C4764=0,AND(B4766=0,C4766=0)),"",IFERROR(INDEX($F$27:$F$36,MATCH(C4765,($F$27:$F$36)*($D$27:$D$36&lt;&gt;0),0)),IF(OR(AND(D4765=0,B4765=0,B4766&lt;&gt;0),AND(D4765*D4764&lt;0,B4765&lt;&gt;0)),IF(D4765=0,C4765,C4765*(1-ABS(D4765)/(ABS(D4765)+ABS(D4764)))+C4764*(1-ABS(D4764)/(ABS(D4765)+ABS(D4764)))),"")))</f>
        <v>#NAME?</v>
      </c>
    </row>
    <row r="4766" spans="2:5" x14ac:dyDescent="0.25">
      <c r="B4766" t="e">
        <f t="shared" ca="1" si="149"/>
        <v>#NAME?</v>
      </c>
      <c r="C4766">
        <v>4723</v>
      </c>
      <c r="D4766" t="e">
        <f t="shared" ca="1" si="148"/>
        <v>#NAME?</v>
      </c>
      <c r="E4766" s="115" t="e">
        <f t="array" aca="1" ref="E4766" ca="1">IF(OR(C4765=0,AND(B4767=0,C4767=0)),"",IFERROR(INDEX($F$27:$F$36,MATCH(C4766,($F$27:$F$36)*($D$27:$D$36&lt;&gt;0),0)),IF(OR(AND(D4766=0,B4766=0,B4767&lt;&gt;0),AND(D4766*D4765&lt;0,B4766&lt;&gt;0)),IF(D4766=0,C4766,C4766*(1-ABS(D4766)/(ABS(D4766)+ABS(D4765)))+C4765*(1-ABS(D4765)/(ABS(D4766)+ABS(D4765)))),"")))</f>
        <v>#NAME?</v>
      </c>
    </row>
    <row r="4767" spans="2:5" x14ac:dyDescent="0.25">
      <c r="B4767" t="e">
        <f t="shared" ca="1" si="149"/>
        <v>#NAME?</v>
      </c>
      <c r="C4767">
        <v>4724</v>
      </c>
      <c r="D4767" t="e">
        <f t="shared" ca="1" si="148"/>
        <v>#NAME?</v>
      </c>
      <c r="E4767" s="115" t="e">
        <f t="array" aca="1" ref="E4767" ca="1">IF(OR(C4766=0,AND(B4768=0,C4768=0)),"",IFERROR(INDEX($F$27:$F$36,MATCH(C4767,($F$27:$F$36)*($D$27:$D$36&lt;&gt;0),0)),IF(OR(AND(D4767=0,B4767=0,B4768&lt;&gt;0),AND(D4767*D4766&lt;0,B4767&lt;&gt;0)),IF(D4767=0,C4767,C4767*(1-ABS(D4767)/(ABS(D4767)+ABS(D4766)))+C4766*(1-ABS(D4766)/(ABS(D4767)+ABS(D4766)))),"")))</f>
        <v>#NAME?</v>
      </c>
    </row>
    <row r="4768" spans="2:5" x14ac:dyDescent="0.25">
      <c r="B4768" t="e">
        <f t="shared" ca="1" si="149"/>
        <v>#NAME?</v>
      </c>
      <c r="C4768">
        <v>4725</v>
      </c>
      <c r="D4768" t="e">
        <f t="shared" ca="1" si="148"/>
        <v>#NAME?</v>
      </c>
      <c r="E4768" s="115" t="e">
        <f t="array" aca="1" ref="E4768" ca="1">IF(OR(C4767=0,AND(B4769=0,C4769=0)),"",IFERROR(INDEX($F$27:$F$36,MATCH(C4768,($F$27:$F$36)*($D$27:$D$36&lt;&gt;0),0)),IF(OR(AND(D4768=0,B4768=0,B4769&lt;&gt;0),AND(D4768*D4767&lt;0,B4768&lt;&gt;0)),IF(D4768=0,C4768,C4768*(1-ABS(D4768)/(ABS(D4768)+ABS(D4767)))+C4767*(1-ABS(D4767)/(ABS(D4768)+ABS(D4767)))),"")))</f>
        <v>#NAME?</v>
      </c>
    </row>
    <row r="4769" spans="2:5" x14ac:dyDescent="0.25">
      <c r="B4769" t="e">
        <f t="shared" ca="1" si="149"/>
        <v>#NAME?</v>
      </c>
      <c r="C4769">
        <v>4726</v>
      </c>
      <c r="D4769" t="e">
        <f t="shared" ca="1" si="148"/>
        <v>#NAME?</v>
      </c>
      <c r="E4769" s="115" t="e">
        <f t="array" aca="1" ref="E4769" ca="1">IF(OR(C4768=0,AND(B4770=0,C4770=0)),"",IFERROR(INDEX($F$27:$F$36,MATCH(C4769,($F$27:$F$36)*($D$27:$D$36&lt;&gt;0),0)),IF(OR(AND(D4769=0,B4769=0,B4770&lt;&gt;0),AND(D4769*D4768&lt;0,B4769&lt;&gt;0)),IF(D4769=0,C4769,C4769*(1-ABS(D4769)/(ABS(D4769)+ABS(D4768)))+C4768*(1-ABS(D4768)/(ABS(D4769)+ABS(D4768)))),"")))</f>
        <v>#NAME?</v>
      </c>
    </row>
    <row r="4770" spans="2:5" x14ac:dyDescent="0.25">
      <c r="B4770" t="e">
        <f t="shared" ca="1" si="149"/>
        <v>#NAME?</v>
      </c>
      <c r="C4770">
        <v>4727</v>
      </c>
      <c r="D4770" t="e">
        <f t="shared" ca="1" si="148"/>
        <v>#NAME?</v>
      </c>
      <c r="E4770" s="115" t="e">
        <f t="array" aca="1" ref="E4770" ca="1">IF(OR(C4769=0,AND(B4771=0,C4771=0)),"",IFERROR(INDEX($F$27:$F$36,MATCH(C4770,($F$27:$F$36)*($D$27:$D$36&lt;&gt;0),0)),IF(OR(AND(D4770=0,B4770=0,B4771&lt;&gt;0),AND(D4770*D4769&lt;0,B4770&lt;&gt;0)),IF(D4770=0,C4770,C4770*(1-ABS(D4770)/(ABS(D4770)+ABS(D4769)))+C4769*(1-ABS(D4769)/(ABS(D4770)+ABS(D4769)))),"")))</f>
        <v>#NAME?</v>
      </c>
    </row>
    <row r="4771" spans="2:5" x14ac:dyDescent="0.25">
      <c r="B4771" t="e">
        <f t="shared" ca="1" si="149"/>
        <v>#NAME?</v>
      </c>
      <c r="C4771">
        <v>4728</v>
      </c>
      <c r="D4771" t="e">
        <f t="shared" ca="1" si="148"/>
        <v>#NAME?</v>
      </c>
      <c r="E4771" s="115" t="e">
        <f t="array" aca="1" ref="E4771" ca="1">IF(OR(C4770=0,AND(B4772=0,C4772=0)),"",IFERROR(INDEX($F$27:$F$36,MATCH(C4771,($F$27:$F$36)*($D$27:$D$36&lt;&gt;0),0)),IF(OR(AND(D4771=0,B4771=0,B4772&lt;&gt;0),AND(D4771*D4770&lt;0,B4771&lt;&gt;0)),IF(D4771=0,C4771,C4771*(1-ABS(D4771)/(ABS(D4771)+ABS(D4770)))+C4770*(1-ABS(D4770)/(ABS(D4771)+ABS(D4770)))),"")))</f>
        <v>#NAME?</v>
      </c>
    </row>
    <row r="4772" spans="2:5" x14ac:dyDescent="0.25">
      <c r="B4772" t="e">
        <f t="shared" ca="1" si="149"/>
        <v>#NAME?</v>
      </c>
      <c r="C4772">
        <v>4729</v>
      </c>
      <c r="D4772" t="e">
        <f t="shared" ca="1" si="148"/>
        <v>#NAME?</v>
      </c>
      <c r="E4772" s="115" t="e">
        <f t="array" aca="1" ref="E4772" ca="1">IF(OR(C4771=0,AND(B4773=0,C4773=0)),"",IFERROR(INDEX($F$27:$F$36,MATCH(C4772,($F$27:$F$36)*($D$27:$D$36&lt;&gt;0),0)),IF(OR(AND(D4772=0,B4772=0,B4773&lt;&gt;0),AND(D4772*D4771&lt;0,B4772&lt;&gt;0)),IF(D4772=0,C4772,C4772*(1-ABS(D4772)/(ABS(D4772)+ABS(D4771)))+C4771*(1-ABS(D4771)/(ABS(D4772)+ABS(D4771)))),"")))</f>
        <v>#NAME?</v>
      </c>
    </row>
    <row r="4773" spans="2:5" x14ac:dyDescent="0.25">
      <c r="B4773" t="e">
        <f t="shared" ca="1" si="149"/>
        <v>#NAME?</v>
      </c>
      <c r="C4773">
        <v>4730</v>
      </c>
      <c r="D4773" t="e">
        <f t="shared" ca="1" si="148"/>
        <v>#NAME?</v>
      </c>
      <c r="E4773" s="115" t="e">
        <f t="array" aca="1" ref="E4773" ca="1">IF(OR(C4772=0,AND(B4774=0,C4774=0)),"",IFERROR(INDEX($F$27:$F$36,MATCH(C4773,($F$27:$F$36)*($D$27:$D$36&lt;&gt;0),0)),IF(OR(AND(D4773=0,B4773=0,B4774&lt;&gt;0),AND(D4773*D4772&lt;0,B4773&lt;&gt;0)),IF(D4773=0,C4773,C4773*(1-ABS(D4773)/(ABS(D4773)+ABS(D4772)))+C4772*(1-ABS(D4772)/(ABS(D4773)+ABS(D4772)))),"")))</f>
        <v>#NAME?</v>
      </c>
    </row>
    <row r="4774" spans="2:5" x14ac:dyDescent="0.25">
      <c r="B4774" t="e">
        <f t="shared" ca="1" si="149"/>
        <v>#NAME?</v>
      </c>
      <c r="C4774">
        <v>4731</v>
      </c>
      <c r="D4774" t="e">
        <f t="shared" ca="1" si="148"/>
        <v>#NAME?</v>
      </c>
      <c r="E4774" s="115" t="e">
        <f t="array" aca="1" ref="E4774" ca="1">IF(OR(C4773=0,AND(B4775=0,C4775=0)),"",IFERROR(INDEX($F$27:$F$36,MATCH(C4774,($F$27:$F$36)*($D$27:$D$36&lt;&gt;0),0)),IF(OR(AND(D4774=0,B4774=0,B4775&lt;&gt;0),AND(D4774*D4773&lt;0,B4774&lt;&gt;0)),IF(D4774=0,C4774,C4774*(1-ABS(D4774)/(ABS(D4774)+ABS(D4773)))+C4773*(1-ABS(D4773)/(ABS(D4774)+ABS(D4773)))),"")))</f>
        <v>#NAME?</v>
      </c>
    </row>
    <row r="4775" spans="2:5" x14ac:dyDescent="0.25">
      <c r="B4775" t="e">
        <f t="shared" ca="1" si="149"/>
        <v>#NAME?</v>
      </c>
      <c r="C4775">
        <v>4732</v>
      </c>
      <c r="D4775" t="e">
        <f t="shared" ca="1" si="148"/>
        <v>#NAME?</v>
      </c>
      <c r="E4775" s="115" t="e">
        <f t="array" aca="1" ref="E4775" ca="1">IF(OR(C4774=0,AND(B4776=0,C4776=0)),"",IFERROR(INDEX($F$27:$F$36,MATCH(C4775,($F$27:$F$36)*($D$27:$D$36&lt;&gt;0),0)),IF(OR(AND(D4775=0,B4775=0,B4776&lt;&gt;0),AND(D4775*D4774&lt;0,B4775&lt;&gt;0)),IF(D4775=0,C4775,C4775*(1-ABS(D4775)/(ABS(D4775)+ABS(D4774)))+C4774*(1-ABS(D4774)/(ABS(D4775)+ABS(D4774)))),"")))</f>
        <v>#NAME?</v>
      </c>
    </row>
    <row r="4776" spans="2:5" x14ac:dyDescent="0.25">
      <c r="B4776" t="e">
        <f t="shared" ca="1" si="149"/>
        <v>#NAME?</v>
      </c>
      <c r="C4776">
        <v>4733</v>
      </c>
      <c r="D4776" t="e">
        <f t="shared" ca="1" si="148"/>
        <v>#NAME?</v>
      </c>
      <c r="E4776" s="115" t="e">
        <f t="array" aca="1" ref="E4776" ca="1">IF(OR(C4775=0,AND(B4777=0,C4777=0)),"",IFERROR(INDEX($F$27:$F$36,MATCH(C4776,($F$27:$F$36)*($D$27:$D$36&lt;&gt;0),0)),IF(OR(AND(D4776=0,B4776=0,B4777&lt;&gt;0),AND(D4776*D4775&lt;0,B4776&lt;&gt;0)),IF(D4776=0,C4776,C4776*(1-ABS(D4776)/(ABS(D4776)+ABS(D4775)))+C4775*(1-ABS(D4775)/(ABS(D4776)+ABS(D4775)))),"")))</f>
        <v>#NAME?</v>
      </c>
    </row>
    <row r="4777" spans="2:5" x14ac:dyDescent="0.25">
      <c r="B4777" t="e">
        <f t="shared" ca="1" si="149"/>
        <v>#NAME?</v>
      </c>
      <c r="C4777">
        <v>4734</v>
      </c>
      <c r="D4777" t="e">
        <f t="shared" ca="1" si="148"/>
        <v>#NAME?</v>
      </c>
      <c r="E4777" s="115" t="e">
        <f t="array" aca="1" ref="E4777" ca="1">IF(OR(C4776=0,AND(B4778=0,C4778=0)),"",IFERROR(INDEX($F$27:$F$36,MATCH(C4777,($F$27:$F$36)*($D$27:$D$36&lt;&gt;0),0)),IF(OR(AND(D4777=0,B4777=0,B4778&lt;&gt;0),AND(D4777*D4776&lt;0,B4777&lt;&gt;0)),IF(D4777=0,C4777,C4777*(1-ABS(D4777)/(ABS(D4777)+ABS(D4776)))+C4776*(1-ABS(D4776)/(ABS(D4777)+ABS(D4776)))),"")))</f>
        <v>#NAME?</v>
      </c>
    </row>
    <row r="4778" spans="2:5" x14ac:dyDescent="0.25">
      <c r="B4778" t="e">
        <f t="shared" ca="1" si="149"/>
        <v>#NAME?</v>
      </c>
      <c r="C4778">
        <v>4735</v>
      </c>
      <c r="D4778" t="e">
        <f t="shared" ca="1" si="148"/>
        <v>#NAME?</v>
      </c>
      <c r="E4778" s="115" t="e">
        <f t="array" aca="1" ref="E4778" ca="1">IF(OR(C4777=0,AND(B4779=0,C4779=0)),"",IFERROR(INDEX($F$27:$F$36,MATCH(C4778,($F$27:$F$36)*($D$27:$D$36&lt;&gt;0),0)),IF(OR(AND(D4778=0,B4778=0,B4779&lt;&gt;0),AND(D4778*D4777&lt;0,B4778&lt;&gt;0)),IF(D4778=0,C4778,C4778*(1-ABS(D4778)/(ABS(D4778)+ABS(D4777)))+C4777*(1-ABS(D4777)/(ABS(D4778)+ABS(D4777)))),"")))</f>
        <v>#NAME?</v>
      </c>
    </row>
    <row r="4779" spans="2:5" x14ac:dyDescent="0.25">
      <c r="B4779" t="e">
        <f t="shared" ca="1" si="149"/>
        <v>#NAME?</v>
      </c>
      <c r="C4779">
        <v>4736</v>
      </c>
      <c r="D4779" t="e">
        <f t="shared" ref="D4779:D4842" ca="1" si="150">SUMPRODUCT(--($J$27:$J$37&gt;0),--($C4779-$F$27:$F$37&gt;0),($D$27:$D$37),($C4779-$F$27:$F$37))+SUMPRODUCT(--($J$27:$J$37&lt;0),--($F$27:$F$37-$C4779&gt;0),($D$27:$D$37),($F$27:$F$37-$C4779))-SUMPRODUCT($D$27:$D$37,$E$27:$E$37)</f>
        <v>#NAME?</v>
      </c>
      <c r="E4779" s="115" t="e">
        <f t="array" aca="1" ref="E4779" ca="1">IF(OR(C4778=0,AND(B4780=0,C4780=0)),"",IFERROR(INDEX($F$27:$F$36,MATCH(C4779,($F$27:$F$36)*($D$27:$D$36&lt;&gt;0),0)),IF(OR(AND(D4779=0,B4779=0,B4780&lt;&gt;0),AND(D4779*D4778&lt;0,B4779&lt;&gt;0)),IF(D4779=0,C4779,C4779*(1-ABS(D4779)/(ABS(D4779)+ABS(D4778)))+C4778*(1-ABS(D4778)/(ABS(D4779)+ABS(D4778)))),"")))</f>
        <v>#NAME?</v>
      </c>
    </row>
    <row r="4780" spans="2:5" x14ac:dyDescent="0.25">
      <c r="B4780" t="e">
        <f t="shared" ref="B4780:B4843" ca="1" si="151">ROUND((D4780-D4779)/(C4780-C4779),12)</f>
        <v>#NAME?</v>
      </c>
      <c r="C4780">
        <v>4737</v>
      </c>
      <c r="D4780" t="e">
        <f t="shared" ca="1" si="150"/>
        <v>#NAME?</v>
      </c>
      <c r="E4780" s="115" t="e">
        <f t="array" aca="1" ref="E4780" ca="1">IF(OR(C4779=0,AND(B4781=0,C4781=0)),"",IFERROR(INDEX($F$27:$F$36,MATCH(C4780,($F$27:$F$36)*($D$27:$D$36&lt;&gt;0),0)),IF(OR(AND(D4780=0,B4780=0,B4781&lt;&gt;0),AND(D4780*D4779&lt;0,B4780&lt;&gt;0)),IF(D4780=0,C4780,C4780*(1-ABS(D4780)/(ABS(D4780)+ABS(D4779)))+C4779*(1-ABS(D4779)/(ABS(D4780)+ABS(D4779)))),"")))</f>
        <v>#NAME?</v>
      </c>
    </row>
    <row r="4781" spans="2:5" x14ac:dyDescent="0.25">
      <c r="B4781" t="e">
        <f t="shared" ca="1" si="151"/>
        <v>#NAME?</v>
      </c>
      <c r="C4781">
        <v>4738</v>
      </c>
      <c r="D4781" t="e">
        <f t="shared" ca="1" si="150"/>
        <v>#NAME?</v>
      </c>
      <c r="E4781" s="115" t="e">
        <f t="array" aca="1" ref="E4781" ca="1">IF(OR(C4780=0,AND(B4782=0,C4782=0)),"",IFERROR(INDEX($F$27:$F$36,MATCH(C4781,($F$27:$F$36)*($D$27:$D$36&lt;&gt;0),0)),IF(OR(AND(D4781=0,B4781=0,B4782&lt;&gt;0),AND(D4781*D4780&lt;0,B4781&lt;&gt;0)),IF(D4781=0,C4781,C4781*(1-ABS(D4781)/(ABS(D4781)+ABS(D4780)))+C4780*(1-ABS(D4780)/(ABS(D4781)+ABS(D4780)))),"")))</f>
        <v>#NAME?</v>
      </c>
    </row>
    <row r="4782" spans="2:5" x14ac:dyDescent="0.25">
      <c r="B4782" t="e">
        <f t="shared" ca="1" si="151"/>
        <v>#NAME?</v>
      </c>
      <c r="C4782">
        <v>4739</v>
      </c>
      <c r="D4782" t="e">
        <f t="shared" ca="1" si="150"/>
        <v>#NAME?</v>
      </c>
      <c r="E4782" s="115" t="e">
        <f t="array" aca="1" ref="E4782" ca="1">IF(OR(C4781=0,AND(B4783=0,C4783=0)),"",IFERROR(INDEX($F$27:$F$36,MATCH(C4782,($F$27:$F$36)*($D$27:$D$36&lt;&gt;0),0)),IF(OR(AND(D4782=0,B4782=0,B4783&lt;&gt;0),AND(D4782*D4781&lt;0,B4782&lt;&gt;0)),IF(D4782=0,C4782,C4782*(1-ABS(D4782)/(ABS(D4782)+ABS(D4781)))+C4781*(1-ABS(D4781)/(ABS(D4782)+ABS(D4781)))),"")))</f>
        <v>#NAME?</v>
      </c>
    </row>
    <row r="4783" spans="2:5" x14ac:dyDescent="0.25">
      <c r="B4783" t="e">
        <f t="shared" ca="1" si="151"/>
        <v>#NAME?</v>
      </c>
      <c r="C4783">
        <v>4740</v>
      </c>
      <c r="D4783" t="e">
        <f t="shared" ca="1" si="150"/>
        <v>#NAME?</v>
      </c>
      <c r="E4783" s="115" t="e">
        <f t="array" aca="1" ref="E4783" ca="1">IF(OR(C4782=0,AND(B4784=0,C4784=0)),"",IFERROR(INDEX($F$27:$F$36,MATCH(C4783,($F$27:$F$36)*($D$27:$D$36&lt;&gt;0),0)),IF(OR(AND(D4783=0,B4783=0,B4784&lt;&gt;0),AND(D4783*D4782&lt;0,B4783&lt;&gt;0)),IF(D4783=0,C4783,C4783*(1-ABS(D4783)/(ABS(D4783)+ABS(D4782)))+C4782*(1-ABS(D4782)/(ABS(D4783)+ABS(D4782)))),"")))</f>
        <v>#NAME?</v>
      </c>
    </row>
    <row r="4784" spans="2:5" x14ac:dyDescent="0.25">
      <c r="B4784" t="e">
        <f t="shared" ca="1" si="151"/>
        <v>#NAME?</v>
      </c>
      <c r="C4784">
        <v>4741</v>
      </c>
      <c r="D4784" t="e">
        <f t="shared" ca="1" si="150"/>
        <v>#NAME?</v>
      </c>
      <c r="E4784" s="115" t="e">
        <f t="array" aca="1" ref="E4784" ca="1">IF(OR(C4783=0,AND(B4785=0,C4785=0)),"",IFERROR(INDEX($F$27:$F$36,MATCH(C4784,($F$27:$F$36)*($D$27:$D$36&lt;&gt;0),0)),IF(OR(AND(D4784=0,B4784=0,B4785&lt;&gt;0),AND(D4784*D4783&lt;0,B4784&lt;&gt;0)),IF(D4784=0,C4784,C4784*(1-ABS(D4784)/(ABS(D4784)+ABS(D4783)))+C4783*(1-ABS(D4783)/(ABS(D4784)+ABS(D4783)))),"")))</f>
        <v>#NAME?</v>
      </c>
    </row>
    <row r="4785" spans="2:5" x14ac:dyDescent="0.25">
      <c r="B4785" t="e">
        <f t="shared" ca="1" si="151"/>
        <v>#NAME?</v>
      </c>
      <c r="C4785">
        <v>4742</v>
      </c>
      <c r="D4785" t="e">
        <f t="shared" ca="1" si="150"/>
        <v>#NAME?</v>
      </c>
      <c r="E4785" s="115" t="e">
        <f t="array" aca="1" ref="E4785" ca="1">IF(OR(C4784=0,AND(B4786=0,C4786=0)),"",IFERROR(INDEX($F$27:$F$36,MATCH(C4785,($F$27:$F$36)*($D$27:$D$36&lt;&gt;0),0)),IF(OR(AND(D4785=0,B4785=0,B4786&lt;&gt;0),AND(D4785*D4784&lt;0,B4785&lt;&gt;0)),IF(D4785=0,C4785,C4785*(1-ABS(D4785)/(ABS(D4785)+ABS(D4784)))+C4784*(1-ABS(D4784)/(ABS(D4785)+ABS(D4784)))),"")))</f>
        <v>#NAME?</v>
      </c>
    </row>
    <row r="4786" spans="2:5" x14ac:dyDescent="0.25">
      <c r="B4786" t="e">
        <f t="shared" ca="1" si="151"/>
        <v>#NAME?</v>
      </c>
      <c r="C4786">
        <v>4743</v>
      </c>
      <c r="D4786" t="e">
        <f t="shared" ca="1" si="150"/>
        <v>#NAME?</v>
      </c>
      <c r="E4786" s="115" t="e">
        <f t="array" aca="1" ref="E4786" ca="1">IF(OR(C4785=0,AND(B4787=0,C4787=0)),"",IFERROR(INDEX($F$27:$F$36,MATCH(C4786,($F$27:$F$36)*($D$27:$D$36&lt;&gt;0),0)),IF(OR(AND(D4786=0,B4786=0,B4787&lt;&gt;0),AND(D4786*D4785&lt;0,B4786&lt;&gt;0)),IF(D4786=0,C4786,C4786*(1-ABS(D4786)/(ABS(D4786)+ABS(D4785)))+C4785*(1-ABS(D4785)/(ABS(D4786)+ABS(D4785)))),"")))</f>
        <v>#NAME?</v>
      </c>
    </row>
    <row r="4787" spans="2:5" x14ac:dyDescent="0.25">
      <c r="B4787" t="e">
        <f t="shared" ca="1" si="151"/>
        <v>#NAME?</v>
      </c>
      <c r="C4787">
        <v>4744</v>
      </c>
      <c r="D4787" t="e">
        <f t="shared" ca="1" si="150"/>
        <v>#NAME?</v>
      </c>
      <c r="E4787" s="115" t="e">
        <f t="array" aca="1" ref="E4787" ca="1">IF(OR(C4786=0,AND(B4788=0,C4788=0)),"",IFERROR(INDEX($F$27:$F$36,MATCH(C4787,($F$27:$F$36)*($D$27:$D$36&lt;&gt;0),0)),IF(OR(AND(D4787=0,B4787=0,B4788&lt;&gt;0),AND(D4787*D4786&lt;0,B4787&lt;&gt;0)),IF(D4787=0,C4787,C4787*(1-ABS(D4787)/(ABS(D4787)+ABS(D4786)))+C4786*(1-ABS(D4786)/(ABS(D4787)+ABS(D4786)))),"")))</f>
        <v>#NAME?</v>
      </c>
    </row>
    <row r="4788" spans="2:5" x14ac:dyDescent="0.25">
      <c r="B4788" t="e">
        <f t="shared" ca="1" si="151"/>
        <v>#NAME?</v>
      </c>
      <c r="C4788">
        <v>4745</v>
      </c>
      <c r="D4788" t="e">
        <f t="shared" ca="1" si="150"/>
        <v>#NAME?</v>
      </c>
      <c r="E4788" s="115" t="e">
        <f t="array" aca="1" ref="E4788" ca="1">IF(OR(C4787=0,AND(B4789=0,C4789=0)),"",IFERROR(INDEX($F$27:$F$36,MATCH(C4788,($F$27:$F$36)*($D$27:$D$36&lt;&gt;0),0)),IF(OR(AND(D4788=0,B4788=0,B4789&lt;&gt;0),AND(D4788*D4787&lt;0,B4788&lt;&gt;0)),IF(D4788=0,C4788,C4788*(1-ABS(D4788)/(ABS(D4788)+ABS(D4787)))+C4787*(1-ABS(D4787)/(ABS(D4788)+ABS(D4787)))),"")))</f>
        <v>#NAME?</v>
      </c>
    </row>
    <row r="4789" spans="2:5" x14ac:dyDescent="0.25">
      <c r="B4789" t="e">
        <f t="shared" ca="1" si="151"/>
        <v>#NAME?</v>
      </c>
      <c r="C4789">
        <v>4746</v>
      </c>
      <c r="D4789" t="e">
        <f t="shared" ca="1" si="150"/>
        <v>#NAME?</v>
      </c>
      <c r="E4789" s="115" t="e">
        <f t="array" aca="1" ref="E4789" ca="1">IF(OR(C4788=0,AND(B4790=0,C4790=0)),"",IFERROR(INDEX($F$27:$F$36,MATCH(C4789,($F$27:$F$36)*($D$27:$D$36&lt;&gt;0),0)),IF(OR(AND(D4789=0,B4789=0,B4790&lt;&gt;0),AND(D4789*D4788&lt;0,B4789&lt;&gt;0)),IF(D4789=0,C4789,C4789*(1-ABS(D4789)/(ABS(D4789)+ABS(D4788)))+C4788*(1-ABS(D4788)/(ABS(D4789)+ABS(D4788)))),"")))</f>
        <v>#NAME?</v>
      </c>
    </row>
    <row r="4790" spans="2:5" x14ac:dyDescent="0.25">
      <c r="B4790" t="e">
        <f t="shared" ca="1" si="151"/>
        <v>#NAME?</v>
      </c>
      <c r="C4790">
        <v>4747</v>
      </c>
      <c r="D4790" t="e">
        <f t="shared" ca="1" si="150"/>
        <v>#NAME?</v>
      </c>
      <c r="E4790" s="115" t="e">
        <f t="array" aca="1" ref="E4790" ca="1">IF(OR(C4789=0,AND(B4791=0,C4791=0)),"",IFERROR(INDEX($F$27:$F$36,MATCH(C4790,($F$27:$F$36)*($D$27:$D$36&lt;&gt;0),0)),IF(OR(AND(D4790=0,B4790=0,B4791&lt;&gt;0),AND(D4790*D4789&lt;0,B4790&lt;&gt;0)),IF(D4790=0,C4790,C4790*(1-ABS(D4790)/(ABS(D4790)+ABS(D4789)))+C4789*(1-ABS(D4789)/(ABS(D4790)+ABS(D4789)))),"")))</f>
        <v>#NAME?</v>
      </c>
    </row>
    <row r="4791" spans="2:5" x14ac:dyDescent="0.25">
      <c r="B4791" t="e">
        <f t="shared" ca="1" si="151"/>
        <v>#NAME?</v>
      </c>
      <c r="C4791">
        <v>4748</v>
      </c>
      <c r="D4791" t="e">
        <f t="shared" ca="1" si="150"/>
        <v>#NAME?</v>
      </c>
      <c r="E4791" s="115" t="e">
        <f t="array" aca="1" ref="E4791" ca="1">IF(OR(C4790=0,AND(B4792=0,C4792=0)),"",IFERROR(INDEX($F$27:$F$36,MATCH(C4791,($F$27:$F$36)*($D$27:$D$36&lt;&gt;0),0)),IF(OR(AND(D4791=0,B4791=0,B4792&lt;&gt;0),AND(D4791*D4790&lt;0,B4791&lt;&gt;0)),IF(D4791=0,C4791,C4791*(1-ABS(D4791)/(ABS(D4791)+ABS(D4790)))+C4790*(1-ABS(D4790)/(ABS(D4791)+ABS(D4790)))),"")))</f>
        <v>#NAME?</v>
      </c>
    </row>
    <row r="4792" spans="2:5" x14ac:dyDescent="0.25">
      <c r="B4792" t="e">
        <f t="shared" ca="1" si="151"/>
        <v>#NAME?</v>
      </c>
      <c r="C4792">
        <v>4749</v>
      </c>
      <c r="D4792" t="e">
        <f t="shared" ca="1" si="150"/>
        <v>#NAME?</v>
      </c>
      <c r="E4792" s="115" t="e">
        <f t="array" aca="1" ref="E4792" ca="1">IF(OR(C4791=0,AND(B4793=0,C4793=0)),"",IFERROR(INDEX($F$27:$F$36,MATCH(C4792,($F$27:$F$36)*($D$27:$D$36&lt;&gt;0),0)),IF(OR(AND(D4792=0,B4792=0,B4793&lt;&gt;0),AND(D4792*D4791&lt;0,B4792&lt;&gt;0)),IF(D4792=0,C4792,C4792*(1-ABS(D4792)/(ABS(D4792)+ABS(D4791)))+C4791*(1-ABS(D4791)/(ABS(D4792)+ABS(D4791)))),"")))</f>
        <v>#NAME?</v>
      </c>
    </row>
    <row r="4793" spans="2:5" x14ac:dyDescent="0.25">
      <c r="B4793" t="e">
        <f t="shared" ca="1" si="151"/>
        <v>#NAME?</v>
      </c>
      <c r="C4793">
        <v>4750</v>
      </c>
      <c r="D4793" t="e">
        <f t="shared" ca="1" si="150"/>
        <v>#NAME?</v>
      </c>
      <c r="E4793" s="115" t="e">
        <f t="array" aca="1" ref="E4793" ca="1">IF(OR(C4792=0,AND(B4794=0,C4794=0)),"",IFERROR(INDEX($F$27:$F$36,MATCH(C4793,($F$27:$F$36)*($D$27:$D$36&lt;&gt;0),0)),IF(OR(AND(D4793=0,B4793=0,B4794&lt;&gt;0),AND(D4793*D4792&lt;0,B4793&lt;&gt;0)),IF(D4793=0,C4793,C4793*(1-ABS(D4793)/(ABS(D4793)+ABS(D4792)))+C4792*(1-ABS(D4792)/(ABS(D4793)+ABS(D4792)))),"")))</f>
        <v>#NAME?</v>
      </c>
    </row>
    <row r="4794" spans="2:5" x14ac:dyDescent="0.25">
      <c r="B4794" t="e">
        <f t="shared" ca="1" si="151"/>
        <v>#NAME?</v>
      </c>
      <c r="C4794">
        <v>4751</v>
      </c>
      <c r="D4794" t="e">
        <f t="shared" ca="1" si="150"/>
        <v>#NAME?</v>
      </c>
      <c r="E4794" s="115" t="e">
        <f t="array" aca="1" ref="E4794" ca="1">IF(OR(C4793=0,AND(B4795=0,C4795=0)),"",IFERROR(INDEX($F$27:$F$36,MATCH(C4794,($F$27:$F$36)*($D$27:$D$36&lt;&gt;0),0)),IF(OR(AND(D4794=0,B4794=0,B4795&lt;&gt;0),AND(D4794*D4793&lt;0,B4794&lt;&gt;0)),IF(D4794=0,C4794,C4794*(1-ABS(D4794)/(ABS(D4794)+ABS(D4793)))+C4793*(1-ABS(D4793)/(ABS(D4794)+ABS(D4793)))),"")))</f>
        <v>#NAME?</v>
      </c>
    </row>
    <row r="4795" spans="2:5" x14ac:dyDescent="0.25">
      <c r="B4795" t="e">
        <f t="shared" ca="1" si="151"/>
        <v>#NAME?</v>
      </c>
      <c r="C4795">
        <v>4752</v>
      </c>
      <c r="D4795" t="e">
        <f t="shared" ca="1" si="150"/>
        <v>#NAME?</v>
      </c>
      <c r="E4795" s="115" t="e">
        <f t="array" aca="1" ref="E4795" ca="1">IF(OR(C4794=0,AND(B4796=0,C4796=0)),"",IFERROR(INDEX($F$27:$F$36,MATCH(C4795,($F$27:$F$36)*($D$27:$D$36&lt;&gt;0),0)),IF(OR(AND(D4795=0,B4795=0,B4796&lt;&gt;0),AND(D4795*D4794&lt;0,B4795&lt;&gt;0)),IF(D4795=0,C4795,C4795*(1-ABS(D4795)/(ABS(D4795)+ABS(D4794)))+C4794*(1-ABS(D4794)/(ABS(D4795)+ABS(D4794)))),"")))</f>
        <v>#NAME?</v>
      </c>
    </row>
    <row r="4796" spans="2:5" x14ac:dyDescent="0.25">
      <c r="B4796" t="e">
        <f t="shared" ca="1" si="151"/>
        <v>#NAME?</v>
      </c>
      <c r="C4796">
        <v>4753</v>
      </c>
      <c r="D4796" t="e">
        <f t="shared" ca="1" si="150"/>
        <v>#NAME?</v>
      </c>
      <c r="E4796" s="115" t="e">
        <f t="array" aca="1" ref="E4796" ca="1">IF(OR(C4795=0,AND(B4797=0,C4797=0)),"",IFERROR(INDEX($F$27:$F$36,MATCH(C4796,($F$27:$F$36)*($D$27:$D$36&lt;&gt;0),0)),IF(OR(AND(D4796=0,B4796=0,B4797&lt;&gt;0),AND(D4796*D4795&lt;0,B4796&lt;&gt;0)),IF(D4796=0,C4796,C4796*(1-ABS(D4796)/(ABS(D4796)+ABS(D4795)))+C4795*(1-ABS(D4795)/(ABS(D4796)+ABS(D4795)))),"")))</f>
        <v>#NAME?</v>
      </c>
    </row>
    <row r="4797" spans="2:5" x14ac:dyDescent="0.25">
      <c r="B4797" t="e">
        <f t="shared" ca="1" si="151"/>
        <v>#NAME?</v>
      </c>
      <c r="C4797">
        <v>4754</v>
      </c>
      <c r="D4797" t="e">
        <f t="shared" ca="1" si="150"/>
        <v>#NAME?</v>
      </c>
      <c r="E4797" s="115" t="e">
        <f t="array" aca="1" ref="E4797" ca="1">IF(OR(C4796=0,AND(B4798=0,C4798=0)),"",IFERROR(INDEX($F$27:$F$36,MATCH(C4797,($F$27:$F$36)*($D$27:$D$36&lt;&gt;0),0)),IF(OR(AND(D4797=0,B4797=0,B4798&lt;&gt;0),AND(D4797*D4796&lt;0,B4797&lt;&gt;0)),IF(D4797=0,C4797,C4797*(1-ABS(D4797)/(ABS(D4797)+ABS(D4796)))+C4796*(1-ABS(D4796)/(ABS(D4797)+ABS(D4796)))),"")))</f>
        <v>#NAME?</v>
      </c>
    </row>
    <row r="4798" spans="2:5" x14ac:dyDescent="0.25">
      <c r="B4798" t="e">
        <f t="shared" ca="1" si="151"/>
        <v>#NAME?</v>
      </c>
      <c r="C4798">
        <v>4755</v>
      </c>
      <c r="D4798" t="e">
        <f t="shared" ca="1" si="150"/>
        <v>#NAME?</v>
      </c>
      <c r="E4798" s="115" t="e">
        <f t="array" aca="1" ref="E4798" ca="1">IF(OR(C4797=0,AND(B4799=0,C4799=0)),"",IFERROR(INDEX($F$27:$F$36,MATCH(C4798,($F$27:$F$36)*($D$27:$D$36&lt;&gt;0),0)),IF(OR(AND(D4798=0,B4798=0,B4799&lt;&gt;0),AND(D4798*D4797&lt;0,B4798&lt;&gt;0)),IF(D4798=0,C4798,C4798*(1-ABS(D4798)/(ABS(D4798)+ABS(D4797)))+C4797*(1-ABS(D4797)/(ABS(D4798)+ABS(D4797)))),"")))</f>
        <v>#NAME?</v>
      </c>
    </row>
    <row r="4799" spans="2:5" x14ac:dyDescent="0.25">
      <c r="B4799" t="e">
        <f t="shared" ca="1" si="151"/>
        <v>#NAME?</v>
      </c>
      <c r="C4799">
        <v>4756</v>
      </c>
      <c r="D4799" t="e">
        <f t="shared" ca="1" si="150"/>
        <v>#NAME?</v>
      </c>
      <c r="E4799" s="115" t="e">
        <f t="array" aca="1" ref="E4799" ca="1">IF(OR(C4798=0,AND(B4800=0,C4800=0)),"",IFERROR(INDEX($F$27:$F$36,MATCH(C4799,($F$27:$F$36)*($D$27:$D$36&lt;&gt;0),0)),IF(OR(AND(D4799=0,B4799=0,B4800&lt;&gt;0),AND(D4799*D4798&lt;0,B4799&lt;&gt;0)),IF(D4799=0,C4799,C4799*(1-ABS(D4799)/(ABS(D4799)+ABS(D4798)))+C4798*(1-ABS(D4798)/(ABS(D4799)+ABS(D4798)))),"")))</f>
        <v>#NAME?</v>
      </c>
    </row>
    <row r="4800" spans="2:5" x14ac:dyDescent="0.25">
      <c r="B4800" t="e">
        <f t="shared" ca="1" si="151"/>
        <v>#NAME?</v>
      </c>
      <c r="C4800">
        <v>4757</v>
      </c>
      <c r="D4800" t="e">
        <f t="shared" ca="1" si="150"/>
        <v>#NAME?</v>
      </c>
      <c r="E4800" s="115" t="e">
        <f t="array" aca="1" ref="E4800" ca="1">IF(OR(C4799=0,AND(B4801=0,C4801=0)),"",IFERROR(INDEX($F$27:$F$36,MATCH(C4800,($F$27:$F$36)*($D$27:$D$36&lt;&gt;0),0)),IF(OR(AND(D4800=0,B4800=0,B4801&lt;&gt;0),AND(D4800*D4799&lt;0,B4800&lt;&gt;0)),IF(D4800=0,C4800,C4800*(1-ABS(D4800)/(ABS(D4800)+ABS(D4799)))+C4799*(1-ABS(D4799)/(ABS(D4800)+ABS(D4799)))),"")))</f>
        <v>#NAME?</v>
      </c>
    </row>
    <row r="4801" spans="2:5" x14ac:dyDescent="0.25">
      <c r="B4801" t="e">
        <f t="shared" ca="1" si="151"/>
        <v>#NAME?</v>
      </c>
      <c r="C4801">
        <v>4758</v>
      </c>
      <c r="D4801" t="e">
        <f t="shared" ca="1" si="150"/>
        <v>#NAME?</v>
      </c>
      <c r="E4801" s="115" t="e">
        <f t="array" aca="1" ref="E4801" ca="1">IF(OR(C4800=0,AND(B4802=0,C4802=0)),"",IFERROR(INDEX($F$27:$F$36,MATCH(C4801,($F$27:$F$36)*($D$27:$D$36&lt;&gt;0),0)),IF(OR(AND(D4801=0,B4801=0,B4802&lt;&gt;0),AND(D4801*D4800&lt;0,B4801&lt;&gt;0)),IF(D4801=0,C4801,C4801*(1-ABS(D4801)/(ABS(D4801)+ABS(D4800)))+C4800*(1-ABS(D4800)/(ABS(D4801)+ABS(D4800)))),"")))</f>
        <v>#NAME?</v>
      </c>
    </row>
    <row r="4802" spans="2:5" x14ac:dyDescent="0.25">
      <c r="B4802" t="e">
        <f t="shared" ca="1" si="151"/>
        <v>#NAME?</v>
      </c>
      <c r="C4802">
        <v>4759</v>
      </c>
      <c r="D4802" t="e">
        <f t="shared" ca="1" si="150"/>
        <v>#NAME?</v>
      </c>
      <c r="E4802" s="115" t="e">
        <f t="array" aca="1" ref="E4802" ca="1">IF(OR(C4801=0,AND(B4803=0,C4803=0)),"",IFERROR(INDEX($F$27:$F$36,MATCH(C4802,($F$27:$F$36)*($D$27:$D$36&lt;&gt;0),0)),IF(OR(AND(D4802=0,B4802=0,B4803&lt;&gt;0),AND(D4802*D4801&lt;0,B4802&lt;&gt;0)),IF(D4802=0,C4802,C4802*(1-ABS(D4802)/(ABS(D4802)+ABS(D4801)))+C4801*(1-ABS(D4801)/(ABS(D4802)+ABS(D4801)))),"")))</f>
        <v>#NAME?</v>
      </c>
    </row>
    <row r="4803" spans="2:5" x14ac:dyDescent="0.25">
      <c r="B4803" t="e">
        <f t="shared" ca="1" si="151"/>
        <v>#NAME?</v>
      </c>
      <c r="C4803">
        <v>4760</v>
      </c>
      <c r="D4803" t="e">
        <f t="shared" ca="1" si="150"/>
        <v>#NAME?</v>
      </c>
      <c r="E4803" s="115" t="e">
        <f t="array" aca="1" ref="E4803" ca="1">IF(OR(C4802=0,AND(B4804=0,C4804=0)),"",IFERROR(INDEX($F$27:$F$36,MATCH(C4803,($F$27:$F$36)*($D$27:$D$36&lt;&gt;0),0)),IF(OR(AND(D4803=0,B4803=0,B4804&lt;&gt;0),AND(D4803*D4802&lt;0,B4803&lt;&gt;0)),IF(D4803=0,C4803,C4803*(1-ABS(D4803)/(ABS(D4803)+ABS(D4802)))+C4802*(1-ABS(D4802)/(ABS(D4803)+ABS(D4802)))),"")))</f>
        <v>#NAME?</v>
      </c>
    </row>
    <row r="4804" spans="2:5" x14ac:dyDescent="0.25">
      <c r="B4804" t="e">
        <f t="shared" ca="1" si="151"/>
        <v>#NAME?</v>
      </c>
      <c r="C4804">
        <v>4761</v>
      </c>
      <c r="D4804" t="e">
        <f t="shared" ca="1" si="150"/>
        <v>#NAME?</v>
      </c>
      <c r="E4804" s="115" t="e">
        <f t="array" aca="1" ref="E4804" ca="1">IF(OR(C4803=0,AND(B4805=0,C4805=0)),"",IFERROR(INDEX($F$27:$F$36,MATCH(C4804,($F$27:$F$36)*($D$27:$D$36&lt;&gt;0),0)),IF(OR(AND(D4804=0,B4804=0,B4805&lt;&gt;0),AND(D4804*D4803&lt;0,B4804&lt;&gt;0)),IF(D4804=0,C4804,C4804*(1-ABS(D4804)/(ABS(D4804)+ABS(D4803)))+C4803*(1-ABS(D4803)/(ABS(D4804)+ABS(D4803)))),"")))</f>
        <v>#NAME?</v>
      </c>
    </row>
    <row r="4805" spans="2:5" x14ac:dyDescent="0.25">
      <c r="B4805" t="e">
        <f t="shared" ca="1" si="151"/>
        <v>#NAME?</v>
      </c>
      <c r="C4805">
        <v>4762</v>
      </c>
      <c r="D4805" t="e">
        <f t="shared" ca="1" si="150"/>
        <v>#NAME?</v>
      </c>
      <c r="E4805" s="115" t="e">
        <f t="array" aca="1" ref="E4805" ca="1">IF(OR(C4804=0,AND(B4806=0,C4806=0)),"",IFERROR(INDEX($F$27:$F$36,MATCH(C4805,($F$27:$F$36)*($D$27:$D$36&lt;&gt;0),0)),IF(OR(AND(D4805=0,B4805=0,B4806&lt;&gt;0),AND(D4805*D4804&lt;0,B4805&lt;&gt;0)),IF(D4805=0,C4805,C4805*(1-ABS(D4805)/(ABS(D4805)+ABS(D4804)))+C4804*(1-ABS(D4804)/(ABS(D4805)+ABS(D4804)))),"")))</f>
        <v>#NAME?</v>
      </c>
    </row>
    <row r="4806" spans="2:5" x14ac:dyDescent="0.25">
      <c r="B4806" t="e">
        <f t="shared" ca="1" si="151"/>
        <v>#NAME?</v>
      </c>
      <c r="C4806">
        <v>4763</v>
      </c>
      <c r="D4806" t="e">
        <f t="shared" ca="1" si="150"/>
        <v>#NAME?</v>
      </c>
      <c r="E4806" s="115" t="e">
        <f t="array" aca="1" ref="E4806" ca="1">IF(OR(C4805=0,AND(B4807=0,C4807=0)),"",IFERROR(INDEX($F$27:$F$36,MATCH(C4806,($F$27:$F$36)*($D$27:$D$36&lt;&gt;0),0)),IF(OR(AND(D4806=0,B4806=0,B4807&lt;&gt;0),AND(D4806*D4805&lt;0,B4806&lt;&gt;0)),IF(D4806=0,C4806,C4806*(1-ABS(D4806)/(ABS(D4806)+ABS(D4805)))+C4805*(1-ABS(D4805)/(ABS(D4806)+ABS(D4805)))),"")))</f>
        <v>#NAME?</v>
      </c>
    </row>
    <row r="4807" spans="2:5" x14ac:dyDescent="0.25">
      <c r="B4807" t="e">
        <f t="shared" ca="1" si="151"/>
        <v>#NAME?</v>
      </c>
      <c r="C4807">
        <v>4764</v>
      </c>
      <c r="D4807" t="e">
        <f t="shared" ca="1" si="150"/>
        <v>#NAME?</v>
      </c>
      <c r="E4807" s="115" t="e">
        <f t="array" aca="1" ref="E4807" ca="1">IF(OR(C4806=0,AND(B4808=0,C4808=0)),"",IFERROR(INDEX($F$27:$F$36,MATCH(C4807,($F$27:$F$36)*($D$27:$D$36&lt;&gt;0),0)),IF(OR(AND(D4807=0,B4807=0,B4808&lt;&gt;0),AND(D4807*D4806&lt;0,B4807&lt;&gt;0)),IF(D4807=0,C4807,C4807*(1-ABS(D4807)/(ABS(D4807)+ABS(D4806)))+C4806*(1-ABS(D4806)/(ABS(D4807)+ABS(D4806)))),"")))</f>
        <v>#NAME?</v>
      </c>
    </row>
    <row r="4808" spans="2:5" x14ac:dyDescent="0.25">
      <c r="B4808" t="e">
        <f t="shared" ca="1" si="151"/>
        <v>#NAME?</v>
      </c>
      <c r="C4808">
        <v>4765</v>
      </c>
      <c r="D4808" t="e">
        <f t="shared" ca="1" si="150"/>
        <v>#NAME?</v>
      </c>
      <c r="E4808" s="115" t="e">
        <f t="array" aca="1" ref="E4808" ca="1">IF(OR(C4807=0,AND(B4809=0,C4809=0)),"",IFERROR(INDEX($F$27:$F$36,MATCH(C4808,($F$27:$F$36)*($D$27:$D$36&lt;&gt;0),0)),IF(OR(AND(D4808=0,B4808=0,B4809&lt;&gt;0),AND(D4808*D4807&lt;0,B4808&lt;&gt;0)),IF(D4808=0,C4808,C4808*(1-ABS(D4808)/(ABS(D4808)+ABS(D4807)))+C4807*(1-ABS(D4807)/(ABS(D4808)+ABS(D4807)))),"")))</f>
        <v>#NAME?</v>
      </c>
    </row>
    <row r="4809" spans="2:5" x14ac:dyDescent="0.25">
      <c r="B4809" t="e">
        <f t="shared" ca="1" si="151"/>
        <v>#NAME?</v>
      </c>
      <c r="C4809">
        <v>4766</v>
      </c>
      <c r="D4809" t="e">
        <f t="shared" ca="1" si="150"/>
        <v>#NAME?</v>
      </c>
      <c r="E4809" s="115" t="e">
        <f t="array" aca="1" ref="E4809" ca="1">IF(OR(C4808=0,AND(B4810=0,C4810=0)),"",IFERROR(INDEX($F$27:$F$36,MATCH(C4809,($F$27:$F$36)*($D$27:$D$36&lt;&gt;0),0)),IF(OR(AND(D4809=0,B4809=0,B4810&lt;&gt;0),AND(D4809*D4808&lt;0,B4809&lt;&gt;0)),IF(D4809=0,C4809,C4809*(1-ABS(D4809)/(ABS(D4809)+ABS(D4808)))+C4808*(1-ABS(D4808)/(ABS(D4809)+ABS(D4808)))),"")))</f>
        <v>#NAME?</v>
      </c>
    </row>
    <row r="4810" spans="2:5" x14ac:dyDescent="0.25">
      <c r="B4810" t="e">
        <f t="shared" ca="1" si="151"/>
        <v>#NAME?</v>
      </c>
      <c r="C4810">
        <v>4767</v>
      </c>
      <c r="D4810" t="e">
        <f t="shared" ca="1" si="150"/>
        <v>#NAME?</v>
      </c>
      <c r="E4810" s="115" t="e">
        <f t="array" aca="1" ref="E4810" ca="1">IF(OR(C4809=0,AND(B4811=0,C4811=0)),"",IFERROR(INDEX($F$27:$F$36,MATCH(C4810,($F$27:$F$36)*($D$27:$D$36&lt;&gt;0),0)),IF(OR(AND(D4810=0,B4810=0,B4811&lt;&gt;0),AND(D4810*D4809&lt;0,B4810&lt;&gt;0)),IF(D4810=0,C4810,C4810*(1-ABS(D4810)/(ABS(D4810)+ABS(D4809)))+C4809*(1-ABS(D4809)/(ABS(D4810)+ABS(D4809)))),"")))</f>
        <v>#NAME?</v>
      </c>
    </row>
    <row r="4811" spans="2:5" x14ac:dyDescent="0.25">
      <c r="B4811" t="e">
        <f t="shared" ca="1" si="151"/>
        <v>#NAME?</v>
      </c>
      <c r="C4811">
        <v>4768</v>
      </c>
      <c r="D4811" t="e">
        <f t="shared" ca="1" si="150"/>
        <v>#NAME?</v>
      </c>
      <c r="E4811" s="115" t="e">
        <f t="array" aca="1" ref="E4811" ca="1">IF(OR(C4810=0,AND(B4812=0,C4812=0)),"",IFERROR(INDEX($F$27:$F$36,MATCH(C4811,($F$27:$F$36)*($D$27:$D$36&lt;&gt;0),0)),IF(OR(AND(D4811=0,B4811=0,B4812&lt;&gt;0),AND(D4811*D4810&lt;0,B4811&lt;&gt;0)),IF(D4811=0,C4811,C4811*(1-ABS(D4811)/(ABS(D4811)+ABS(D4810)))+C4810*(1-ABS(D4810)/(ABS(D4811)+ABS(D4810)))),"")))</f>
        <v>#NAME?</v>
      </c>
    </row>
    <row r="4812" spans="2:5" x14ac:dyDescent="0.25">
      <c r="B4812" t="e">
        <f t="shared" ca="1" si="151"/>
        <v>#NAME?</v>
      </c>
      <c r="C4812">
        <v>4769</v>
      </c>
      <c r="D4812" t="e">
        <f t="shared" ca="1" si="150"/>
        <v>#NAME?</v>
      </c>
      <c r="E4812" s="115" t="e">
        <f t="array" aca="1" ref="E4812" ca="1">IF(OR(C4811=0,AND(B4813=0,C4813=0)),"",IFERROR(INDEX($F$27:$F$36,MATCH(C4812,($F$27:$F$36)*($D$27:$D$36&lt;&gt;0),0)),IF(OR(AND(D4812=0,B4812=0,B4813&lt;&gt;0),AND(D4812*D4811&lt;0,B4812&lt;&gt;0)),IF(D4812=0,C4812,C4812*(1-ABS(D4812)/(ABS(D4812)+ABS(D4811)))+C4811*(1-ABS(D4811)/(ABS(D4812)+ABS(D4811)))),"")))</f>
        <v>#NAME?</v>
      </c>
    </row>
    <row r="4813" spans="2:5" x14ac:dyDescent="0.25">
      <c r="B4813" t="e">
        <f t="shared" ca="1" si="151"/>
        <v>#NAME?</v>
      </c>
      <c r="C4813">
        <v>4770</v>
      </c>
      <c r="D4813" t="e">
        <f t="shared" ca="1" si="150"/>
        <v>#NAME?</v>
      </c>
      <c r="E4813" s="115" t="e">
        <f t="array" aca="1" ref="E4813" ca="1">IF(OR(C4812=0,AND(B4814=0,C4814=0)),"",IFERROR(INDEX($F$27:$F$36,MATCH(C4813,($F$27:$F$36)*($D$27:$D$36&lt;&gt;0),0)),IF(OR(AND(D4813=0,B4813=0,B4814&lt;&gt;0),AND(D4813*D4812&lt;0,B4813&lt;&gt;0)),IF(D4813=0,C4813,C4813*(1-ABS(D4813)/(ABS(D4813)+ABS(D4812)))+C4812*(1-ABS(D4812)/(ABS(D4813)+ABS(D4812)))),"")))</f>
        <v>#NAME?</v>
      </c>
    </row>
    <row r="4814" spans="2:5" x14ac:dyDescent="0.25">
      <c r="B4814" t="e">
        <f t="shared" ca="1" si="151"/>
        <v>#NAME?</v>
      </c>
      <c r="C4814">
        <v>4771</v>
      </c>
      <c r="D4814" t="e">
        <f t="shared" ca="1" si="150"/>
        <v>#NAME?</v>
      </c>
      <c r="E4814" s="115" t="e">
        <f t="array" aca="1" ref="E4814" ca="1">IF(OR(C4813=0,AND(B4815=0,C4815=0)),"",IFERROR(INDEX($F$27:$F$36,MATCH(C4814,($F$27:$F$36)*($D$27:$D$36&lt;&gt;0),0)),IF(OR(AND(D4814=0,B4814=0,B4815&lt;&gt;0),AND(D4814*D4813&lt;0,B4814&lt;&gt;0)),IF(D4814=0,C4814,C4814*(1-ABS(D4814)/(ABS(D4814)+ABS(D4813)))+C4813*(1-ABS(D4813)/(ABS(D4814)+ABS(D4813)))),"")))</f>
        <v>#NAME?</v>
      </c>
    </row>
    <row r="4815" spans="2:5" x14ac:dyDescent="0.25">
      <c r="B4815" t="e">
        <f t="shared" ca="1" si="151"/>
        <v>#NAME?</v>
      </c>
      <c r="C4815">
        <v>4772</v>
      </c>
      <c r="D4815" t="e">
        <f t="shared" ca="1" si="150"/>
        <v>#NAME?</v>
      </c>
      <c r="E4815" s="115" t="e">
        <f t="array" aca="1" ref="E4815" ca="1">IF(OR(C4814=0,AND(B4816=0,C4816=0)),"",IFERROR(INDEX($F$27:$F$36,MATCH(C4815,($F$27:$F$36)*($D$27:$D$36&lt;&gt;0),0)),IF(OR(AND(D4815=0,B4815=0,B4816&lt;&gt;0),AND(D4815*D4814&lt;0,B4815&lt;&gt;0)),IF(D4815=0,C4815,C4815*(1-ABS(D4815)/(ABS(D4815)+ABS(D4814)))+C4814*(1-ABS(D4814)/(ABS(D4815)+ABS(D4814)))),"")))</f>
        <v>#NAME?</v>
      </c>
    </row>
    <row r="4816" spans="2:5" x14ac:dyDescent="0.25">
      <c r="B4816" t="e">
        <f t="shared" ca="1" si="151"/>
        <v>#NAME?</v>
      </c>
      <c r="C4816">
        <v>4773</v>
      </c>
      <c r="D4816" t="e">
        <f t="shared" ca="1" si="150"/>
        <v>#NAME?</v>
      </c>
      <c r="E4816" s="115" t="e">
        <f t="array" aca="1" ref="E4816" ca="1">IF(OR(C4815=0,AND(B4817=0,C4817=0)),"",IFERROR(INDEX($F$27:$F$36,MATCH(C4816,($F$27:$F$36)*($D$27:$D$36&lt;&gt;0),0)),IF(OR(AND(D4816=0,B4816=0,B4817&lt;&gt;0),AND(D4816*D4815&lt;0,B4816&lt;&gt;0)),IF(D4816=0,C4816,C4816*(1-ABS(D4816)/(ABS(D4816)+ABS(D4815)))+C4815*(1-ABS(D4815)/(ABS(D4816)+ABS(D4815)))),"")))</f>
        <v>#NAME?</v>
      </c>
    </row>
    <row r="4817" spans="2:5" x14ac:dyDescent="0.25">
      <c r="B4817" t="e">
        <f t="shared" ca="1" si="151"/>
        <v>#NAME?</v>
      </c>
      <c r="C4817">
        <v>4774</v>
      </c>
      <c r="D4817" t="e">
        <f t="shared" ca="1" si="150"/>
        <v>#NAME?</v>
      </c>
      <c r="E4817" s="115" t="e">
        <f t="array" aca="1" ref="E4817" ca="1">IF(OR(C4816=0,AND(B4818=0,C4818=0)),"",IFERROR(INDEX($F$27:$F$36,MATCH(C4817,($F$27:$F$36)*($D$27:$D$36&lt;&gt;0),0)),IF(OR(AND(D4817=0,B4817=0,B4818&lt;&gt;0),AND(D4817*D4816&lt;0,B4817&lt;&gt;0)),IF(D4817=0,C4817,C4817*(1-ABS(D4817)/(ABS(D4817)+ABS(D4816)))+C4816*(1-ABS(D4816)/(ABS(D4817)+ABS(D4816)))),"")))</f>
        <v>#NAME?</v>
      </c>
    </row>
    <row r="4818" spans="2:5" x14ac:dyDescent="0.25">
      <c r="B4818" t="e">
        <f t="shared" ca="1" si="151"/>
        <v>#NAME?</v>
      </c>
      <c r="C4818">
        <v>4775</v>
      </c>
      <c r="D4818" t="e">
        <f t="shared" ca="1" si="150"/>
        <v>#NAME?</v>
      </c>
      <c r="E4818" s="115" t="e">
        <f t="array" aca="1" ref="E4818" ca="1">IF(OR(C4817=0,AND(B4819=0,C4819=0)),"",IFERROR(INDEX($F$27:$F$36,MATCH(C4818,($F$27:$F$36)*($D$27:$D$36&lt;&gt;0),0)),IF(OR(AND(D4818=0,B4818=0,B4819&lt;&gt;0),AND(D4818*D4817&lt;0,B4818&lt;&gt;0)),IF(D4818=0,C4818,C4818*(1-ABS(D4818)/(ABS(D4818)+ABS(D4817)))+C4817*(1-ABS(D4817)/(ABS(D4818)+ABS(D4817)))),"")))</f>
        <v>#NAME?</v>
      </c>
    </row>
    <row r="4819" spans="2:5" x14ac:dyDescent="0.25">
      <c r="B4819" t="e">
        <f t="shared" ca="1" si="151"/>
        <v>#NAME?</v>
      </c>
      <c r="C4819">
        <v>4776</v>
      </c>
      <c r="D4819" t="e">
        <f t="shared" ca="1" si="150"/>
        <v>#NAME?</v>
      </c>
      <c r="E4819" s="115" t="e">
        <f t="array" aca="1" ref="E4819" ca="1">IF(OR(C4818=0,AND(B4820=0,C4820=0)),"",IFERROR(INDEX($F$27:$F$36,MATCH(C4819,($F$27:$F$36)*($D$27:$D$36&lt;&gt;0),0)),IF(OR(AND(D4819=0,B4819=0,B4820&lt;&gt;0),AND(D4819*D4818&lt;0,B4819&lt;&gt;0)),IF(D4819=0,C4819,C4819*(1-ABS(D4819)/(ABS(D4819)+ABS(D4818)))+C4818*(1-ABS(D4818)/(ABS(D4819)+ABS(D4818)))),"")))</f>
        <v>#NAME?</v>
      </c>
    </row>
    <row r="4820" spans="2:5" x14ac:dyDescent="0.25">
      <c r="B4820" t="e">
        <f t="shared" ca="1" si="151"/>
        <v>#NAME?</v>
      </c>
      <c r="C4820">
        <v>4777</v>
      </c>
      <c r="D4820" t="e">
        <f t="shared" ca="1" si="150"/>
        <v>#NAME?</v>
      </c>
      <c r="E4820" s="115" t="e">
        <f t="array" aca="1" ref="E4820" ca="1">IF(OR(C4819=0,AND(B4821=0,C4821=0)),"",IFERROR(INDEX($F$27:$F$36,MATCH(C4820,($F$27:$F$36)*($D$27:$D$36&lt;&gt;0),0)),IF(OR(AND(D4820=0,B4820=0,B4821&lt;&gt;0),AND(D4820*D4819&lt;0,B4820&lt;&gt;0)),IF(D4820=0,C4820,C4820*(1-ABS(D4820)/(ABS(D4820)+ABS(D4819)))+C4819*(1-ABS(D4819)/(ABS(D4820)+ABS(D4819)))),"")))</f>
        <v>#NAME?</v>
      </c>
    </row>
    <row r="4821" spans="2:5" x14ac:dyDescent="0.25">
      <c r="B4821" t="e">
        <f t="shared" ca="1" si="151"/>
        <v>#NAME?</v>
      </c>
      <c r="C4821">
        <v>4778</v>
      </c>
      <c r="D4821" t="e">
        <f t="shared" ca="1" si="150"/>
        <v>#NAME?</v>
      </c>
      <c r="E4821" s="115" t="e">
        <f t="array" aca="1" ref="E4821" ca="1">IF(OR(C4820=0,AND(B4822=0,C4822=0)),"",IFERROR(INDEX($F$27:$F$36,MATCH(C4821,($F$27:$F$36)*($D$27:$D$36&lt;&gt;0),0)),IF(OR(AND(D4821=0,B4821=0,B4822&lt;&gt;0),AND(D4821*D4820&lt;0,B4821&lt;&gt;0)),IF(D4821=0,C4821,C4821*(1-ABS(D4821)/(ABS(D4821)+ABS(D4820)))+C4820*(1-ABS(D4820)/(ABS(D4821)+ABS(D4820)))),"")))</f>
        <v>#NAME?</v>
      </c>
    </row>
    <row r="4822" spans="2:5" x14ac:dyDescent="0.25">
      <c r="B4822" t="e">
        <f t="shared" ca="1" si="151"/>
        <v>#NAME?</v>
      </c>
      <c r="C4822">
        <v>4779</v>
      </c>
      <c r="D4822" t="e">
        <f t="shared" ca="1" si="150"/>
        <v>#NAME?</v>
      </c>
      <c r="E4822" s="115" t="e">
        <f t="array" aca="1" ref="E4822" ca="1">IF(OR(C4821=0,AND(B4823=0,C4823=0)),"",IFERROR(INDEX($F$27:$F$36,MATCH(C4822,($F$27:$F$36)*($D$27:$D$36&lt;&gt;0),0)),IF(OR(AND(D4822=0,B4822=0,B4823&lt;&gt;0),AND(D4822*D4821&lt;0,B4822&lt;&gt;0)),IF(D4822=0,C4822,C4822*(1-ABS(D4822)/(ABS(D4822)+ABS(D4821)))+C4821*(1-ABS(D4821)/(ABS(D4822)+ABS(D4821)))),"")))</f>
        <v>#NAME?</v>
      </c>
    </row>
    <row r="4823" spans="2:5" x14ac:dyDescent="0.25">
      <c r="B4823" t="e">
        <f t="shared" ca="1" si="151"/>
        <v>#NAME?</v>
      </c>
      <c r="C4823">
        <v>4780</v>
      </c>
      <c r="D4823" t="e">
        <f t="shared" ca="1" si="150"/>
        <v>#NAME?</v>
      </c>
      <c r="E4823" s="115" t="e">
        <f t="array" aca="1" ref="E4823" ca="1">IF(OR(C4822=0,AND(B4824=0,C4824=0)),"",IFERROR(INDEX($F$27:$F$36,MATCH(C4823,($F$27:$F$36)*($D$27:$D$36&lt;&gt;0),0)),IF(OR(AND(D4823=0,B4823=0,B4824&lt;&gt;0),AND(D4823*D4822&lt;0,B4823&lt;&gt;0)),IF(D4823=0,C4823,C4823*(1-ABS(D4823)/(ABS(D4823)+ABS(D4822)))+C4822*(1-ABS(D4822)/(ABS(D4823)+ABS(D4822)))),"")))</f>
        <v>#NAME?</v>
      </c>
    </row>
    <row r="4824" spans="2:5" x14ac:dyDescent="0.25">
      <c r="B4824" t="e">
        <f t="shared" ca="1" si="151"/>
        <v>#NAME?</v>
      </c>
      <c r="C4824">
        <v>4781</v>
      </c>
      <c r="D4824" t="e">
        <f t="shared" ca="1" si="150"/>
        <v>#NAME?</v>
      </c>
      <c r="E4824" s="115" t="e">
        <f t="array" aca="1" ref="E4824" ca="1">IF(OR(C4823=0,AND(B4825=0,C4825=0)),"",IFERROR(INDEX($F$27:$F$36,MATCH(C4824,($F$27:$F$36)*($D$27:$D$36&lt;&gt;0),0)),IF(OR(AND(D4824=0,B4824=0,B4825&lt;&gt;0),AND(D4824*D4823&lt;0,B4824&lt;&gt;0)),IF(D4824=0,C4824,C4824*(1-ABS(D4824)/(ABS(D4824)+ABS(D4823)))+C4823*(1-ABS(D4823)/(ABS(D4824)+ABS(D4823)))),"")))</f>
        <v>#NAME?</v>
      </c>
    </row>
    <row r="4825" spans="2:5" x14ac:dyDescent="0.25">
      <c r="B4825" t="e">
        <f t="shared" ca="1" si="151"/>
        <v>#NAME?</v>
      </c>
      <c r="C4825">
        <v>4782</v>
      </c>
      <c r="D4825" t="e">
        <f t="shared" ca="1" si="150"/>
        <v>#NAME?</v>
      </c>
      <c r="E4825" s="115" t="e">
        <f t="array" aca="1" ref="E4825" ca="1">IF(OR(C4824=0,AND(B4826=0,C4826=0)),"",IFERROR(INDEX($F$27:$F$36,MATCH(C4825,($F$27:$F$36)*($D$27:$D$36&lt;&gt;0),0)),IF(OR(AND(D4825=0,B4825=0,B4826&lt;&gt;0),AND(D4825*D4824&lt;0,B4825&lt;&gt;0)),IF(D4825=0,C4825,C4825*(1-ABS(D4825)/(ABS(D4825)+ABS(D4824)))+C4824*(1-ABS(D4824)/(ABS(D4825)+ABS(D4824)))),"")))</f>
        <v>#NAME?</v>
      </c>
    </row>
    <row r="4826" spans="2:5" x14ac:dyDescent="0.25">
      <c r="B4826" t="e">
        <f t="shared" ca="1" si="151"/>
        <v>#NAME?</v>
      </c>
      <c r="C4826">
        <v>4783</v>
      </c>
      <c r="D4826" t="e">
        <f t="shared" ca="1" si="150"/>
        <v>#NAME?</v>
      </c>
      <c r="E4826" s="115" t="e">
        <f t="array" aca="1" ref="E4826" ca="1">IF(OR(C4825=0,AND(B4827=0,C4827=0)),"",IFERROR(INDEX($F$27:$F$36,MATCH(C4826,($F$27:$F$36)*($D$27:$D$36&lt;&gt;0),0)),IF(OR(AND(D4826=0,B4826=0,B4827&lt;&gt;0),AND(D4826*D4825&lt;0,B4826&lt;&gt;0)),IF(D4826=0,C4826,C4826*(1-ABS(D4826)/(ABS(D4826)+ABS(D4825)))+C4825*(1-ABS(D4825)/(ABS(D4826)+ABS(D4825)))),"")))</f>
        <v>#NAME?</v>
      </c>
    </row>
    <row r="4827" spans="2:5" x14ac:dyDescent="0.25">
      <c r="B4827" t="e">
        <f t="shared" ca="1" si="151"/>
        <v>#NAME?</v>
      </c>
      <c r="C4827">
        <v>4784</v>
      </c>
      <c r="D4827" t="e">
        <f t="shared" ca="1" si="150"/>
        <v>#NAME?</v>
      </c>
      <c r="E4827" s="115" t="e">
        <f t="array" aca="1" ref="E4827" ca="1">IF(OR(C4826=0,AND(B4828=0,C4828=0)),"",IFERROR(INDEX($F$27:$F$36,MATCH(C4827,($F$27:$F$36)*($D$27:$D$36&lt;&gt;0),0)),IF(OR(AND(D4827=0,B4827=0,B4828&lt;&gt;0),AND(D4827*D4826&lt;0,B4827&lt;&gt;0)),IF(D4827=0,C4827,C4827*(1-ABS(D4827)/(ABS(D4827)+ABS(D4826)))+C4826*(1-ABS(D4826)/(ABS(D4827)+ABS(D4826)))),"")))</f>
        <v>#NAME?</v>
      </c>
    </row>
    <row r="4828" spans="2:5" x14ac:dyDescent="0.25">
      <c r="B4828" t="e">
        <f t="shared" ca="1" si="151"/>
        <v>#NAME?</v>
      </c>
      <c r="C4828">
        <v>4785</v>
      </c>
      <c r="D4828" t="e">
        <f t="shared" ca="1" si="150"/>
        <v>#NAME?</v>
      </c>
      <c r="E4828" s="115" t="e">
        <f t="array" aca="1" ref="E4828" ca="1">IF(OR(C4827=0,AND(B4829=0,C4829=0)),"",IFERROR(INDEX($F$27:$F$36,MATCH(C4828,($F$27:$F$36)*($D$27:$D$36&lt;&gt;0),0)),IF(OR(AND(D4828=0,B4828=0,B4829&lt;&gt;0),AND(D4828*D4827&lt;0,B4828&lt;&gt;0)),IF(D4828=0,C4828,C4828*(1-ABS(D4828)/(ABS(D4828)+ABS(D4827)))+C4827*(1-ABS(D4827)/(ABS(D4828)+ABS(D4827)))),"")))</f>
        <v>#NAME?</v>
      </c>
    </row>
    <row r="4829" spans="2:5" x14ac:dyDescent="0.25">
      <c r="B4829" t="e">
        <f t="shared" ca="1" si="151"/>
        <v>#NAME?</v>
      </c>
      <c r="C4829">
        <v>4786</v>
      </c>
      <c r="D4829" t="e">
        <f t="shared" ca="1" si="150"/>
        <v>#NAME?</v>
      </c>
      <c r="E4829" s="115" t="e">
        <f t="array" aca="1" ref="E4829" ca="1">IF(OR(C4828=0,AND(B4830=0,C4830=0)),"",IFERROR(INDEX($F$27:$F$36,MATCH(C4829,($F$27:$F$36)*($D$27:$D$36&lt;&gt;0),0)),IF(OR(AND(D4829=0,B4829=0,B4830&lt;&gt;0),AND(D4829*D4828&lt;0,B4829&lt;&gt;0)),IF(D4829=0,C4829,C4829*(1-ABS(D4829)/(ABS(D4829)+ABS(D4828)))+C4828*(1-ABS(D4828)/(ABS(D4829)+ABS(D4828)))),"")))</f>
        <v>#NAME?</v>
      </c>
    </row>
    <row r="4830" spans="2:5" x14ac:dyDescent="0.25">
      <c r="B4830" t="e">
        <f t="shared" ca="1" si="151"/>
        <v>#NAME?</v>
      </c>
      <c r="C4830">
        <v>4787</v>
      </c>
      <c r="D4830" t="e">
        <f t="shared" ca="1" si="150"/>
        <v>#NAME?</v>
      </c>
      <c r="E4830" s="115" t="e">
        <f t="array" aca="1" ref="E4830" ca="1">IF(OR(C4829=0,AND(B4831=0,C4831=0)),"",IFERROR(INDEX($F$27:$F$36,MATCH(C4830,($F$27:$F$36)*($D$27:$D$36&lt;&gt;0),0)),IF(OR(AND(D4830=0,B4830=0,B4831&lt;&gt;0),AND(D4830*D4829&lt;0,B4830&lt;&gt;0)),IF(D4830=0,C4830,C4830*(1-ABS(D4830)/(ABS(D4830)+ABS(D4829)))+C4829*(1-ABS(D4829)/(ABS(D4830)+ABS(D4829)))),"")))</f>
        <v>#NAME?</v>
      </c>
    </row>
    <row r="4831" spans="2:5" x14ac:dyDescent="0.25">
      <c r="B4831" t="e">
        <f t="shared" ca="1" si="151"/>
        <v>#NAME?</v>
      </c>
      <c r="C4831">
        <v>4788</v>
      </c>
      <c r="D4831" t="e">
        <f t="shared" ca="1" si="150"/>
        <v>#NAME?</v>
      </c>
      <c r="E4831" s="115" t="e">
        <f t="array" aca="1" ref="E4831" ca="1">IF(OR(C4830=0,AND(B4832=0,C4832=0)),"",IFERROR(INDEX($F$27:$F$36,MATCH(C4831,($F$27:$F$36)*($D$27:$D$36&lt;&gt;0),0)),IF(OR(AND(D4831=0,B4831=0,B4832&lt;&gt;0),AND(D4831*D4830&lt;0,B4831&lt;&gt;0)),IF(D4831=0,C4831,C4831*(1-ABS(D4831)/(ABS(D4831)+ABS(D4830)))+C4830*(1-ABS(D4830)/(ABS(D4831)+ABS(D4830)))),"")))</f>
        <v>#NAME?</v>
      </c>
    </row>
    <row r="4832" spans="2:5" x14ac:dyDescent="0.25">
      <c r="B4832" t="e">
        <f t="shared" ca="1" si="151"/>
        <v>#NAME?</v>
      </c>
      <c r="C4832">
        <v>4789</v>
      </c>
      <c r="D4832" t="e">
        <f t="shared" ca="1" si="150"/>
        <v>#NAME?</v>
      </c>
      <c r="E4832" s="115" t="e">
        <f t="array" aca="1" ref="E4832" ca="1">IF(OR(C4831=0,AND(B4833=0,C4833=0)),"",IFERROR(INDEX($F$27:$F$36,MATCH(C4832,($F$27:$F$36)*($D$27:$D$36&lt;&gt;0),0)),IF(OR(AND(D4832=0,B4832=0,B4833&lt;&gt;0),AND(D4832*D4831&lt;0,B4832&lt;&gt;0)),IF(D4832=0,C4832,C4832*(1-ABS(D4832)/(ABS(D4832)+ABS(D4831)))+C4831*(1-ABS(D4831)/(ABS(D4832)+ABS(D4831)))),"")))</f>
        <v>#NAME?</v>
      </c>
    </row>
    <row r="4833" spans="2:5" x14ac:dyDescent="0.25">
      <c r="B4833" t="e">
        <f t="shared" ca="1" si="151"/>
        <v>#NAME?</v>
      </c>
      <c r="C4833">
        <v>4790</v>
      </c>
      <c r="D4833" t="e">
        <f t="shared" ca="1" si="150"/>
        <v>#NAME?</v>
      </c>
      <c r="E4833" s="115" t="e">
        <f t="array" aca="1" ref="E4833" ca="1">IF(OR(C4832=0,AND(B4834=0,C4834=0)),"",IFERROR(INDEX($F$27:$F$36,MATCH(C4833,($F$27:$F$36)*($D$27:$D$36&lt;&gt;0),0)),IF(OR(AND(D4833=0,B4833=0,B4834&lt;&gt;0),AND(D4833*D4832&lt;0,B4833&lt;&gt;0)),IF(D4833=0,C4833,C4833*(1-ABS(D4833)/(ABS(D4833)+ABS(D4832)))+C4832*(1-ABS(D4832)/(ABS(D4833)+ABS(D4832)))),"")))</f>
        <v>#NAME?</v>
      </c>
    </row>
    <row r="4834" spans="2:5" x14ac:dyDescent="0.25">
      <c r="B4834" t="e">
        <f t="shared" ca="1" si="151"/>
        <v>#NAME?</v>
      </c>
      <c r="C4834">
        <v>4791</v>
      </c>
      <c r="D4834" t="e">
        <f t="shared" ca="1" si="150"/>
        <v>#NAME?</v>
      </c>
      <c r="E4834" s="115" t="e">
        <f t="array" aca="1" ref="E4834" ca="1">IF(OR(C4833=0,AND(B4835=0,C4835=0)),"",IFERROR(INDEX($F$27:$F$36,MATCH(C4834,($F$27:$F$36)*($D$27:$D$36&lt;&gt;0),0)),IF(OR(AND(D4834=0,B4834=0,B4835&lt;&gt;0),AND(D4834*D4833&lt;0,B4834&lt;&gt;0)),IF(D4834=0,C4834,C4834*(1-ABS(D4834)/(ABS(D4834)+ABS(D4833)))+C4833*(1-ABS(D4833)/(ABS(D4834)+ABS(D4833)))),"")))</f>
        <v>#NAME?</v>
      </c>
    </row>
    <row r="4835" spans="2:5" x14ac:dyDescent="0.25">
      <c r="B4835" t="e">
        <f t="shared" ca="1" si="151"/>
        <v>#NAME?</v>
      </c>
      <c r="C4835">
        <v>4792</v>
      </c>
      <c r="D4835" t="e">
        <f t="shared" ca="1" si="150"/>
        <v>#NAME?</v>
      </c>
      <c r="E4835" s="115" t="e">
        <f t="array" aca="1" ref="E4835" ca="1">IF(OR(C4834=0,AND(B4836=0,C4836=0)),"",IFERROR(INDEX($F$27:$F$36,MATCH(C4835,($F$27:$F$36)*($D$27:$D$36&lt;&gt;0),0)),IF(OR(AND(D4835=0,B4835=0,B4836&lt;&gt;0),AND(D4835*D4834&lt;0,B4835&lt;&gt;0)),IF(D4835=0,C4835,C4835*(1-ABS(D4835)/(ABS(D4835)+ABS(D4834)))+C4834*(1-ABS(D4834)/(ABS(D4835)+ABS(D4834)))),"")))</f>
        <v>#NAME?</v>
      </c>
    </row>
    <row r="4836" spans="2:5" x14ac:dyDescent="0.25">
      <c r="B4836" t="e">
        <f t="shared" ca="1" si="151"/>
        <v>#NAME?</v>
      </c>
      <c r="C4836">
        <v>4793</v>
      </c>
      <c r="D4836" t="e">
        <f t="shared" ca="1" si="150"/>
        <v>#NAME?</v>
      </c>
      <c r="E4836" s="115" t="e">
        <f t="array" aca="1" ref="E4836" ca="1">IF(OR(C4835=0,AND(B4837=0,C4837=0)),"",IFERROR(INDEX($F$27:$F$36,MATCH(C4836,($F$27:$F$36)*($D$27:$D$36&lt;&gt;0),0)),IF(OR(AND(D4836=0,B4836=0,B4837&lt;&gt;0),AND(D4836*D4835&lt;0,B4836&lt;&gt;0)),IF(D4836=0,C4836,C4836*(1-ABS(D4836)/(ABS(D4836)+ABS(D4835)))+C4835*(1-ABS(D4835)/(ABS(D4836)+ABS(D4835)))),"")))</f>
        <v>#NAME?</v>
      </c>
    </row>
    <row r="4837" spans="2:5" x14ac:dyDescent="0.25">
      <c r="B4837" t="e">
        <f t="shared" ca="1" si="151"/>
        <v>#NAME?</v>
      </c>
      <c r="C4837">
        <v>4794</v>
      </c>
      <c r="D4837" t="e">
        <f t="shared" ca="1" si="150"/>
        <v>#NAME?</v>
      </c>
      <c r="E4837" s="115" t="e">
        <f t="array" aca="1" ref="E4837" ca="1">IF(OR(C4836=0,AND(B4838=0,C4838=0)),"",IFERROR(INDEX($F$27:$F$36,MATCH(C4837,($F$27:$F$36)*($D$27:$D$36&lt;&gt;0),0)),IF(OR(AND(D4837=0,B4837=0,B4838&lt;&gt;0),AND(D4837*D4836&lt;0,B4837&lt;&gt;0)),IF(D4837=0,C4837,C4837*(1-ABS(D4837)/(ABS(D4837)+ABS(D4836)))+C4836*(1-ABS(D4836)/(ABS(D4837)+ABS(D4836)))),"")))</f>
        <v>#NAME?</v>
      </c>
    </row>
    <row r="4838" spans="2:5" x14ac:dyDescent="0.25">
      <c r="B4838" t="e">
        <f t="shared" ca="1" si="151"/>
        <v>#NAME?</v>
      </c>
      <c r="C4838">
        <v>4795</v>
      </c>
      <c r="D4838" t="e">
        <f t="shared" ca="1" si="150"/>
        <v>#NAME?</v>
      </c>
      <c r="E4838" s="115" t="e">
        <f t="array" aca="1" ref="E4838" ca="1">IF(OR(C4837=0,AND(B4839=0,C4839=0)),"",IFERROR(INDEX($F$27:$F$36,MATCH(C4838,($F$27:$F$36)*($D$27:$D$36&lt;&gt;0),0)),IF(OR(AND(D4838=0,B4838=0,B4839&lt;&gt;0),AND(D4838*D4837&lt;0,B4838&lt;&gt;0)),IF(D4838=0,C4838,C4838*(1-ABS(D4838)/(ABS(D4838)+ABS(D4837)))+C4837*(1-ABS(D4837)/(ABS(D4838)+ABS(D4837)))),"")))</f>
        <v>#NAME?</v>
      </c>
    </row>
    <row r="4839" spans="2:5" x14ac:dyDescent="0.25">
      <c r="B4839" t="e">
        <f t="shared" ca="1" si="151"/>
        <v>#NAME?</v>
      </c>
      <c r="C4839">
        <v>4796</v>
      </c>
      <c r="D4839" t="e">
        <f t="shared" ca="1" si="150"/>
        <v>#NAME?</v>
      </c>
      <c r="E4839" s="115" t="e">
        <f t="array" aca="1" ref="E4839" ca="1">IF(OR(C4838=0,AND(B4840=0,C4840=0)),"",IFERROR(INDEX($F$27:$F$36,MATCH(C4839,($F$27:$F$36)*($D$27:$D$36&lt;&gt;0),0)),IF(OR(AND(D4839=0,B4839=0,B4840&lt;&gt;0),AND(D4839*D4838&lt;0,B4839&lt;&gt;0)),IF(D4839=0,C4839,C4839*(1-ABS(D4839)/(ABS(D4839)+ABS(D4838)))+C4838*(1-ABS(D4838)/(ABS(D4839)+ABS(D4838)))),"")))</f>
        <v>#NAME?</v>
      </c>
    </row>
    <row r="4840" spans="2:5" x14ac:dyDescent="0.25">
      <c r="B4840" t="e">
        <f t="shared" ca="1" si="151"/>
        <v>#NAME?</v>
      </c>
      <c r="C4840">
        <v>4797</v>
      </c>
      <c r="D4840" t="e">
        <f t="shared" ca="1" si="150"/>
        <v>#NAME?</v>
      </c>
      <c r="E4840" s="115" t="e">
        <f t="array" aca="1" ref="E4840" ca="1">IF(OR(C4839=0,AND(B4841=0,C4841=0)),"",IFERROR(INDEX($F$27:$F$36,MATCH(C4840,($F$27:$F$36)*($D$27:$D$36&lt;&gt;0),0)),IF(OR(AND(D4840=0,B4840=0,B4841&lt;&gt;0),AND(D4840*D4839&lt;0,B4840&lt;&gt;0)),IF(D4840=0,C4840,C4840*(1-ABS(D4840)/(ABS(D4840)+ABS(D4839)))+C4839*(1-ABS(D4839)/(ABS(D4840)+ABS(D4839)))),"")))</f>
        <v>#NAME?</v>
      </c>
    </row>
    <row r="4841" spans="2:5" x14ac:dyDescent="0.25">
      <c r="B4841" t="e">
        <f t="shared" ca="1" si="151"/>
        <v>#NAME?</v>
      </c>
      <c r="C4841">
        <v>4798</v>
      </c>
      <c r="D4841" t="e">
        <f t="shared" ca="1" si="150"/>
        <v>#NAME?</v>
      </c>
      <c r="E4841" s="115" t="e">
        <f t="array" aca="1" ref="E4841" ca="1">IF(OR(C4840=0,AND(B4842=0,C4842=0)),"",IFERROR(INDEX($F$27:$F$36,MATCH(C4841,($F$27:$F$36)*($D$27:$D$36&lt;&gt;0),0)),IF(OR(AND(D4841=0,B4841=0,B4842&lt;&gt;0),AND(D4841*D4840&lt;0,B4841&lt;&gt;0)),IF(D4841=0,C4841,C4841*(1-ABS(D4841)/(ABS(D4841)+ABS(D4840)))+C4840*(1-ABS(D4840)/(ABS(D4841)+ABS(D4840)))),"")))</f>
        <v>#NAME?</v>
      </c>
    </row>
    <row r="4842" spans="2:5" x14ac:dyDescent="0.25">
      <c r="B4842" t="e">
        <f t="shared" ca="1" si="151"/>
        <v>#NAME?</v>
      </c>
      <c r="C4842">
        <v>4799</v>
      </c>
      <c r="D4842" t="e">
        <f t="shared" ca="1" si="150"/>
        <v>#NAME?</v>
      </c>
      <c r="E4842" s="115" t="e">
        <f t="array" aca="1" ref="E4842" ca="1">IF(OR(C4841=0,AND(B4843=0,C4843=0)),"",IFERROR(INDEX($F$27:$F$36,MATCH(C4842,($F$27:$F$36)*($D$27:$D$36&lt;&gt;0),0)),IF(OR(AND(D4842=0,B4842=0,B4843&lt;&gt;0),AND(D4842*D4841&lt;0,B4842&lt;&gt;0)),IF(D4842=0,C4842,C4842*(1-ABS(D4842)/(ABS(D4842)+ABS(D4841)))+C4841*(1-ABS(D4841)/(ABS(D4842)+ABS(D4841)))),"")))</f>
        <v>#NAME?</v>
      </c>
    </row>
    <row r="4843" spans="2:5" x14ac:dyDescent="0.25">
      <c r="B4843" t="e">
        <f t="shared" ca="1" si="151"/>
        <v>#NAME?</v>
      </c>
      <c r="C4843">
        <v>4800</v>
      </c>
      <c r="D4843" t="e">
        <f t="shared" ref="D4843:D4906" ca="1" si="152">SUMPRODUCT(--($J$27:$J$37&gt;0),--($C4843-$F$27:$F$37&gt;0),($D$27:$D$37),($C4843-$F$27:$F$37))+SUMPRODUCT(--($J$27:$J$37&lt;0),--($F$27:$F$37-$C4843&gt;0),($D$27:$D$37),($F$27:$F$37-$C4843))-SUMPRODUCT($D$27:$D$37,$E$27:$E$37)</f>
        <v>#NAME?</v>
      </c>
      <c r="E4843" s="115" t="e">
        <f t="array" aca="1" ref="E4843" ca="1">IF(OR(C4842=0,AND(B4844=0,C4844=0)),"",IFERROR(INDEX($F$27:$F$36,MATCH(C4843,($F$27:$F$36)*($D$27:$D$36&lt;&gt;0),0)),IF(OR(AND(D4843=0,B4843=0,B4844&lt;&gt;0),AND(D4843*D4842&lt;0,B4843&lt;&gt;0)),IF(D4843=0,C4843,C4843*(1-ABS(D4843)/(ABS(D4843)+ABS(D4842)))+C4842*(1-ABS(D4842)/(ABS(D4843)+ABS(D4842)))),"")))</f>
        <v>#NAME?</v>
      </c>
    </row>
    <row r="4844" spans="2:5" x14ac:dyDescent="0.25">
      <c r="B4844" t="e">
        <f t="shared" ref="B4844:B4907" ca="1" si="153">ROUND((D4844-D4843)/(C4844-C4843),12)</f>
        <v>#NAME?</v>
      </c>
      <c r="C4844">
        <v>4801</v>
      </c>
      <c r="D4844" t="e">
        <f t="shared" ca="1" si="152"/>
        <v>#NAME?</v>
      </c>
      <c r="E4844" s="115" t="e">
        <f t="array" aca="1" ref="E4844" ca="1">IF(OR(C4843=0,AND(B4845=0,C4845=0)),"",IFERROR(INDEX($F$27:$F$36,MATCH(C4844,($F$27:$F$36)*($D$27:$D$36&lt;&gt;0),0)),IF(OR(AND(D4844=0,B4844=0,B4845&lt;&gt;0),AND(D4844*D4843&lt;0,B4844&lt;&gt;0)),IF(D4844=0,C4844,C4844*(1-ABS(D4844)/(ABS(D4844)+ABS(D4843)))+C4843*(1-ABS(D4843)/(ABS(D4844)+ABS(D4843)))),"")))</f>
        <v>#NAME?</v>
      </c>
    </row>
    <row r="4845" spans="2:5" x14ac:dyDescent="0.25">
      <c r="B4845" t="e">
        <f t="shared" ca="1" si="153"/>
        <v>#NAME?</v>
      </c>
      <c r="C4845">
        <v>4802</v>
      </c>
      <c r="D4845" t="e">
        <f t="shared" ca="1" si="152"/>
        <v>#NAME?</v>
      </c>
      <c r="E4845" s="115" t="e">
        <f t="array" aca="1" ref="E4845" ca="1">IF(OR(C4844=0,AND(B4846=0,C4846=0)),"",IFERROR(INDEX($F$27:$F$36,MATCH(C4845,($F$27:$F$36)*($D$27:$D$36&lt;&gt;0),0)),IF(OR(AND(D4845=0,B4845=0,B4846&lt;&gt;0),AND(D4845*D4844&lt;0,B4845&lt;&gt;0)),IF(D4845=0,C4845,C4845*(1-ABS(D4845)/(ABS(D4845)+ABS(D4844)))+C4844*(1-ABS(D4844)/(ABS(D4845)+ABS(D4844)))),"")))</f>
        <v>#NAME?</v>
      </c>
    </row>
    <row r="4846" spans="2:5" x14ac:dyDescent="0.25">
      <c r="B4846" t="e">
        <f t="shared" ca="1" si="153"/>
        <v>#NAME?</v>
      </c>
      <c r="C4846">
        <v>4803</v>
      </c>
      <c r="D4846" t="e">
        <f t="shared" ca="1" si="152"/>
        <v>#NAME?</v>
      </c>
      <c r="E4846" s="115" t="e">
        <f t="array" aca="1" ref="E4846" ca="1">IF(OR(C4845=0,AND(B4847=0,C4847=0)),"",IFERROR(INDEX($F$27:$F$36,MATCH(C4846,($F$27:$F$36)*($D$27:$D$36&lt;&gt;0),0)),IF(OR(AND(D4846=0,B4846=0,B4847&lt;&gt;0),AND(D4846*D4845&lt;0,B4846&lt;&gt;0)),IF(D4846=0,C4846,C4846*(1-ABS(D4846)/(ABS(D4846)+ABS(D4845)))+C4845*(1-ABS(D4845)/(ABS(D4846)+ABS(D4845)))),"")))</f>
        <v>#NAME?</v>
      </c>
    </row>
    <row r="4847" spans="2:5" x14ac:dyDescent="0.25">
      <c r="B4847" t="e">
        <f t="shared" ca="1" si="153"/>
        <v>#NAME?</v>
      </c>
      <c r="C4847">
        <v>4804</v>
      </c>
      <c r="D4847" t="e">
        <f t="shared" ca="1" si="152"/>
        <v>#NAME?</v>
      </c>
      <c r="E4847" s="115" t="e">
        <f t="array" aca="1" ref="E4847" ca="1">IF(OR(C4846=0,AND(B4848=0,C4848=0)),"",IFERROR(INDEX($F$27:$F$36,MATCH(C4847,($F$27:$F$36)*($D$27:$D$36&lt;&gt;0),0)),IF(OR(AND(D4847=0,B4847=0,B4848&lt;&gt;0),AND(D4847*D4846&lt;0,B4847&lt;&gt;0)),IF(D4847=0,C4847,C4847*(1-ABS(D4847)/(ABS(D4847)+ABS(D4846)))+C4846*(1-ABS(D4846)/(ABS(D4847)+ABS(D4846)))),"")))</f>
        <v>#NAME?</v>
      </c>
    </row>
    <row r="4848" spans="2:5" x14ac:dyDescent="0.25">
      <c r="B4848" t="e">
        <f t="shared" ca="1" si="153"/>
        <v>#NAME?</v>
      </c>
      <c r="C4848">
        <v>4805</v>
      </c>
      <c r="D4848" t="e">
        <f t="shared" ca="1" si="152"/>
        <v>#NAME?</v>
      </c>
      <c r="E4848" s="115" t="e">
        <f t="array" aca="1" ref="E4848" ca="1">IF(OR(C4847=0,AND(B4849=0,C4849=0)),"",IFERROR(INDEX($F$27:$F$36,MATCH(C4848,($F$27:$F$36)*($D$27:$D$36&lt;&gt;0),0)),IF(OR(AND(D4848=0,B4848=0,B4849&lt;&gt;0),AND(D4848*D4847&lt;0,B4848&lt;&gt;0)),IF(D4848=0,C4848,C4848*(1-ABS(D4848)/(ABS(D4848)+ABS(D4847)))+C4847*(1-ABS(D4847)/(ABS(D4848)+ABS(D4847)))),"")))</f>
        <v>#NAME?</v>
      </c>
    </row>
    <row r="4849" spans="2:5" x14ac:dyDescent="0.25">
      <c r="B4849" t="e">
        <f t="shared" ca="1" si="153"/>
        <v>#NAME?</v>
      </c>
      <c r="C4849">
        <v>4806</v>
      </c>
      <c r="D4849" t="e">
        <f t="shared" ca="1" si="152"/>
        <v>#NAME?</v>
      </c>
      <c r="E4849" s="115" t="e">
        <f t="array" aca="1" ref="E4849" ca="1">IF(OR(C4848=0,AND(B4850=0,C4850=0)),"",IFERROR(INDEX($F$27:$F$36,MATCH(C4849,($F$27:$F$36)*($D$27:$D$36&lt;&gt;0),0)),IF(OR(AND(D4849=0,B4849=0,B4850&lt;&gt;0),AND(D4849*D4848&lt;0,B4849&lt;&gt;0)),IF(D4849=0,C4849,C4849*(1-ABS(D4849)/(ABS(D4849)+ABS(D4848)))+C4848*(1-ABS(D4848)/(ABS(D4849)+ABS(D4848)))),"")))</f>
        <v>#NAME?</v>
      </c>
    </row>
    <row r="4850" spans="2:5" x14ac:dyDescent="0.25">
      <c r="B4850" t="e">
        <f t="shared" ca="1" si="153"/>
        <v>#NAME?</v>
      </c>
      <c r="C4850">
        <v>4807</v>
      </c>
      <c r="D4850" t="e">
        <f t="shared" ca="1" si="152"/>
        <v>#NAME?</v>
      </c>
      <c r="E4850" s="115" t="e">
        <f t="array" aca="1" ref="E4850" ca="1">IF(OR(C4849=0,AND(B4851=0,C4851=0)),"",IFERROR(INDEX($F$27:$F$36,MATCH(C4850,($F$27:$F$36)*($D$27:$D$36&lt;&gt;0),0)),IF(OR(AND(D4850=0,B4850=0,B4851&lt;&gt;0),AND(D4850*D4849&lt;0,B4850&lt;&gt;0)),IF(D4850=0,C4850,C4850*(1-ABS(D4850)/(ABS(D4850)+ABS(D4849)))+C4849*(1-ABS(D4849)/(ABS(D4850)+ABS(D4849)))),"")))</f>
        <v>#NAME?</v>
      </c>
    </row>
    <row r="4851" spans="2:5" x14ac:dyDescent="0.25">
      <c r="B4851" t="e">
        <f t="shared" ca="1" si="153"/>
        <v>#NAME?</v>
      </c>
      <c r="C4851">
        <v>4808</v>
      </c>
      <c r="D4851" t="e">
        <f t="shared" ca="1" si="152"/>
        <v>#NAME?</v>
      </c>
      <c r="E4851" s="115" t="e">
        <f t="array" aca="1" ref="E4851" ca="1">IF(OR(C4850=0,AND(B4852=0,C4852=0)),"",IFERROR(INDEX($F$27:$F$36,MATCH(C4851,($F$27:$F$36)*($D$27:$D$36&lt;&gt;0),0)),IF(OR(AND(D4851=0,B4851=0,B4852&lt;&gt;0),AND(D4851*D4850&lt;0,B4851&lt;&gt;0)),IF(D4851=0,C4851,C4851*(1-ABS(D4851)/(ABS(D4851)+ABS(D4850)))+C4850*(1-ABS(D4850)/(ABS(D4851)+ABS(D4850)))),"")))</f>
        <v>#NAME?</v>
      </c>
    </row>
    <row r="4852" spans="2:5" x14ac:dyDescent="0.25">
      <c r="B4852" t="e">
        <f t="shared" ca="1" si="153"/>
        <v>#NAME?</v>
      </c>
      <c r="C4852">
        <v>4809</v>
      </c>
      <c r="D4852" t="e">
        <f t="shared" ca="1" si="152"/>
        <v>#NAME?</v>
      </c>
      <c r="E4852" s="115" t="e">
        <f t="array" aca="1" ref="E4852" ca="1">IF(OR(C4851=0,AND(B4853=0,C4853=0)),"",IFERROR(INDEX($F$27:$F$36,MATCH(C4852,($F$27:$F$36)*($D$27:$D$36&lt;&gt;0),0)),IF(OR(AND(D4852=0,B4852=0,B4853&lt;&gt;0),AND(D4852*D4851&lt;0,B4852&lt;&gt;0)),IF(D4852=0,C4852,C4852*(1-ABS(D4852)/(ABS(D4852)+ABS(D4851)))+C4851*(1-ABS(D4851)/(ABS(D4852)+ABS(D4851)))),"")))</f>
        <v>#NAME?</v>
      </c>
    </row>
    <row r="4853" spans="2:5" x14ac:dyDescent="0.25">
      <c r="B4853" t="e">
        <f t="shared" ca="1" si="153"/>
        <v>#NAME?</v>
      </c>
      <c r="C4853">
        <v>4810</v>
      </c>
      <c r="D4853" t="e">
        <f t="shared" ca="1" si="152"/>
        <v>#NAME?</v>
      </c>
      <c r="E4853" s="115" t="e">
        <f t="array" aca="1" ref="E4853" ca="1">IF(OR(C4852=0,AND(B4854=0,C4854=0)),"",IFERROR(INDEX($F$27:$F$36,MATCH(C4853,($F$27:$F$36)*($D$27:$D$36&lt;&gt;0),0)),IF(OR(AND(D4853=0,B4853=0,B4854&lt;&gt;0),AND(D4853*D4852&lt;0,B4853&lt;&gt;0)),IF(D4853=0,C4853,C4853*(1-ABS(D4853)/(ABS(D4853)+ABS(D4852)))+C4852*(1-ABS(D4852)/(ABS(D4853)+ABS(D4852)))),"")))</f>
        <v>#NAME?</v>
      </c>
    </row>
    <row r="4854" spans="2:5" x14ac:dyDescent="0.25">
      <c r="B4854" t="e">
        <f t="shared" ca="1" si="153"/>
        <v>#NAME?</v>
      </c>
      <c r="C4854">
        <v>4811</v>
      </c>
      <c r="D4854" t="e">
        <f t="shared" ca="1" si="152"/>
        <v>#NAME?</v>
      </c>
      <c r="E4854" s="115" t="e">
        <f t="array" aca="1" ref="E4854" ca="1">IF(OR(C4853=0,AND(B4855=0,C4855=0)),"",IFERROR(INDEX($F$27:$F$36,MATCH(C4854,($F$27:$F$36)*($D$27:$D$36&lt;&gt;0),0)),IF(OR(AND(D4854=0,B4854=0,B4855&lt;&gt;0),AND(D4854*D4853&lt;0,B4854&lt;&gt;0)),IF(D4854=0,C4854,C4854*(1-ABS(D4854)/(ABS(D4854)+ABS(D4853)))+C4853*(1-ABS(D4853)/(ABS(D4854)+ABS(D4853)))),"")))</f>
        <v>#NAME?</v>
      </c>
    </row>
    <row r="4855" spans="2:5" x14ac:dyDescent="0.25">
      <c r="B4855" t="e">
        <f t="shared" ca="1" si="153"/>
        <v>#NAME?</v>
      </c>
      <c r="C4855">
        <v>4812</v>
      </c>
      <c r="D4855" t="e">
        <f t="shared" ca="1" si="152"/>
        <v>#NAME?</v>
      </c>
      <c r="E4855" s="115" t="e">
        <f t="array" aca="1" ref="E4855" ca="1">IF(OR(C4854=0,AND(B4856=0,C4856=0)),"",IFERROR(INDEX($F$27:$F$36,MATCH(C4855,($F$27:$F$36)*($D$27:$D$36&lt;&gt;0),0)),IF(OR(AND(D4855=0,B4855=0,B4856&lt;&gt;0),AND(D4855*D4854&lt;0,B4855&lt;&gt;0)),IF(D4855=0,C4855,C4855*(1-ABS(D4855)/(ABS(D4855)+ABS(D4854)))+C4854*(1-ABS(D4854)/(ABS(D4855)+ABS(D4854)))),"")))</f>
        <v>#NAME?</v>
      </c>
    </row>
    <row r="4856" spans="2:5" x14ac:dyDescent="0.25">
      <c r="B4856" t="e">
        <f t="shared" ca="1" si="153"/>
        <v>#NAME?</v>
      </c>
      <c r="C4856">
        <v>4813</v>
      </c>
      <c r="D4856" t="e">
        <f t="shared" ca="1" si="152"/>
        <v>#NAME?</v>
      </c>
      <c r="E4856" s="115" t="e">
        <f t="array" aca="1" ref="E4856" ca="1">IF(OR(C4855=0,AND(B4857=0,C4857=0)),"",IFERROR(INDEX($F$27:$F$36,MATCH(C4856,($F$27:$F$36)*($D$27:$D$36&lt;&gt;0),0)),IF(OR(AND(D4856=0,B4856=0,B4857&lt;&gt;0),AND(D4856*D4855&lt;0,B4856&lt;&gt;0)),IF(D4856=0,C4856,C4856*(1-ABS(D4856)/(ABS(D4856)+ABS(D4855)))+C4855*(1-ABS(D4855)/(ABS(D4856)+ABS(D4855)))),"")))</f>
        <v>#NAME?</v>
      </c>
    </row>
    <row r="4857" spans="2:5" x14ac:dyDescent="0.25">
      <c r="B4857" t="e">
        <f t="shared" ca="1" si="153"/>
        <v>#NAME?</v>
      </c>
      <c r="C4857">
        <v>4814</v>
      </c>
      <c r="D4857" t="e">
        <f t="shared" ca="1" si="152"/>
        <v>#NAME?</v>
      </c>
      <c r="E4857" s="115" t="e">
        <f t="array" aca="1" ref="E4857" ca="1">IF(OR(C4856=0,AND(B4858=0,C4858=0)),"",IFERROR(INDEX($F$27:$F$36,MATCH(C4857,($F$27:$F$36)*($D$27:$D$36&lt;&gt;0),0)),IF(OR(AND(D4857=0,B4857=0,B4858&lt;&gt;0),AND(D4857*D4856&lt;0,B4857&lt;&gt;0)),IF(D4857=0,C4857,C4857*(1-ABS(D4857)/(ABS(D4857)+ABS(D4856)))+C4856*(1-ABS(D4856)/(ABS(D4857)+ABS(D4856)))),"")))</f>
        <v>#NAME?</v>
      </c>
    </row>
    <row r="4858" spans="2:5" x14ac:dyDescent="0.25">
      <c r="B4858" t="e">
        <f t="shared" ca="1" si="153"/>
        <v>#NAME?</v>
      </c>
      <c r="C4858">
        <v>4815</v>
      </c>
      <c r="D4858" t="e">
        <f t="shared" ca="1" si="152"/>
        <v>#NAME?</v>
      </c>
      <c r="E4858" s="115" t="e">
        <f t="array" aca="1" ref="E4858" ca="1">IF(OR(C4857=0,AND(B4859=0,C4859=0)),"",IFERROR(INDEX($F$27:$F$36,MATCH(C4858,($F$27:$F$36)*($D$27:$D$36&lt;&gt;0),0)),IF(OR(AND(D4858=0,B4858=0,B4859&lt;&gt;0),AND(D4858*D4857&lt;0,B4858&lt;&gt;0)),IF(D4858=0,C4858,C4858*(1-ABS(D4858)/(ABS(D4858)+ABS(D4857)))+C4857*(1-ABS(D4857)/(ABS(D4858)+ABS(D4857)))),"")))</f>
        <v>#NAME?</v>
      </c>
    </row>
    <row r="4859" spans="2:5" x14ac:dyDescent="0.25">
      <c r="B4859" t="e">
        <f t="shared" ca="1" si="153"/>
        <v>#NAME?</v>
      </c>
      <c r="C4859">
        <v>4816</v>
      </c>
      <c r="D4859" t="e">
        <f t="shared" ca="1" si="152"/>
        <v>#NAME?</v>
      </c>
      <c r="E4859" s="115" t="e">
        <f t="array" aca="1" ref="E4859" ca="1">IF(OR(C4858=0,AND(B4860=0,C4860=0)),"",IFERROR(INDEX($F$27:$F$36,MATCH(C4859,($F$27:$F$36)*($D$27:$D$36&lt;&gt;0),0)),IF(OR(AND(D4859=0,B4859=0,B4860&lt;&gt;0),AND(D4859*D4858&lt;0,B4859&lt;&gt;0)),IF(D4859=0,C4859,C4859*(1-ABS(D4859)/(ABS(D4859)+ABS(D4858)))+C4858*(1-ABS(D4858)/(ABS(D4859)+ABS(D4858)))),"")))</f>
        <v>#NAME?</v>
      </c>
    </row>
    <row r="4860" spans="2:5" x14ac:dyDescent="0.25">
      <c r="B4860" t="e">
        <f t="shared" ca="1" si="153"/>
        <v>#NAME?</v>
      </c>
      <c r="C4860">
        <v>4817</v>
      </c>
      <c r="D4860" t="e">
        <f t="shared" ca="1" si="152"/>
        <v>#NAME?</v>
      </c>
      <c r="E4860" s="115" t="e">
        <f t="array" aca="1" ref="E4860" ca="1">IF(OR(C4859=0,AND(B4861=0,C4861=0)),"",IFERROR(INDEX($F$27:$F$36,MATCH(C4860,($F$27:$F$36)*($D$27:$D$36&lt;&gt;0),0)),IF(OR(AND(D4860=0,B4860=0,B4861&lt;&gt;0),AND(D4860*D4859&lt;0,B4860&lt;&gt;0)),IF(D4860=0,C4860,C4860*(1-ABS(D4860)/(ABS(D4860)+ABS(D4859)))+C4859*(1-ABS(D4859)/(ABS(D4860)+ABS(D4859)))),"")))</f>
        <v>#NAME?</v>
      </c>
    </row>
    <row r="4861" spans="2:5" x14ac:dyDescent="0.25">
      <c r="B4861" t="e">
        <f t="shared" ca="1" si="153"/>
        <v>#NAME?</v>
      </c>
      <c r="C4861">
        <v>4818</v>
      </c>
      <c r="D4861" t="e">
        <f t="shared" ca="1" si="152"/>
        <v>#NAME?</v>
      </c>
      <c r="E4861" s="115" t="e">
        <f t="array" aca="1" ref="E4861" ca="1">IF(OR(C4860=0,AND(B4862=0,C4862=0)),"",IFERROR(INDEX($F$27:$F$36,MATCH(C4861,($F$27:$F$36)*($D$27:$D$36&lt;&gt;0),0)),IF(OR(AND(D4861=0,B4861=0,B4862&lt;&gt;0),AND(D4861*D4860&lt;0,B4861&lt;&gt;0)),IF(D4861=0,C4861,C4861*(1-ABS(D4861)/(ABS(D4861)+ABS(D4860)))+C4860*(1-ABS(D4860)/(ABS(D4861)+ABS(D4860)))),"")))</f>
        <v>#NAME?</v>
      </c>
    </row>
    <row r="4862" spans="2:5" x14ac:dyDescent="0.25">
      <c r="B4862" t="e">
        <f t="shared" ca="1" si="153"/>
        <v>#NAME?</v>
      </c>
      <c r="C4862">
        <v>4819</v>
      </c>
      <c r="D4862" t="e">
        <f t="shared" ca="1" si="152"/>
        <v>#NAME?</v>
      </c>
      <c r="E4862" s="115" t="e">
        <f t="array" aca="1" ref="E4862" ca="1">IF(OR(C4861=0,AND(B4863=0,C4863=0)),"",IFERROR(INDEX($F$27:$F$36,MATCH(C4862,($F$27:$F$36)*($D$27:$D$36&lt;&gt;0),0)),IF(OR(AND(D4862=0,B4862=0,B4863&lt;&gt;0),AND(D4862*D4861&lt;0,B4862&lt;&gt;0)),IF(D4862=0,C4862,C4862*(1-ABS(D4862)/(ABS(D4862)+ABS(D4861)))+C4861*(1-ABS(D4861)/(ABS(D4862)+ABS(D4861)))),"")))</f>
        <v>#NAME?</v>
      </c>
    </row>
    <row r="4863" spans="2:5" x14ac:dyDescent="0.25">
      <c r="B4863" t="e">
        <f t="shared" ca="1" si="153"/>
        <v>#NAME?</v>
      </c>
      <c r="C4863">
        <v>4820</v>
      </c>
      <c r="D4863" t="e">
        <f t="shared" ca="1" si="152"/>
        <v>#NAME?</v>
      </c>
      <c r="E4863" s="115" t="e">
        <f t="array" aca="1" ref="E4863" ca="1">IF(OR(C4862=0,AND(B4864=0,C4864=0)),"",IFERROR(INDEX($F$27:$F$36,MATCH(C4863,($F$27:$F$36)*($D$27:$D$36&lt;&gt;0),0)),IF(OR(AND(D4863=0,B4863=0,B4864&lt;&gt;0),AND(D4863*D4862&lt;0,B4863&lt;&gt;0)),IF(D4863=0,C4863,C4863*(1-ABS(D4863)/(ABS(D4863)+ABS(D4862)))+C4862*(1-ABS(D4862)/(ABS(D4863)+ABS(D4862)))),"")))</f>
        <v>#NAME?</v>
      </c>
    </row>
    <row r="4864" spans="2:5" x14ac:dyDescent="0.25">
      <c r="B4864" t="e">
        <f t="shared" ca="1" si="153"/>
        <v>#NAME?</v>
      </c>
      <c r="C4864">
        <v>4821</v>
      </c>
      <c r="D4864" t="e">
        <f t="shared" ca="1" si="152"/>
        <v>#NAME?</v>
      </c>
      <c r="E4864" s="115" t="e">
        <f t="array" aca="1" ref="E4864" ca="1">IF(OR(C4863=0,AND(B4865=0,C4865=0)),"",IFERROR(INDEX($F$27:$F$36,MATCH(C4864,($F$27:$F$36)*($D$27:$D$36&lt;&gt;0),0)),IF(OR(AND(D4864=0,B4864=0,B4865&lt;&gt;0),AND(D4864*D4863&lt;0,B4864&lt;&gt;0)),IF(D4864=0,C4864,C4864*(1-ABS(D4864)/(ABS(D4864)+ABS(D4863)))+C4863*(1-ABS(D4863)/(ABS(D4864)+ABS(D4863)))),"")))</f>
        <v>#NAME?</v>
      </c>
    </row>
    <row r="4865" spans="2:5" x14ac:dyDescent="0.25">
      <c r="B4865" t="e">
        <f t="shared" ca="1" si="153"/>
        <v>#NAME?</v>
      </c>
      <c r="C4865">
        <v>4822</v>
      </c>
      <c r="D4865" t="e">
        <f t="shared" ca="1" si="152"/>
        <v>#NAME?</v>
      </c>
      <c r="E4865" s="115" t="e">
        <f t="array" aca="1" ref="E4865" ca="1">IF(OR(C4864=0,AND(B4866=0,C4866=0)),"",IFERROR(INDEX($F$27:$F$36,MATCH(C4865,($F$27:$F$36)*($D$27:$D$36&lt;&gt;0),0)),IF(OR(AND(D4865=0,B4865=0,B4866&lt;&gt;0),AND(D4865*D4864&lt;0,B4865&lt;&gt;0)),IF(D4865=0,C4865,C4865*(1-ABS(D4865)/(ABS(D4865)+ABS(D4864)))+C4864*(1-ABS(D4864)/(ABS(D4865)+ABS(D4864)))),"")))</f>
        <v>#NAME?</v>
      </c>
    </row>
    <row r="4866" spans="2:5" x14ac:dyDescent="0.25">
      <c r="B4866" t="e">
        <f t="shared" ca="1" si="153"/>
        <v>#NAME?</v>
      </c>
      <c r="C4866">
        <v>4823</v>
      </c>
      <c r="D4866" t="e">
        <f t="shared" ca="1" si="152"/>
        <v>#NAME?</v>
      </c>
      <c r="E4866" s="115" t="e">
        <f t="array" aca="1" ref="E4866" ca="1">IF(OR(C4865=0,AND(B4867=0,C4867=0)),"",IFERROR(INDEX($F$27:$F$36,MATCH(C4866,($F$27:$F$36)*($D$27:$D$36&lt;&gt;0),0)),IF(OR(AND(D4866=0,B4866=0,B4867&lt;&gt;0),AND(D4866*D4865&lt;0,B4866&lt;&gt;0)),IF(D4866=0,C4866,C4866*(1-ABS(D4866)/(ABS(D4866)+ABS(D4865)))+C4865*(1-ABS(D4865)/(ABS(D4866)+ABS(D4865)))),"")))</f>
        <v>#NAME?</v>
      </c>
    </row>
    <row r="4867" spans="2:5" x14ac:dyDescent="0.25">
      <c r="B4867" t="e">
        <f t="shared" ca="1" si="153"/>
        <v>#NAME?</v>
      </c>
      <c r="C4867">
        <v>4824</v>
      </c>
      <c r="D4867" t="e">
        <f t="shared" ca="1" si="152"/>
        <v>#NAME?</v>
      </c>
      <c r="E4867" s="115" t="e">
        <f t="array" aca="1" ref="E4867" ca="1">IF(OR(C4866=0,AND(B4868=0,C4868=0)),"",IFERROR(INDEX($F$27:$F$36,MATCH(C4867,($F$27:$F$36)*($D$27:$D$36&lt;&gt;0),0)),IF(OR(AND(D4867=0,B4867=0,B4868&lt;&gt;0),AND(D4867*D4866&lt;0,B4867&lt;&gt;0)),IF(D4867=0,C4867,C4867*(1-ABS(D4867)/(ABS(D4867)+ABS(D4866)))+C4866*(1-ABS(D4866)/(ABS(D4867)+ABS(D4866)))),"")))</f>
        <v>#NAME?</v>
      </c>
    </row>
    <row r="4868" spans="2:5" x14ac:dyDescent="0.25">
      <c r="B4868" t="e">
        <f t="shared" ca="1" si="153"/>
        <v>#NAME?</v>
      </c>
      <c r="C4868">
        <v>4825</v>
      </c>
      <c r="D4868" t="e">
        <f t="shared" ca="1" si="152"/>
        <v>#NAME?</v>
      </c>
      <c r="E4868" s="115" t="e">
        <f t="array" aca="1" ref="E4868" ca="1">IF(OR(C4867=0,AND(B4869=0,C4869=0)),"",IFERROR(INDEX($F$27:$F$36,MATCH(C4868,($F$27:$F$36)*($D$27:$D$36&lt;&gt;0),0)),IF(OR(AND(D4868=0,B4868=0,B4869&lt;&gt;0),AND(D4868*D4867&lt;0,B4868&lt;&gt;0)),IF(D4868=0,C4868,C4868*(1-ABS(D4868)/(ABS(D4868)+ABS(D4867)))+C4867*(1-ABS(D4867)/(ABS(D4868)+ABS(D4867)))),"")))</f>
        <v>#NAME?</v>
      </c>
    </row>
    <row r="4869" spans="2:5" x14ac:dyDescent="0.25">
      <c r="B4869" t="e">
        <f t="shared" ca="1" si="153"/>
        <v>#NAME?</v>
      </c>
      <c r="C4869">
        <v>4826</v>
      </c>
      <c r="D4869" t="e">
        <f t="shared" ca="1" si="152"/>
        <v>#NAME?</v>
      </c>
      <c r="E4869" s="115" t="e">
        <f t="array" aca="1" ref="E4869" ca="1">IF(OR(C4868=0,AND(B4870=0,C4870=0)),"",IFERROR(INDEX($F$27:$F$36,MATCH(C4869,($F$27:$F$36)*($D$27:$D$36&lt;&gt;0),0)),IF(OR(AND(D4869=0,B4869=0,B4870&lt;&gt;0),AND(D4869*D4868&lt;0,B4869&lt;&gt;0)),IF(D4869=0,C4869,C4869*(1-ABS(D4869)/(ABS(D4869)+ABS(D4868)))+C4868*(1-ABS(D4868)/(ABS(D4869)+ABS(D4868)))),"")))</f>
        <v>#NAME?</v>
      </c>
    </row>
    <row r="4870" spans="2:5" x14ac:dyDescent="0.25">
      <c r="B4870" t="e">
        <f t="shared" ca="1" si="153"/>
        <v>#NAME?</v>
      </c>
      <c r="C4870">
        <v>4827</v>
      </c>
      <c r="D4870" t="e">
        <f t="shared" ca="1" si="152"/>
        <v>#NAME?</v>
      </c>
      <c r="E4870" s="115" t="e">
        <f t="array" aca="1" ref="E4870" ca="1">IF(OR(C4869=0,AND(B4871=0,C4871=0)),"",IFERROR(INDEX($F$27:$F$36,MATCH(C4870,($F$27:$F$36)*($D$27:$D$36&lt;&gt;0),0)),IF(OR(AND(D4870=0,B4870=0,B4871&lt;&gt;0),AND(D4870*D4869&lt;0,B4870&lt;&gt;0)),IF(D4870=0,C4870,C4870*(1-ABS(D4870)/(ABS(D4870)+ABS(D4869)))+C4869*(1-ABS(D4869)/(ABS(D4870)+ABS(D4869)))),"")))</f>
        <v>#NAME?</v>
      </c>
    </row>
    <row r="4871" spans="2:5" x14ac:dyDescent="0.25">
      <c r="B4871" t="e">
        <f t="shared" ca="1" si="153"/>
        <v>#NAME?</v>
      </c>
      <c r="C4871">
        <v>4828</v>
      </c>
      <c r="D4871" t="e">
        <f t="shared" ca="1" si="152"/>
        <v>#NAME?</v>
      </c>
      <c r="E4871" s="115" t="e">
        <f t="array" aca="1" ref="E4871" ca="1">IF(OR(C4870=0,AND(B4872=0,C4872=0)),"",IFERROR(INDEX($F$27:$F$36,MATCH(C4871,($F$27:$F$36)*($D$27:$D$36&lt;&gt;0),0)),IF(OR(AND(D4871=0,B4871=0,B4872&lt;&gt;0),AND(D4871*D4870&lt;0,B4871&lt;&gt;0)),IF(D4871=0,C4871,C4871*(1-ABS(D4871)/(ABS(D4871)+ABS(D4870)))+C4870*(1-ABS(D4870)/(ABS(D4871)+ABS(D4870)))),"")))</f>
        <v>#NAME?</v>
      </c>
    </row>
    <row r="4872" spans="2:5" x14ac:dyDescent="0.25">
      <c r="B4872" t="e">
        <f t="shared" ca="1" si="153"/>
        <v>#NAME?</v>
      </c>
      <c r="C4872">
        <v>4829</v>
      </c>
      <c r="D4872" t="e">
        <f t="shared" ca="1" si="152"/>
        <v>#NAME?</v>
      </c>
      <c r="E4872" s="115" t="e">
        <f t="array" aca="1" ref="E4872" ca="1">IF(OR(C4871=0,AND(B4873=0,C4873=0)),"",IFERROR(INDEX($F$27:$F$36,MATCH(C4872,($F$27:$F$36)*($D$27:$D$36&lt;&gt;0),0)),IF(OR(AND(D4872=0,B4872=0,B4873&lt;&gt;0),AND(D4872*D4871&lt;0,B4872&lt;&gt;0)),IF(D4872=0,C4872,C4872*(1-ABS(D4872)/(ABS(D4872)+ABS(D4871)))+C4871*(1-ABS(D4871)/(ABS(D4872)+ABS(D4871)))),"")))</f>
        <v>#NAME?</v>
      </c>
    </row>
    <row r="4873" spans="2:5" x14ac:dyDescent="0.25">
      <c r="B4873" t="e">
        <f t="shared" ca="1" si="153"/>
        <v>#NAME?</v>
      </c>
      <c r="C4873">
        <v>4830</v>
      </c>
      <c r="D4873" t="e">
        <f t="shared" ca="1" si="152"/>
        <v>#NAME?</v>
      </c>
      <c r="E4873" s="115" t="e">
        <f t="array" aca="1" ref="E4873" ca="1">IF(OR(C4872=0,AND(B4874=0,C4874=0)),"",IFERROR(INDEX($F$27:$F$36,MATCH(C4873,($F$27:$F$36)*($D$27:$D$36&lt;&gt;0),0)),IF(OR(AND(D4873=0,B4873=0,B4874&lt;&gt;0),AND(D4873*D4872&lt;0,B4873&lt;&gt;0)),IF(D4873=0,C4873,C4873*(1-ABS(D4873)/(ABS(D4873)+ABS(D4872)))+C4872*(1-ABS(D4872)/(ABS(D4873)+ABS(D4872)))),"")))</f>
        <v>#NAME?</v>
      </c>
    </row>
    <row r="4874" spans="2:5" x14ac:dyDescent="0.25">
      <c r="B4874" t="e">
        <f t="shared" ca="1" si="153"/>
        <v>#NAME?</v>
      </c>
      <c r="C4874">
        <v>4831</v>
      </c>
      <c r="D4874" t="e">
        <f t="shared" ca="1" si="152"/>
        <v>#NAME?</v>
      </c>
      <c r="E4874" s="115" t="e">
        <f t="array" aca="1" ref="E4874" ca="1">IF(OR(C4873=0,AND(B4875=0,C4875=0)),"",IFERROR(INDEX($F$27:$F$36,MATCH(C4874,($F$27:$F$36)*($D$27:$D$36&lt;&gt;0),0)),IF(OR(AND(D4874=0,B4874=0,B4875&lt;&gt;0),AND(D4874*D4873&lt;0,B4874&lt;&gt;0)),IF(D4874=0,C4874,C4874*(1-ABS(D4874)/(ABS(D4874)+ABS(D4873)))+C4873*(1-ABS(D4873)/(ABS(D4874)+ABS(D4873)))),"")))</f>
        <v>#NAME?</v>
      </c>
    </row>
    <row r="4875" spans="2:5" x14ac:dyDescent="0.25">
      <c r="B4875" t="e">
        <f t="shared" ca="1" si="153"/>
        <v>#NAME?</v>
      </c>
      <c r="C4875">
        <v>4832</v>
      </c>
      <c r="D4875" t="e">
        <f t="shared" ca="1" si="152"/>
        <v>#NAME?</v>
      </c>
      <c r="E4875" s="115" t="e">
        <f t="array" aca="1" ref="E4875" ca="1">IF(OR(C4874=0,AND(B4876=0,C4876=0)),"",IFERROR(INDEX($F$27:$F$36,MATCH(C4875,($F$27:$F$36)*($D$27:$D$36&lt;&gt;0),0)),IF(OR(AND(D4875=0,B4875=0,B4876&lt;&gt;0),AND(D4875*D4874&lt;0,B4875&lt;&gt;0)),IF(D4875=0,C4875,C4875*(1-ABS(D4875)/(ABS(D4875)+ABS(D4874)))+C4874*(1-ABS(D4874)/(ABS(D4875)+ABS(D4874)))),"")))</f>
        <v>#NAME?</v>
      </c>
    </row>
    <row r="4876" spans="2:5" x14ac:dyDescent="0.25">
      <c r="B4876" t="e">
        <f t="shared" ca="1" si="153"/>
        <v>#NAME?</v>
      </c>
      <c r="C4876">
        <v>4833</v>
      </c>
      <c r="D4876" t="e">
        <f t="shared" ca="1" si="152"/>
        <v>#NAME?</v>
      </c>
      <c r="E4876" s="115" t="e">
        <f t="array" aca="1" ref="E4876" ca="1">IF(OR(C4875=0,AND(B4877=0,C4877=0)),"",IFERROR(INDEX($F$27:$F$36,MATCH(C4876,($F$27:$F$36)*($D$27:$D$36&lt;&gt;0),0)),IF(OR(AND(D4876=0,B4876=0,B4877&lt;&gt;0),AND(D4876*D4875&lt;0,B4876&lt;&gt;0)),IF(D4876=0,C4876,C4876*(1-ABS(D4876)/(ABS(D4876)+ABS(D4875)))+C4875*(1-ABS(D4875)/(ABS(D4876)+ABS(D4875)))),"")))</f>
        <v>#NAME?</v>
      </c>
    </row>
    <row r="4877" spans="2:5" x14ac:dyDescent="0.25">
      <c r="B4877" t="e">
        <f t="shared" ca="1" si="153"/>
        <v>#NAME?</v>
      </c>
      <c r="C4877">
        <v>4834</v>
      </c>
      <c r="D4877" t="e">
        <f t="shared" ca="1" si="152"/>
        <v>#NAME?</v>
      </c>
      <c r="E4877" s="115" t="e">
        <f t="array" aca="1" ref="E4877" ca="1">IF(OR(C4876=0,AND(B4878=0,C4878=0)),"",IFERROR(INDEX($F$27:$F$36,MATCH(C4877,($F$27:$F$36)*($D$27:$D$36&lt;&gt;0),0)),IF(OR(AND(D4877=0,B4877=0,B4878&lt;&gt;0),AND(D4877*D4876&lt;0,B4877&lt;&gt;0)),IF(D4877=0,C4877,C4877*(1-ABS(D4877)/(ABS(D4877)+ABS(D4876)))+C4876*(1-ABS(D4876)/(ABS(D4877)+ABS(D4876)))),"")))</f>
        <v>#NAME?</v>
      </c>
    </row>
    <row r="4878" spans="2:5" x14ac:dyDescent="0.25">
      <c r="B4878" t="e">
        <f t="shared" ca="1" si="153"/>
        <v>#NAME?</v>
      </c>
      <c r="C4878">
        <v>4835</v>
      </c>
      <c r="D4878" t="e">
        <f t="shared" ca="1" si="152"/>
        <v>#NAME?</v>
      </c>
      <c r="E4878" s="115" t="e">
        <f t="array" aca="1" ref="E4878" ca="1">IF(OR(C4877=0,AND(B4879=0,C4879=0)),"",IFERROR(INDEX($F$27:$F$36,MATCH(C4878,($F$27:$F$36)*($D$27:$D$36&lt;&gt;0),0)),IF(OR(AND(D4878=0,B4878=0,B4879&lt;&gt;0),AND(D4878*D4877&lt;0,B4878&lt;&gt;0)),IF(D4878=0,C4878,C4878*(1-ABS(D4878)/(ABS(D4878)+ABS(D4877)))+C4877*(1-ABS(D4877)/(ABS(D4878)+ABS(D4877)))),"")))</f>
        <v>#NAME?</v>
      </c>
    </row>
    <row r="4879" spans="2:5" x14ac:dyDescent="0.25">
      <c r="B4879" t="e">
        <f t="shared" ca="1" si="153"/>
        <v>#NAME?</v>
      </c>
      <c r="C4879">
        <v>4836</v>
      </c>
      <c r="D4879" t="e">
        <f t="shared" ca="1" si="152"/>
        <v>#NAME?</v>
      </c>
      <c r="E4879" s="115" t="e">
        <f t="array" aca="1" ref="E4879" ca="1">IF(OR(C4878=0,AND(B4880=0,C4880=0)),"",IFERROR(INDEX($F$27:$F$36,MATCH(C4879,($F$27:$F$36)*($D$27:$D$36&lt;&gt;0),0)),IF(OR(AND(D4879=0,B4879=0,B4880&lt;&gt;0),AND(D4879*D4878&lt;0,B4879&lt;&gt;0)),IF(D4879=0,C4879,C4879*(1-ABS(D4879)/(ABS(D4879)+ABS(D4878)))+C4878*(1-ABS(D4878)/(ABS(D4879)+ABS(D4878)))),"")))</f>
        <v>#NAME?</v>
      </c>
    </row>
    <row r="4880" spans="2:5" x14ac:dyDescent="0.25">
      <c r="B4880" t="e">
        <f t="shared" ca="1" si="153"/>
        <v>#NAME?</v>
      </c>
      <c r="C4880">
        <v>4837</v>
      </c>
      <c r="D4880" t="e">
        <f t="shared" ca="1" si="152"/>
        <v>#NAME?</v>
      </c>
      <c r="E4880" s="115" t="e">
        <f t="array" aca="1" ref="E4880" ca="1">IF(OR(C4879=0,AND(B4881=0,C4881=0)),"",IFERROR(INDEX($F$27:$F$36,MATCH(C4880,($F$27:$F$36)*($D$27:$D$36&lt;&gt;0),0)),IF(OR(AND(D4880=0,B4880=0,B4881&lt;&gt;0),AND(D4880*D4879&lt;0,B4880&lt;&gt;0)),IF(D4880=0,C4880,C4880*(1-ABS(D4880)/(ABS(D4880)+ABS(D4879)))+C4879*(1-ABS(D4879)/(ABS(D4880)+ABS(D4879)))),"")))</f>
        <v>#NAME?</v>
      </c>
    </row>
    <row r="4881" spans="2:5" x14ac:dyDescent="0.25">
      <c r="B4881" t="e">
        <f t="shared" ca="1" si="153"/>
        <v>#NAME?</v>
      </c>
      <c r="C4881">
        <v>4838</v>
      </c>
      <c r="D4881" t="e">
        <f t="shared" ca="1" si="152"/>
        <v>#NAME?</v>
      </c>
      <c r="E4881" s="115" t="e">
        <f t="array" aca="1" ref="E4881" ca="1">IF(OR(C4880=0,AND(B4882=0,C4882=0)),"",IFERROR(INDEX($F$27:$F$36,MATCH(C4881,($F$27:$F$36)*($D$27:$D$36&lt;&gt;0),0)),IF(OR(AND(D4881=0,B4881=0,B4882&lt;&gt;0),AND(D4881*D4880&lt;0,B4881&lt;&gt;0)),IF(D4881=0,C4881,C4881*(1-ABS(D4881)/(ABS(D4881)+ABS(D4880)))+C4880*(1-ABS(D4880)/(ABS(D4881)+ABS(D4880)))),"")))</f>
        <v>#NAME?</v>
      </c>
    </row>
    <row r="4882" spans="2:5" x14ac:dyDescent="0.25">
      <c r="B4882" t="e">
        <f t="shared" ca="1" si="153"/>
        <v>#NAME?</v>
      </c>
      <c r="C4882">
        <v>4839</v>
      </c>
      <c r="D4882" t="e">
        <f t="shared" ca="1" si="152"/>
        <v>#NAME?</v>
      </c>
      <c r="E4882" s="115" t="e">
        <f t="array" aca="1" ref="E4882" ca="1">IF(OR(C4881=0,AND(B4883=0,C4883=0)),"",IFERROR(INDEX($F$27:$F$36,MATCH(C4882,($F$27:$F$36)*($D$27:$D$36&lt;&gt;0),0)),IF(OR(AND(D4882=0,B4882=0,B4883&lt;&gt;0),AND(D4882*D4881&lt;0,B4882&lt;&gt;0)),IF(D4882=0,C4882,C4882*(1-ABS(D4882)/(ABS(D4882)+ABS(D4881)))+C4881*(1-ABS(D4881)/(ABS(D4882)+ABS(D4881)))),"")))</f>
        <v>#NAME?</v>
      </c>
    </row>
    <row r="4883" spans="2:5" x14ac:dyDescent="0.25">
      <c r="B4883" t="e">
        <f t="shared" ca="1" si="153"/>
        <v>#NAME?</v>
      </c>
      <c r="C4883">
        <v>4840</v>
      </c>
      <c r="D4883" t="e">
        <f t="shared" ca="1" si="152"/>
        <v>#NAME?</v>
      </c>
      <c r="E4883" s="115" t="e">
        <f t="array" aca="1" ref="E4883" ca="1">IF(OR(C4882=0,AND(B4884=0,C4884=0)),"",IFERROR(INDEX($F$27:$F$36,MATCH(C4883,($F$27:$F$36)*($D$27:$D$36&lt;&gt;0),0)),IF(OR(AND(D4883=0,B4883=0,B4884&lt;&gt;0),AND(D4883*D4882&lt;0,B4883&lt;&gt;0)),IF(D4883=0,C4883,C4883*(1-ABS(D4883)/(ABS(D4883)+ABS(D4882)))+C4882*(1-ABS(D4882)/(ABS(D4883)+ABS(D4882)))),"")))</f>
        <v>#NAME?</v>
      </c>
    </row>
    <row r="4884" spans="2:5" x14ac:dyDescent="0.25">
      <c r="B4884" t="e">
        <f t="shared" ca="1" si="153"/>
        <v>#NAME?</v>
      </c>
      <c r="C4884">
        <v>4841</v>
      </c>
      <c r="D4884" t="e">
        <f t="shared" ca="1" si="152"/>
        <v>#NAME?</v>
      </c>
      <c r="E4884" s="115" t="e">
        <f t="array" aca="1" ref="E4884" ca="1">IF(OR(C4883=0,AND(B4885=0,C4885=0)),"",IFERROR(INDEX($F$27:$F$36,MATCH(C4884,($F$27:$F$36)*($D$27:$D$36&lt;&gt;0),0)),IF(OR(AND(D4884=0,B4884=0,B4885&lt;&gt;0),AND(D4884*D4883&lt;0,B4884&lt;&gt;0)),IF(D4884=0,C4884,C4884*(1-ABS(D4884)/(ABS(D4884)+ABS(D4883)))+C4883*(1-ABS(D4883)/(ABS(D4884)+ABS(D4883)))),"")))</f>
        <v>#NAME?</v>
      </c>
    </row>
    <row r="4885" spans="2:5" x14ac:dyDescent="0.25">
      <c r="B4885" t="e">
        <f t="shared" ca="1" si="153"/>
        <v>#NAME?</v>
      </c>
      <c r="C4885">
        <v>4842</v>
      </c>
      <c r="D4885" t="e">
        <f t="shared" ca="1" si="152"/>
        <v>#NAME?</v>
      </c>
      <c r="E4885" s="115" t="e">
        <f t="array" aca="1" ref="E4885" ca="1">IF(OR(C4884=0,AND(B4886=0,C4886=0)),"",IFERROR(INDEX($F$27:$F$36,MATCH(C4885,($F$27:$F$36)*($D$27:$D$36&lt;&gt;0),0)),IF(OR(AND(D4885=0,B4885=0,B4886&lt;&gt;0),AND(D4885*D4884&lt;0,B4885&lt;&gt;0)),IF(D4885=0,C4885,C4885*(1-ABS(D4885)/(ABS(D4885)+ABS(D4884)))+C4884*(1-ABS(D4884)/(ABS(D4885)+ABS(D4884)))),"")))</f>
        <v>#NAME?</v>
      </c>
    </row>
    <row r="4886" spans="2:5" x14ac:dyDescent="0.25">
      <c r="B4886" t="e">
        <f t="shared" ca="1" si="153"/>
        <v>#NAME?</v>
      </c>
      <c r="C4886">
        <v>4843</v>
      </c>
      <c r="D4886" t="e">
        <f t="shared" ca="1" si="152"/>
        <v>#NAME?</v>
      </c>
      <c r="E4886" s="115" t="e">
        <f t="array" aca="1" ref="E4886" ca="1">IF(OR(C4885=0,AND(B4887=0,C4887=0)),"",IFERROR(INDEX($F$27:$F$36,MATCH(C4886,($F$27:$F$36)*($D$27:$D$36&lt;&gt;0),0)),IF(OR(AND(D4886=0,B4886=0,B4887&lt;&gt;0),AND(D4886*D4885&lt;0,B4886&lt;&gt;0)),IF(D4886=0,C4886,C4886*(1-ABS(D4886)/(ABS(D4886)+ABS(D4885)))+C4885*(1-ABS(D4885)/(ABS(D4886)+ABS(D4885)))),"")))</f>
        <v>#NAME?</v>
      </c>
    </row>
    <row r="4887" spans="2:5" x14ac:dyDescent="0.25">
      <c r="B4887" t="e">
        <f t="shared" ca="1" si="153"/>
        <v>#NAME?</v>
      </c>
      <c r="C4887">
        <v>4844</v>
      </c>
      <c r="D4887" t="e">
        <f t="shared" ca="1" si="152"/>
        <v>#NAME?</v>
      </c>
      <c r="E4887" s="115" t="e">
        <f t="array" aca="1" ref="E4887" ca="1">IF(OR(C4886=0,AND(B4888=0,C4888=0)),"",IFERROR(INDEX($F$27:$F$36,MATCH(C4887,($F$27:$F$36)*($D$27:$D$36&lt;&gt;0),0)),IF(OR(AND(D4887=0,B4887=0,B4888&lt;&gt;0),AND(D4887*D4886&lt;0,B4887&lt;&gt;0)),IF(D4887=0,C4887,C4887*(1-ABS(D4887)/(ABS(D4887)+ABS(D4886)))+C4886*(1-ABS(D4886)/(ABS(D4887)+ABS(D4886)))),"")))</f>
        <v>#NAME?</v>
      </c>
    </row>
    <row r="4888" spans="2:5" x14ac:dyDescent="0.25">
      <c r="B4888" t="e">
        <f t="shared" ca="1" si="153"/>
        <v>#NAME?</v>
      </c>
      <c r="C4888">
        <v>4845</v>
      </c>
      <c r="D4888" t="e">
        <f t="shared" ca="1" si="152"/>
        <v>#NAME?</v>
      </c>
      <c r="E4888" s="115" t="e">
        <f t="array" aca="1" ref="E4888" ca="1">IF(OR(C4887=0,AND(B4889=0,C4889=0)),"",IFERROR(INDEX($F$27:$F$36,MATCH(C4888,($F$27:$F$36)*($D$27:$D$36&lt;&gt;0),0)),IF(OR(AND(D4888=0,B4888=0,B4889&lt;&gt;0),AND(D4888*D4887&lt;0,B4888&lt;&gt;0)),IF(D4888=0,C4888,C4888*(1-ABS(D4888)/(ABS(D4888)+ABS(D4887)))+C4887*(1-ABS(D4887)/(ABS(D4888)+ABS(D4887)))),"")))</f>
        <v>#NAME?</v>
      </c>
    </row>
    <row r="4889" spans="2:5" x14ac:dyDescent="0.25">
      <c r="B4889" t="e">
        <f t="shared" ca="1" si="153"/>
        <v>#NAME?</v>
      </c>
      <c r="C4889">
        <v>4846</v>
      </c>
      <c r="D4889" t="e">
        <f t="shared" ca="1" si="152"/>
        <v>#NAME?</v>
      </c>
      <c r="E4889" s="115" t="e">
        <f t="array" aca="1" ref="E4889" ca="1">IF(OR(C4888=0,AND(B4890=0,C4890=0)),"",IFERROR(INDEX($F$27:$F$36,MATCH(C4889,($F$27:$F$36)*($D$27:$D$36&lt;&gt;0),0)),IF(OR(AND(D4889=0,B4889=0,B4890&lt;&gt;0),AND(D4889*D4888&lt;0,B4889&lt;&gt;0)),IF(D4889=0,C4889,C4889*(1-ABS(D4889)/(ABS(D4889)+ABS(D4888)))+C4888*(1-ABS(D4888)/(ABS(D4889)+ABS(D4888)))),"")))</f>
        <v>#NAME?</v>
      </c>
    </row>
    <row r="4890" spans="2:5" x14ac:dyDescent="0.25">
      <c r="B4890" t="e">
        <f t="shared" ca="1" si="153"/>
        <v>#NAME?</v>
      </c>
      <c r="C4890">
        <v>4847</v>
      </c>
      <c r="D4890" t="e">
        <f t="shared" ca="1" si="152"/>
        <v>#NAME?</v>
      </c>
      <c r="E4890" s="115" t="e">
        <f t="array" aca="1" ref="E4890" ca="1">IF(OR(C4889=0,AND(B4891=0,C4891=0)),"",IFERROR(INDEX($F$27:$F$36,MATCH(C4890,($F$27:$F$36)*($D$27:$D$36&lt;&gt;0),0)),IF(OR(AND(D4890=0,B4890=0,B4891&lt;&gt;0),AND(D4890*D4889&lt;0,B4890&lt;&gt;0)),IF(D4890=0,C4890,C4890*(1-ABS(D4890)/(ABS(D4890)+ABS(D4889)))+C4889*(1-ABS(D4889)/(ABS(D4890)+ABS(D4889)))),"")))</f>
        <v>#NAME?</v>
      </c>
    </row>
    <row r="4891" spans="2:5" x14ac:dyDescent="0.25">
      <c r="B4891" t="e">
        <f t="shared" ca="1" si="153"/>
        <v>#NAME?</v>
      </c>
      <c r="C4891">
        <v>4848</v>
      </c>
      <c r="D4891" t="e">
        <f t="shared" ca="1" si="152"/>
        <v>#NAME?</v>
      </c>
      <c r="E4891" s="115" t="e">
        <f t="array" aca="1" ref="E4891" ca="1">IF(OR(C4890=0,AND(B4892=0,C4892=0)),"",IFERROR(INDEX($F$27:$F$36,MATCH(C4891,($F$27:$F$36)*($D$27:$D$36&lt;&gt;0),0)),IF(OR(AND(D4891=0,B4891=0,B4892&lt;&gt;0),AND(D4891*D4890&lt;0,B4891&lt;&gt;0)),IF(D4891=0,C4891,C4891*(1-ABS(D4891)/(ABS(D4891)+ABS(D4890)))+C4890*(1-ABS(D4890)/(ABS(D4891)+ABS(D4890)))),"")))</f>
        <v>#NAME?</v>
      </c>
    </row>
    <row r="4892" spans="2:5" x14ac:dyDescent="0.25">
      <c r="B4892" t="e">
        <f t="shared" ca="1" si="153"/>
        <v>#NAME?</v>
      </c>
      <c r="C4892">
        <v>4849</v>
      </c>
      <c r="D4892" t="e">
        <f t="shared" ca="1" si="152"/>
        <v>#NAME?</v>
      </c>
      <c r="E4892" s="115" t="e">
        <f t="array" aca="1" ref="E4892" ca="1">IF(OR(C4891=0,AND(B4893=0,C4893=0)),"",IFERROR(INDEX($F$27:$F$36,MATCH(C4892,($F$27:$F$36)*($D$27:$D$36&lt;&gt;0),0)),IF(OR(AND(D4892=0,B4892=0,B4893&lt;&gt;0),AND(D4892*D4891&lt;0,B4892&lt;&gt;0)),IF(D4892=0,C4892,C4892*(1-ABS(D4892)/(ABS(D4892)+ABS(D4891)))+C4891*(1-ABS(D4891)/(ABS(D4892)+ABS(D4891)))),"")))</f>
        <v>#NAME?</v>
      </c>
    </row>
    <row r="4893" spans="2:5" x14ac:dyDescent="0.25">
      <c r="B4893" t="e">
        <f t="shared" ca="1" si="153"/>
        <v>#NAME?</v>
      </c>
      <c r="C4893">
        <v>4850</v>
      </c>
      <c r="D4893" t="e">
        <f t="shared" ca="1" si="152"/>
        <v>#NAME?</v>
      </c>
      <c r="E4893" s="115" t="e">
        <f t="array" aca="1" ref="E4893" ca="1">IF(OR(C4892=0,AND(B4894=0,C4894=0)),"",IFERROR(INDEX($F$27:$F$36,MATCH(C4893,($F$27:$F$36)*($D$27:$D$36&lt;&gt;0),0)),IF(OR(AND(D4893=0,B4893=0,B4894&lt;&gt;0),AND(D4893*D4892&lt;0,B4893&lt;&gt;0)),IF(D4893=0,C4893,C4893*(1-ABS(D4893)/(ABS(D4893)+ABS(D4892)))+C4892*(1-ABS(D4892)/(ABS(D4893)+ABS(D4892)))),"")))</f>
        <v>#NAME?</v>
      </c>
    </row>
    <row r="4894" spans="2:5" x14ac:dyDescent="0.25">
      <c r="B4894" t="e">
        <f t="shared" ca="1" si="153"/>
        <v>#NAME?</v>
      </c>
      <c r="C4894">
        <v>4851</v>
      </c>
      <c r="D4894" t="e">
        <f t="shared" ca="1" si="152"/>
        <v>#NAME?</v>
      </c>
      <c r="E4894" s="115" t="e">
        <f t="array" aca="1" ref="E4894" ca="1">IF(OR(C4893=0,AND(B4895=0,C4895=0)),"",IFERROR(INDEX($F$27:$F$36,MATCH(C4894,($F$27:$F$36)*($D$27:$D$36&lt;&gt;0),0)),IF(OR(AND(D4894=0,B4894=0,B4895&lt;&gt;0),AND(D4894*D4893&lt;0,B4894&lt;&gt;0)),IF(D4894=0,C4894,C4894*(1-ABS(D4894)/(ABS(D4894)+ABS(D4893)))+C4893*(1-ABS(D4893)/(ABS(D4894)+ABS(D4893)))),"")))</f>
        <v>#NAME?</v>
      </c>
    </row>
    <row r="4895" spans="2:5" x14ac:dyDescent="0.25">
      <c r="B4895" t="e">
        <f t="shared" ca="1" si="153"/>
        <v>#NAME?</v>
      </c>
      <c r="C4895">
        <v>4852</v>
      </c>
      <c r="D4895" t="e">
        <f t="shared" ca="1" si="152"/>
        <v>#NAME?</v>
      </c>
      <c r="E4895" s="115" t="e">
        <f t="array" aca="1" ref="E4895" ca="1">IF(OR(C4894=0,AND(B4896=0,C4896=0)),"",IFERROR(INDEX($F$27:$F$36,MATCH(C4895,($F$27:$F$36)*($D$27:$D$36&lt;&gt;0),0)),IF(OR(AND(D4895=0,B4895=0,B4896&lt;&gt;0),AND(D4895*D4894&lt;0,B4895&lt;&gt;0)),IF(D4895=0,C4895,C4895*(1-ABS(D4895)/(ABS(D4895)+ABS(D4894)))+C4894*(1-ABS(D4894)/(ABS(D4895)+ABS(D4894)))),"")))</f>
        <v>#NAME?</v>
      </c>
    </row>
    <row r="4896" spans="2:5" x14ac:dyDescent="0.25">
      <c r="B4896" t="e">
        <f t="shared" ca="1" si="153"/>
        <v>#NAME?</v>
      </c>
      <c r="C4896">
        <v>4853</v>
      </c>
      <c r="D4896" t="e">
        <f t="shared" ca="1" si="152"/>
        <v>#NAME?</v>
      </c>
      <c r="E4896" s="115" t="e">
        <f t="array" aca="1" ref="E4896" ca="1">IF(OR(C4895=0,AND(B4897=0,C4897=0)),"",IFERROR(INDEX($F$27:$F$36,MATCH(C4896,($F$27:$F$36)*($D$27:$D$36&lt;&gt;0),0)),IF(OR(AND(D4896=0,B4896=0,B4897&lt;&gt;0),AND(D4896*D4895&lt;0,B4896&lt;&gt;0)),IF(D4896=0,C4896,C4896*(1-ABS(D4896)/(ABS(D4896)+ABS(D4895)))+C4895*(1-ABS(D4895)/(ABS(D4896)+ABS(D4895)))),"")))</f>
        <v>#NAME?</v>
      </c>
    </row>
    <row r="4897" spans="2:5" x14ac:dyDescent="0.25">
      <c r="B4897" t="e">
        <f t="shared" ca="1" si="153"/>
        <v>#NAME?</v>
      </c>
      <c r="C4897">
        <v>4854</v>
      </c>
      <c r="D4897" t="e">
        <f t="shared" ca="1" si="152"/>
        <v>#NAME?</v>
      </c>
      <c r="E4897" s="115" t="e">
        <f t="array" aca="1" ref="E4897" ca="1">IF(OR(C4896=0,AND(B4898=0,C4898=0)),"",IFERROR(INDEX($F$27:$F$36,MATCH(C4897,($F$27:$F$36)*($D$27:$D$36&lt;&gt;0),0)),IF(OR(AND(D4897=0,B4897=0,B4898&lt;&gt;0),AND(D4897*D4896&lt;0,B4897&lt;&gt;0)),IF(D4897=0,C4897,C4897*(1-ABS(D4897)/(ABS(D4897)+ABS(D4896)))+C4896*(1-ABS(D4896)/(ABS(D4897)+ABS(D4896)))),"")))</f>
        <v>#NAME?</v>
      </c>
    </row>
    <row r="4898" spans="2:5" x14ac:dyDescent="0.25">
      <c r="B4898" t="e">
        <f t="shared" ca="1" si="153"/>
        <v>#NAME?</v>
      </c>
      <c r="C4898">
        <v>4855</v>
      </c>
      <c r="D4898" t="e">
        <f t="shared" ca="1" si="152"/>
        <v>#NAME?</v>
      </c>
      <c r="E4898" s="115" t="e">
        <f t="array" aca="1" ref="E4898" ca="1">IF(OR(C4897=0,AND(B4899=0,C4899=0)),"",IFERROR(INDEX($F$27:$F$36,MATCH(C4898,($F$27:$F$36)*($D$27:$D$36&lt;&gt;0),0)),IF(OR(AND(D4898=0,B4898=0,B4899&lt;&gt;0),AND(D4898*D4897&lt;0,B4898&lt;&gt;0)),IF(D4898=0,C4898,C4898*(1-ABS(D4898)/(ABS(D4898)+ABS(D4897)))+C4897*(1-ABS(D4897)/(ABS(D4898)+ABS(D4897)))),"")))</f>
        <v>#NAME?</v>
      </c>
    </row>
    <row r="4899" spans="2:5" x14ac:dyDescent="0.25">
      <c r="B4899" t="e">
        <f t="shared" ca="1" si="153"/>
        <v>#NAME?</v>
      </c>
      <c r="C4899">
        <v>4856</v>
      </c>
      <c r="D4899" t="e">
        <f t="shared" ca="1" si="152"/>
        <v>#NAME?</v>
      </c>
      <c r="E4899" s="115" t="e">
        <f t="array" aca="1" ref="E4899" ca="1">IF(OR(C4898=0,AND(B4900=0,C4900=0)),"",IFERROR(INDEX($F$27:$F$36,MATCH(C4899,($F$27:$F$36)*($D$27:$D$36&lt;&gt;0),0)),IF(OR(AND(D4899=0,B4899=0,B4900&lt;&gt;0),AND(D4899*D4898&lt;0,B4899&lt;&gt;0)),IF(D4899=0,C4899,C4899*(1-ABS(D4899)/(ABS(D4899)+ABS(D4898)))+C4898*(1-ABS(D4898)/(ABS(D4899)+ABS(D4898)))),"")))</f>
        <v>#NAME?</v>
      </c>
    </row>
    <row r="4900" spans="2:5" x14ac:dyDescent="0.25">
      <c r="B4900" t="e">
        <f t="shared" ca="1" si="153"/>
        <v>#NAME?</v>
      </c>
      <c r="C4900">
        <v>4857</v>
      </c>
      <c r="D4900" t="e">
        <f t="shared" ca="1" si="152"/>
        <v>#NAME?</v>
      </c>
      <c r="E4900" s="115" t="e">
        <f t="array" aca="1" ref="E4900" ca="1">IF(OR(C4899=0,AND(B4901=0,C4901=0)),"",IFERROR(INDEX($F$27:$F$36,MATCH(C4900,($F$27:$F$36)*($D$27:$D$36&lt;&gt;0),0)),IF(OR(AND(D4900=0,B4900=0,B4901&lt;&gt;0),AND(D4900*D4899&lt;0,B4900&lt;&gt;0)),IF(D4900=0,C4900,C4900*(1-ABS(D4900)/(ABS(D4900)+ABS(D4899)))+C4899*(1-ABS(D4899)/(ABS(D4900)+ABS(D4899)))),"")))</f>
        <v>#NAME?</v>
      </c>
    </row>
    <row r="4901" spans="2:5" x14ac:dyDescent="0.25">
      <c r="B4901" t="e">
        <f t="shared" ca="1" si="153"/>
        <v>#NAME?</v>
      </c>
      <c r="C4901">
        <v>4858</v>
      </c>
      <c r="D4901" t="e">
        <f t="shared" ca="1" si="152"/>
        <v>#NAME?</v>
      </c>
      <c r="E4901" s="115" t="e">
        <f t="array" aca="1" ref="E4901" ca="1">IF(OR(C4900=0,AND(B4902=0,C4902=0)),"",IFERROR(INDEX($F$27:$F$36,MATCH(C4901,($F$27:$F$36)*($D$27:$D$36&lt;&gt;0),0)),IF(OR(AND(D4901=0,B4901=0,B4902&lt;&gt;0),AND(D4901*D4900&lt;0,B4901&lt;&gt;0)),IF(D4901=0,C4901,C4901*(1-ABS(D4901)/(ABS(D4901)+ABS(D4900)))+C4900*(1-ABS(D4900)/(ABS(D4901)+ABS(D4900)))),"")))</f>
        <v>#NAME?</v>
      </c>
    </row>
    <row r="4902" spans="2:5" x14ac:dyDescent="0.25">
      <c r="B4902" t="e">
        <f t="shared" ca="1" si="153"/>
        <v>#NAME?</v>
      </c>
      <c r="C4902">
        <v>4859</v>
      </c>
      <c r="D4902" t="e">
        <f t="shared" ca="1" si="152"/>
        <v>#NAME?</v>
      </c>
      <c r="E4902" s="115" t="e">
        <f t="array" aca="1" ref="E4902" ca="1">IF(OR(C4901=0,AND(B4903=0,C4903=0)),"",IFERROR(INDEX($F$27:$F$36,MATCH(C4902,($F$27:$F$36)*($D$27:$D$36&lt;&gt;0),0)),IF(OR(AND(D4902=0,B4902=0,B4903&lt;&gt;0),AND(D4902*D4901&lt;0,B4902&lt;&gt;0)),IF(D4902=0,C4902,C4902*(1-ABS(D4902)/(ABS(D4902)+ABS(D4901)))+C4901*(1-ABS(D4901)/(ABS(D4902)+ABS(D4901)))),"")))</f>
        <v>#NAME?</v>
      </c>
    </row>
    <row r="4903" spans="2:5" x14ac:dyDescent="0.25">
      <c r="B4903" t="e">
        <f t="shared" ca="1" si="153"/>
        <v>#NAME?</v>
      </c>
      <c r="C4903">
        <v>4860</v>
      </c>
      <c r="D4903" t="e">
        <f t="shared" ca="1" si="152"/>
        <v>#NAME?</v>
      </c>
      <c r="E4903" s="115" t="e">
        <f t="array" aca="1" ref="E4903" ca="1">IF(OR(C4902=0,AND(B4904=0,C4904=0)),"",IFERROR(INDEX($F$27:$F$36,MATCH(C4903,($F$27:$F$36)*($D$27:$D$36&lt;&gt;0),0)),IF(OR(AND(D4903=0,B4903=0,B4904&lt;&gt;0),AND(D4903*D4902&lt;0,B4903&lt;&gt;0)),IF(D4903=0,C4903,C4903*(1-ABS(D4903)/(ABS(D4903)+ABS(D4902)))+C4902*(1-ABS(D4902)/(ABS(D4903)+ABS(D4902)))),"")))</f>
        <v>#NAME?</v>
      </c>
    </row>
    <row r="4904" spans="2:5" x14ac:dyDescent="0.25">
      <c r="B4904" t="e">
        <f t="shared" ca="1" si="153"/>
        <v>#NAME?</v>
      </c>
      <c r="C4904">
        <v>4861</v>
      </c>
      <c r="D4904" t="e">
        <f t="shared" ca="1" si="152"/>
        <v>#NAME?</v>
      </c>
      <c r="E4904" s="115" t="e">
        <f t="array" aca="1" ref="E4904" ca="1">IF(OR(C4903=0,AND(B4905=0,C4905=0)),"",IFERROR(INDEX($F$27:$F$36,MATCH(C4904,($F$27:$F$36)*($D$27:$D$36&lt;&gt;0),0)),IF(OR(AND(D4904=0,B4904=0,B4905&lt;&gt;0),AND(D4904*D4903&lt;0,B4904&lt;&gt;0)),IF(D4904=0,C4904,C4904*(1-ABS(D4904)/(ABS(D4904)+ABS(D4903)))+C4903*(1-ABS(D4903)/(ABS(D4904)+ABS(D4903)))),"")))</f>
        <v>#NAME?</v>
      </c>
    </row>
    <row r="4905" spans="2:5" x14ac:dyDescent="0.25">
      <c r="B4905" t="e">
        <f t="shared" ca="1" si="153"/>
        <v>#NAME?</v>
      </c>
      <c r="C4905">
        <v>4862</v>
      </c>
      <c r="D4905" t="e">
        <f t="shared" ca="1" si="152"/>
        <v>#NAME?</v>
      </c>
      <c r="E4905" s="115" t="e">
        <f t="array" aca="1" ref="E4905" ca="1">IF(OR(C4904=0,AND(B4906=0,C4906=0)),"",IFERROR(INDEX($F$27:$F$36,MATCH(C4905,($F$27:$F$36)*($D$27:$D$36&lt;&gt;0),0)),IF(OR(AND(D4905=0,B4905=0,B4906&lt;&gt;0),AND(D4905*D4904&lt;0,B4905&lt;&gt;0)),IF(D4905=0,C4905,C4905*(1-ABS(D4905)/(ABS(D4905)+ABS(D4904)))+C4904*(1-ABS(D4904)/(ABS(D4905)+ABS(D4904)))),"")))</f>
        <v>#NAME?</v>
      </c>
    </row>
    <row r="4906" spans="2:5" x14ac:dyDescent="0.25">
      <c r="B4906" t="e">
        <f t="shared" ca="1" si="153"/>
        <v>#NAME?</v>
      </c>
      <c r="C4906">
        <v>4863</v>
      </c>
      <c r="D4906" t="e">
        <f t="shared" ca="1" si="152"/>
        <v>#NAME?</v>
      </c>
      <c r="E4906" s="115" t="e">
        <f t="array" aca="1" ref="E4906" ca="1">IF(OR(C4905=0,AND(B4907=0,C4907=0)),"",IFERROR(INDEX($F$27:$F$36,MATCH(C4906,($F$27:$F$36)*($D$27:$D$36&lt;&gt;0),0)),IF(OR(AND(D4906=0,B4906=0,B4907&lt;&gt;0),AND(D4906*D4905&lt;0,B4906&lt;&gt;0)),IF(D4906=0,C4906,C4906*(1-ABS(D4906)/(ABS(D4906)+ABS(D4905)))+C4905*(1-ABS(D4905)/(ABS(D4906)+ABS(D4905)))),"")))</f>
        <v>#NAME?</v>
      </c>
    </row>
    <row r="4907" spans="2:5" x14ac:dyDescent="0.25">
      <c r="B4907" t="e">
        <f t="shared" ca="1" si="153"/>
        <v>#NAME?</v>
      </c>
      <c r="C4907">
        <v>4864</v>
      </c>
      <c r="D4907" t="e">
        <f t="shared" ref="D4907:D4970" ca="1" si="154">SUMPRODUCT(--($J$27:$J$37&gt;0),--($C4907-$F$27:$F$37&gt;0),($D$27:$D$37),($C4907-$F$27:$F$37))+SUMPRODUCT(--($J$27:$J$37&lt;0),--($F$27:$F$37-$C4907&gt;0),($D$27:$D$37),($F$27:$F$37-$C4907))-SUMPRODUCT($D$27:$D$37,$E$27:$E$37)</f>
        <v>#NAME?</v>
      </c>
      <c r="E4907" s="115" t="e">
        <f t="array" aca="1" ref="E4907" ca="1">IF(OR(C4906=0,AND(B4908=0,C4908=0)),"",IFERROR(INDEX($F$27:$F$36,MATCH(C4907,($F$27:$F$36)*($D$27:$D$36&lt;&gt;0),0)),IF(OR(AND(D4907=0,B4907=0,B4908&lt;&gt;0),AND(D4907*D4906&lt;0,B4907&lt;&gt;0)),IF(D4907=0,C4907,C4907*(1-ABS(D4907)/(ABS(D4907)+ABS(D4906)))+C4906*(1-ABS(D4906)/(ABS(D4907)+ABS(D4906)))),"")))</f>
        <v>#NAME?</v>
      </c>
    </row>
    <row r="4908" spans="2:5" x14ac:dyDescent="0.25">
      <c r="B4908" t="e">
        <f t="shared" ref="B4908:B4971" ca="1" si="155">ROUND((D4908-D4907)/(C4908-C4907),12)</f>
        <v>#NAME?</v>
      </c>
      <c r="C4908">
        <v>4865</v>
      </c>
      <c r="D4908" t="e">
        <f t="shared" ca="1" si="154"/>
        <v>#NAME?</v>
      </c>
      <c r="E4908" s="115" t="e">
        <f t="array" aca="1" ref="E4908" ca="1">IF(OR(C4907=0,AND(B4909=0,C4909=0)),"",IFERROR(INDEX($F$27:$F$36,MATCH(C4908,($F$27:$F$36)*($D$27:$D$36&lt;&gt;0),0)),IF(OR(AND(D4908=0,B4908=0,B4909&lt;&gt;0),AND(D4908*D4907&lt;0,B4908&lt;&gt;0)),IF(D4908=0,C4908,C4908*(1-ABS(D4908)/(ABS(D4908)+ABS(D4907)))+C4907*(1-ABS(D4907)/(ABS(D4908)+ABS(D4907)))),"")))</f>
        <v>#NAME?</v>
      </c>
    </row>
    <row r="4909" spans="2:5" x14ac:dyDescent="0.25">
      <c r="B4909" t="e">
        <f t="shared" ca="1" si="155"/>
        <v>#NAME?</v>
      </c>
      <c r="C4909">
        <v>4866</v>
      </c>
      <c r="D4909" t="e">
        <f t="shared" ca="1" si="154"/>
        <v>#NAME?</v>
      </c>
      <c r="E4909" s="115" t="e">
        <f t="array" aca="1" ref="E4909" ca="1">IF(OR(C4908=0,AND(B4910=0,C4910=0)),"",IFERROR(INDEX($F$27:$F$36,MATCH(C4909,($F$27:$F$36)*($D$27:$D$36&lt;&gt;0),0)),IF(OR(AND(D4909=0,B4909=0,B4910&lt;&gt;0),AND(D4909*D4908&lt;0,B4909&lt;&gt;0)),IF(D4909=0,C4909,C4909*(1-ABS(D4909)/(ABS(D4909)+ABS(D4908)))+C4908*(1-ABS(D4908)/(ABS(D4909)+ABS(D4908)))),"")))</f>
        <v>#NAME?</v>
      </c>
    </row>
    <row r="4910" spans="2:5" x14ac:dyDescent="0.25">
      <c r="B4910" t="e">
        <f t="shared" ca="1" si="155"/>
        <v>#NAME?</v>
      </c>
      <c r="C4910">
        <v>4867</v>
      </c>
      <c r="D4910" t="e">
        <f t="shared" ca="1" si="154"/>
        <v>#NAME?</v>
      </c>
      <c r="E4910" s="115" t="e">
        <f t="array" aca="1" ref="E4910" ca="1">IF(OR(C4909=0,AND(B4911=0,C4911=0)),"",IFERROR(INDEX($F$27:$F$36,MATCH(C4910,($F$27:$F$36)*($D$27:$D$36&lt;&gt;0),0)),IF(OR(AND(D4910=0,B4910=0,B4911&lt;&gt;0),AND(D4910*D4909&lt;0,B4910&lt;&gt;0)),IF(D4910=0,C4910,C4910*(1-ABS(D4910)/(ABS(D4910)+ABS(D4909)))+C4909*(1-ABS(D4909)/(ABS(D4910)+ABS(D4909)))),"")))</f>
        <v>#NAME?</v>
      </c>
    </row>
    <row r="4911" spans="2:5" x14ac:dyDescent="0.25">
      <c r="B4911" t="e">
        <f t="shared" ca="1" si="155"/>
        <v>#NAME?</v>
      </c>
      <c r="C4911">
        <v>4868</v>
      </c>
      <c r="D4911" t="e">
        <f t="shared" ca="1" si="154"/>
        <v>#NAME?</v>
      </c>
      <c r="E4911" s="115" t="e">
        <f t="array" aca="1" ref="E4911" ca="1">IF(OR(C4910=0,AND(B4912=0,C4912=0)),"",IFERROR(INDEX($F$27:$F$36,MATCH(C4911,($F$27:$F$36)*($D$27:$D$36&lt;&gt;0),0)),IF(OR(AND(D4911=0,B4911=0,B4912&lt;&gt;0),AND(D4911*D4910&lt;0,B4911&lt;&gt;0)),IF(D4911=0,C4911,C4911*(1-ABS(D4911)/(ABS(D4911)+ABS(D4910)))+C4910*(1-ABS(D4910)/(ABS(D4911)+ABS(D4910)))),"")))</f>
        <v>#NAME?</v>
      </c>
    </row>
    <row r="4912" spans="2:5" x14ac:dyDescent="0.25">
      <c r="B4912" t="e">
        <f t="shared" ca="1" si="155"/>
        <v>#NAME?</v>
      </c>
      <c r="C4912">
        <v>4869</v>
      </c>
      <c r="D4912" t="e">
        <f t="shared" ca="1" si="154"/>
        <v>#NAME?</v>
      </c>
      <c r="E4912" s="115" t="e">
        <f t="array" aca="1" ref="E4912" ca="1">IF(OR(C4911=0,AND(B4913=0,C4913=0)),"",IFERROR(INDEX($F$27:$F$36,MATCH(C4912,($F$27:$F$36)*($D$27:$D$36&lt;&gt;0),0)),IF(OR(AND(D4912=0,B4912=0,B4913&lt;&gt;0),AND(D4912*D4911&lt;0,B4912&lt;&gt;0)),IF(D4912=0,C4912,C4912*(1-ABS(D4912)/(ABS(D4912)+ABS(D4911)))+C4911*(1-ABS(D4911)/(ABS(D4912)+ABS(D4911)))),"")))</f>
        <v>#NAME?</v>
      </c>
    </row>
    <row r="4913" spans="2:5" x14ac:dyDescent="0.25">
      <c r="B4913" t="e">
        <f t="shared" ca="1" si="155"/>
        <v>#NAME?</v>
      </c>
      <c r="C4913">
        <v>4870</v>
      </c>
      <c r="D4913" t="e">
        <f t="shared" ca="1" si="154"/>
        <v>#NAME?</v>
      </c>
      <c r="E4913" s="115" t="e">
        <f t="array" aca="1" ref="E4913" ca="1">IF(OR(C4912=0,AND(B4914=0,C4914=0)),"",IFERROR(INDEX($F$27:$F$36,MATCH(C4913,($F$27:$F$36)*($D$27:$D$36&lt;&gt;0),0)),IF(OR(AND(D4913=0,B4913=0,B4914&lt;&gt;0),AND(D4913*D4912&lt;0,B4913&lt;&gt;0)),IF(D4913=0,C4913,C4913*(1-ABS(D4913)/(ABS(D4913)+ABS(D4912)))+C4912*(1-ABS(D4912)/(ABS(D4913)+ABS(D4912)))),"")))</f>
        <v>#NAME?</v>
      </c>
    </row>
    <row r="4914" spans="2:5" x14ac:dyDescent="0.25">
      <c r="B4914" t="e">
        <f t="shared" ca="1" si="155"/>
        <v>#NAME?</v>
      </c>
      <c r="C4914">
        <v>4871</v>
      </c>
      <c r="D4914" t="e">
        <f t="shared" ca="1" si="154"/>
        <v>#NAME?</v>
      </c>
      <c r="E4914" s="115" t="e">
        <f t="array" aca="1" ref="E4914" ca="1">IF(OR(C4913=0,AND(B4915=0,C4915=0)),"",IFERROR(INDEX($F$27:$F$36,MATCH(C4914,($F$27:$F$36)*($D$27:$D$36&lt;&gt;0),0)),IF(OR(AND(D4914=0,B4914=0,B4915&lt;&gt;0),AND(D4914*D4913&lt;0,B4914&lt;&gt;0)),IF(D4914=0,C4914,C4914*(1-ABS(D4914)/(ABS(D4914)+ABS(D4913)))+C4913*(1-ABS(D4913)/(ABS(D4914)+ABS(D4913)))),"")))</f>
        <v>#NAME?</v>
      </c>
    </row>
    <row r="4915" spans="2:5" x14ac:dyDescent="0.25">
      <c r="B4915" t="e">
        <f t="shared" ca="1" si="155"/>
        <v>#NAME?</v>
      </c>
      <c r="C4915">
        <v>4872</v>
      </c>
      <c r="D4915" t="e">
        <f t="shared" ca="1" si="154"/>
        <v>#NAME?</v>
      </c>
      <c r="E4915" s="115" t="e">
        <f t="array" aca="1" ref="E4915" ca="1">IF(OR(C4914=0,AND(B4916=0,C4916=0)),"",IFERROR(INDEX($F$27:$F$36,MATCH(C4915,($F$27:$F$36)*($D$27:$D$36&lt;&gt;0),0)),IF(OR(AND(D4915=0,B4915=0,B4916&lt;&gt;0),AND(D4915*D4914&lt;0,B4915&lt;&gt;0)),IF(D4915=0,C4915,C4915*(1-ABS(D4915)/(ABS(D4915)+ABS(D4914)))+C4914*(1-ABS(D4914)/(ABS(D4915)+ABS(D4914)))),"")))</f>
        <v>#NAME?</v>
      </c>
    </row>
    <row r="4916" spans="2:5" x14ac:dyDescent="0.25">
      <c r="B4916" t="e">
        <f t="shared" ca="1" si="155"/>
        <v>#NAME?</v>
      </c>
      <c r="C4916">
        <v>4873</v>
      </c>
      <c r="D4916" t="e">
        <f t="shared" ca="1" si="154"/>
        <v>#NAME?</v>
      </c>
      <c r="E4916" s="115" t="e">
        <f t="array" aca="1" ref="E4916" ca="1">IF(OR(C4915=0,AND(B4917=0,C4917=0)),"",IFERROR(INDEX($F$27:$F$36,MATCH(C4916,($F$27:$F$36)*($D$27:$D$36&lt;&gt;0),0)),IF(OR(AND(D4916=0,B4916=0,B4917&lt;&gt;0),AND(D4916*D4915&lt;0,B4916&lt;&gt;0)),IF(D4916=0,C4916,C4916*(1-ABS(D4916)/(ABS(D4916)+ABS(D4915)))+C4915*(1-ABS(D4915)/(ABS(D4916)+ABS(D4915)))),"")))</f>
        <v>#NAME?</v>
      </c>
    </row>
    <row r="4917" spans="2:5" x14ac:dyDescent="0.25">
      <c r="B4917" t="e">
        <f t="shared" ca="1" si="155"/>
        <v>#NAME?</v>
      </c>
      <c r="C4917">
        <v>4874</v>
      </c>
      <c r="D4917" t="e">
        <f t="shared" ca="1" si="154"/>
        <v>#NAME?</v>
      </c>
      <c r="E4917" s="115" t="e">
        <f t="array" aca="1" ref="E4917" ca="1">IF(OR(C4916=0,AND(B4918=0,C4918=0)),"",IFERROR(INDEX($F$27:$F$36,MATCH(C4917,($F$27:$F$36)*($D$27:$D$36&lt;&gt;0),0)),IF(OR(AND(D4917=0,B4917=0,B4918&lt;&gt;0),AND(D4917*D4916&lt;0,B4917&lt;&gt;0)),IF(D4917=0,C4917,C4917*(1-ABS(D4917)/(ABS(D4917)+ABS(D4916)))+C4916*(1-ABS(D4916)/(ABS(D4917)+ABS(D4916)))),"")))</f>
        <v>#NAME?</v>
      </c>
    </row>
    <row r="4918" spans="2:5" x14ac:dyDescent="0.25">
      <c r="B4918" t="e">
        <f t="shared" ca="1" si="155"/>
        <v>#NAME?</v>
      </c>
      <c r="C4918">
        <v>4875</v>
      </c>
      <c r="D4918" t="e">
        <f t="shared" ca="1" si="154"/>
        <v>#NAME?</v>
      </c>
      <c r="E4918" s="115" t="e">
        <f t="array" aca="1" ref="E4918" ca="1">IF(OR(C4917=0,AND(B4919=0,C4919=0)),"",IFERROR(INDEX($F$27:$F$36,MATCH(C4918,($F$27:$F$36)*($D$27:$D$36&lt;&gt;0),0)),IF(OR(AND(D4918=0,B4918=0,B4919&lt;&gt;0),AND(D4918*D4917&lt;0,B4918&lt;&gt;0)),IF(D4918=0,C4918,C4918*(1-ABS(D4918)/(ABS(D4918)+ABS(D4917)))+C4917*(1-ABS(D4917)/(ABS(D4918)+ABS(D4917)))),"")))</f>
        <v>#NAME?</v>
      </c>
    </row>
    <row r="4919" spans="2:5" x14ac:dyDescent="0.25">
      <c r="B4919" t="e">
        <f t="shared" ca="1" si="155"/>
        <v>#NAME?</v>
      </c>
      <c r="C4919">
        <v>4876</v>
      </c>
      <c r="D4919" t="e">
        <f t="shared" ca="1" si="154"/>
        <v>#NAME?</v>
      </c>
      <c r="E4919" s="115" t="e">
        <f t="array" aca="1" ref="E4919" ca="1">IF(OR(C4918=0,AND(B4920=0,C4920=0)),"",IFERROR(INDEX($F$27:$F$36,MATCH(C4919,($F$27:$F$36)*($D$27:$D$36&lt;&gt;0),0)),IF(OR(AND(D4919=0,B4919=0,B4920&lt;&gt;0),AND(D4919*D4918&lt;0,B4919&lt;&gt;0)),IF(D4919=0,C4919,C4919*(1-ABS(D4919)/(ABS(D4919)+ABS(D4918)))+C4918*(1-ABS(D4918)/(ABS(D4919)+ABS(D4918)))),"")))</f>
        <v>#NAME?</v>
      </c>
    </row>
    <row r="4920" spans="2:5" x14ac:dyDescent="0.25">
      <c r="B4920" t="e">
        <f t="shared" ca="1" si="155"/>
        <v>#NAME?</v>
      </c>
      <c r="C4920">
        <v>4877</v>
      </c>
      <c r="D4920" t="e">
        <f t="shared" ca="1" si="154"/>
        <v>#NAME?</v>
      </c>
      <c r="E4920" s="115" t="e">
        <f t="array" aca="1" ref="E4920" ca="1">IF(OR(C4919=0,AND(B4921=0,C4921=0)),"",IFERROR(INDEX($F$27:$F$36,MATCH(C4920,($F$27:$F$36)*($D$27:$D$36&lt;&gt;0),0)),IF(OR(AND(D4920=0,B4920=0,B4921&lt;&gt;0),AND(D4920*D4919&lt;0,B4920&lt;&gt;0)),IF(D4920=0,C4920,C4920*(1-ABS(D4920)/(ABS(D4920)+ABS(D4919)))+C4919*(1-ABS(D4919)/(ABS(D4920)+ABS(D4919)))),"")))</f>
        <v>#NAME?</v>
      </c>
    </row>
    <row r="4921" spans="2:5" x14ac:dyDescent="0.25">
      <c r="B4921" t="e">
        <f t="shared" ca="1" si="155"/>
        <v>#NAME?</v>
      </c>
      <c r="C4921">
        <v>4878</v>
      </c>
      <c r="D4921" t="e">
        <f t="shared" ca="1" si="154"/>
        <v>#NAME?</v>
      </c>
      <c r="E4921" s="115" t="e">
        <f t="array" aca="1" ref="E4921" ca="1">IF(OR(C4920=0,AND(B4922=0,C4922=0)),"",IFERROR(INDEX($F$27:$F$36,MATCH(C4921,($F$27:$F$36)*($D$27:$D$36&lt;&gt;0),0)),IF(OR(AND(D4921=0,B4921=0,B4922&lt;&gt;0),AND(D4921*D4920&lt;0,B4921&lt;&gt;0)),IF(D4921=0,C4921,C4921*(1-ABS(D4921)/(ABS(D4921)+ABS(D4920)))+C4920*(1-ABS(D4920)/(ABS(D4921)+ABS(D4920)))),"")))</f>
        <v>#NAME?</v>
      </c>
    </row>
    <row r="4922" spans="2:5" x14ac:dyDescent="0.25">
      <c r="B4922" t="e">
        <f t="shared" ca="1" si="155"/>
        <v>#NAME?</v>
      </c>
      <c r="C4922">
        <v>4879</v>
      </c>
      <c r="D4922" t="e">
        <f t="shared" ca="1" si="154"/>
        <v>#NAME?</v>
      </c>
      <c r="E4922" s="115" t="e">
        <f t="array" aca="1" ref="E4922" ca="1">IF(OR(C4921=0,AND(B4923=0,C4923=0)),"",IFERROR(INDEX($F$27:$F$36,MATCH(C4922,($F$27:$F$36)*($D$27:$D$36&lt;&gt;0),0)),IF(OR(AND(D4922=0,B4922=0,B4923&lt;&gt;0),AND(D4922*D4921&lt;0,B4922&lt;&gt;0)),IF(D4922=0,C4922,C4922*(1-ABS(D4922)/(ABS(D4922)+ABS(D4921)))+C4921*(1-ABS(D4921)/(ABS(D4922)+ABS(D4921)))),"")))</f>
        <v>#NAME?</v>
      </c>
    </row>
    <row r="4923" spans="2:5" x14ac:dyDescent="0.25">
      <c r="B4923" t="e">
        <f t="shared" ca="1" si="155"/>
        <v>#NAME?</v>
      </c>
      <c r="C4923">
        <v>4880</v>
      </c>
      <c r="D4923" t="e">
        <f t="shared" ca="1" si="154"/>
        <v>#NAME?</v>
      </c>
      <c r="E4923" s="115" t="e">
        <f t="array" aca="1" ref="E4923" ca="1">IF(OR(C4922=0,AND(B4924=0,C4924=0)),"",IFERROR(INDEX($F$27:$F$36,MATCH(C4923,($F$27:$F$36)*($D$27:$D$36&lt;&gt;0),0)),IF(OR(AND(D4923=0,B4923=0,B4924&lt;&gt;0),AND(D4923*D4922&lt;0,B4923&lt;&gt;0)),IF(D4923=0,C4923,C4923*(1-ABS(D4923)/(ABS(D4923)+ABS(D4922)))+C4922*(1-ABS(D4922)/(ABS(D4923)+ABS(D4922)))),"")))</f>
        <v>#NAME?</v>
      </c>
    </row>
    <row r="4924" spans="2:5" x14ac:dyDescent="0.25">
      <c r="B4924" t="e">
        <f t="shared" ca="1" si="155"/>
        <v>#NAME?</v>
      </c>
      <c r="C4924">
        <v>4881</v>
      </c>
      <c r="D4924" t="e">
        <f t="shared" ca="1" si="154"/>
        <v>#NAME?</v>
      </c>
      <c r="E4924" s="115" t="e">
        <f t="array" aca="1" ref="E4924" ca="1">IF(OR(C4923=0,AND(B4925=0,C4925=0)),"",IFERROR(INDEX($F$27:$F$36,MATCH(C4924,($F$27:$F$36)*($D$27:$D$36&lt;&gt;0),0)),IF(OR(AND(D4924=0,B4924=0,B4925&lt;&gt;0),AND(D4924*D4923&lt;0,B4924&lt;&gt;0)),IF(D4924=0,C4924,C4924*(1-ABS(D4924)/(ABS(D4924)+ABS(D4923)))+C4923*(1-ABS(D4923)/(ABS(D4924)+ABS(D4923)))),"")))</f>
        <v>#NAME?</v>
      </c>
    </row>
    <row r="4925" spans="2:5" x14ac:dyDescent="0.25">
      <c r="B4925" t="e">
        <f t="shared" ca="1" si="155"/>
        <v>#NAME?</v>
      </c>
      <c r="C4925">
        <v>4882</v>
      </c>
      <c r="D4925" t="e">
        <f t="shared" ca="1" si="154"/>
        <v>#NAME?</v>
      </c>
      <c r="E4925" s="115" t="e">
        <f t="array" aca="1" ref="E4925" ca="1">IF(OR(C4924=0,AND(B4926=0,C4926=0)),"",IFERROR(INDEX($F$27:$F$36,MATCH(C4925,($F$27:$F$36)*($D$27:$D$36&lt;&gt;0),0)),IF(OR(AND(D4925=0,B4925=0,B4926&lt;&gt;0),AND(D4925*D4924&lt;0,B4925&lt;&gt;0)),IF(D4925=0,C4925,C4925*(1-ABS(D4925)/(ABS(D4925)+ABS(D4924)))+C4924*(1-ABS(D4924)/(ABS(D4925)+ABS(D4924)))),"")))</f>
        <v>#NAME?</v>
      </c>
    </row>
    <row r="4926" spans="2:5" x14ac:dyDescent="0.25">
      <c r="B4926" t="e">
        <f t="shared" ca="1" si="155"/>
        <v>#NAME?</v>
      </c>
      <c r="C4926">
        <v>4883</v>
      </c>
      <c r="D4926" t="e">
        <f t="shared" ca="1" si="154"/>
        <v>#NAME?</v>
      </c>
      <c r="E4926" s="115" t="e">
        <f t="array" aca="1" ref="E4926" ca="1">IF(OR(C4925=0,AND(B4927=0,C4927=0)),"",IFERROR(INDEX($F$27:$F$36,MATCH(C4926,($F$27:$F$36)*($D$27:$D$36&lt;&gt;0),0)),IF(OR(AND(D4926=0,B4926=0,B4927&lt;&gt;0),AND(D4926*D4925&lt;0,B4926&lt;&gt;0)),IF(D4926=0,C4926,C4926*(1-ABS(D4926)/(ABS(D4926)+ABS(D4925)))+C4925*(1-ABS(D4925)/(ABS(D4926)+ABS(D4925)))),"")))</f>
        <v>#NAME?</v>
      </c>
    </row>
    <row r="4927" spans="2:5" x14ac:dyDescent="0.25">
      <c r="B4927" t="e">
        <f t="shared" ca="1" si="155"/>
        <v>#NAME?</v>
      </c>
      <c r="C4927">
        <v>4884</v>
      </c>
      <c r="D4927" t="e">
        <f t="shared" ca="1" si="154"/>
        <v>#NAME?</v>
      </c>
      <c r="E4927" s="115" t="e">
        <f t="array" aca="1" ref="E4927" ca="1">IF(OR(C4926=0,AND(B4928=0,C4928=0)),"",IFERROR(INDEX($F$27:$F$36,MATCH(C4927,($F$27:$F$36)*($D$27:$D$36&lt;&gt;0),0)),IF(OR(AND(D4927=0,B4927=0,B4928&lt;&gt;0),AND(D4927*D4926&lt;0,B4927&lt;&gt;0)),IF(D4927=0,C4927,C4927*(1-ABS(D4927)/(ABS(D4927)+ABS(D4926)))+C4926*(1-ABS(D4926)/(ABS(D4927)+ABS(D4926)))),"")))</f>
        <v>#NAME?</v>
      </c>
    </row>
    <row r="4928" spans="2:5" x14ac:dyDescent="0.25">
      <c r="B4928" t="e">
        <f t="shared" ca="1" si="155"/>
        <v>#NAME?</v>
      </c>
      <c r="C4928">
        <v>4885</v>
      </c>
      <c r="D4928" t="e">
        <f t="shared" ca="1" si="154"/>
        <v>#NAME?</v>
      </c>
      <c r="E4928" s="115" t="e">
        <f t="array" aca="1" ref="E4928" ca="1">IF(OR(C4927=0,AND(B4929=0,C4929=0)),"",IFERROR(INDEX($F$27:$F$36,MATCH(C4928,($F$27:$F$36)*($D$27:$D$36&lt;&gt;0),0)),IF(OR(AND(D4928=0,B4928=0,B4929&lt;&gt;0),AND(D4928*D4927&lt;0,B4928&lt;&gt;0)),IF(D4928=0,C4928,C4928*(1-ABS(D4928)/(ABS(D4928)+ABS(D4927)))+C4927*(1-ABS(D4927)/(ABS(D4928)+ABS(D4927)))),"")))</f>
        <v>#NAME?</v>
      </c>
    </row>
    <row r="4929" spans="2:5" x14ac:dyDescent="0.25">
      <c r="B4929" t="e">
        <f t="shared" ca="1" si="155"/>
        <v>#NAME?</v>
      </c>
      <c r="C4929">
        <v>4886</v>
      </c>
      <c r="D4929" t="e">
        <f t="shared" ca="1" si="154"/>
        <v>#NAME?</v>
      </c>
      <c r="E4929" s="115" t="e">
        <f t="array" aca="1" ref="E4929" ca="1">IF(OR(C4928=0,AND(B4930=0,C4930=0)),"",IFERROR(INDEX($F$27:$F$36,MATCH(C4929,($F$27:$F$36)*($D$27:$D$36&lt;&gt;0),0)),IF(OR(AND(D4929=0,B4929=0,B4930&lt;&gt;0),AND(D4929*D4928&lt;0,B4929&lt;&gt;0)),IF(D4929=0,C4929,C4929*(1-ABS(D4929)/(ABS(D4929)+ABS(D4928)))+C4928*(1-ABS(D4928)/(ABS(D4929)+ABS(D4928)))),"")))</f>
        <v>#NAME?</v>
      </c>
    </row>
    <row r="4930" spans="2:5" x14ac:dyDescent="0.25">
      <c r="B4930" t="e">
        <f t="shared" ca="1" si="155"/>
        <v>#NAME?</v>
      </c>
      <c r="C4930">
        <v>4887</v>
      </c>
      <c r="D4930" t="e">
        <f t="shared" ca="1" si="154"/>
        <v>#NAME?</v>
      </c>
      <c r="E4930" s="115" t="e">
        <f t="array" aca="1" ref="E4930" ca="1">IF(OR(C4929=0,AND(B4931=0,C4931=0)),"",IFERROR(INDEX($F$27:$F$36,MATCH(C4930,($F$27:$F$36)*($D$27:$D$36&lt;&gt;0),0)),IF(OR(AND(D4930=0,B4930=0,B4931&lt;&gt;0),AND(D4930*D4929&lt;0,B4930&lt;&gt;0)),IF(D4930=0,C4930,C4930*(1-ABS(D4930)/(ABS(D4930)+ABS(D4929)))+C4929*(1-ABS(D4929)/(ABS(D4930)+ABS(D4929)))),"")))</f>
        <v>#NAME?</v>
      </c>
    </row>
    <row r="4931" spans="2:5" x14ac:dyDescent="0.25">
      <c r="B4931" t="e">
        <f t="shared" ca="1" si="155"/>
        <v>#NAME?</v>
      </c>
      <c r="C4931">
        <v>4888</v>
      </c>
      <c r="D4931" t="e">
        <f t="shared" ca="1" si="154"/>
        <v>#NAME?</v>
      </c>
      <c r="E4931" s="115" t="e">
        <f t="array" aca="1" ref="E4931" ca="1">IF(OR(C4930=0,AND(B4932=0,C4932=0)),"",IFERROR(INDEX($F$27:$F$36,MATCH(C4931,($F$27:$F$36)*($D$27:$D$36&lt;&gt;0),0)),IF(OR(AND(D4931=0,B4931=0,B4932&lt;&gt;0),AND(D4931*D4930&lt;0,B4931&lt;&gt;0)),IF(D4931=0,C4931,C4931*(1-ABS(D4931)/(ABS(D4931)+ABS(D4930)))+C4930*(1-ABS(D4930)/(ABS(D4931)+ABS(D4930)))),"")))</f>
        <v>#NAME?</v>
      </c>
    </row>
    <row r="4932" spans="2:5" x14ac:dyDescent="0.25">
      <c r="B4932" t="e">
        <f t="shared" ca="1" si="155"/>
        <v>#NAME?</v>
      </c>
      <c r="C4932">
        <v>4889</v>
      </c>
      <c r="D4932" t="e">
        <f t="shared" ca="1" si="154"/>
        <v>#NAME?</v>
      </c>
      <c r="E4932" s="115" t="e">
        <f t="array" aca="1" ref="E4932" ca="1">IF(OR(C4931=0,AND(B4933=0,C4933=0)),"",IFERROR(INDEX($F$27:$F$36,MATCH(C4932,($F$27:$F$36)*($D$27:$D$36&lt;&gt;0),0)),IF(OR(AND(D4932=0,B4932=0,B4933&lt;&gt;0),AND(D4932*D4931&lt;0,B4932&lt;&gt;0)),IF(D4932=0,C4932,C4932*(1-ABS(D4932)/(ABS(D4932)+ABS(D4931)))+C4931*(1-ABS(D4931)/(ABS(D4932)+ABS(D4931)))),"")))</f>
        <v>#NAME?</v>
      </c>
    </row>
    <row r="4933" spans="2:5" x14ac:dyDescent="0.25">
      <c r="B4933" t="e">
        <f t="shared" ca="1" si="155"/>
        <v>#NAME?</v>
      </c>
      <c r="C4933">
        <v>4890</v>
      </c>
      <c r="D4933" t="e">
        <f t="shared" ca="1" si="154"/>
        <v>#NAME?</v>
      </c>
      <c r="E4933" s="115" t="e">
        <f t="array" aca="1" ref="E4933" ca="1">IF(OR(C4932=0,AND(B4934=0,C4934=0)),"",IFERROR(INDEX($F$27:$F$36,MATCH(C4933,($F$27:$F$36)*($D$27:$D$36&lt;&gt;0),0)),IF(OR(AND(D4933=0,B4933=0,B4934&lt;&gt;0),AND(D4933*D4932&lt;0,B4933&lt;&gt;0)),IF(D4933=0,C4933,C4933*(1-ABS(D4933)/(ABS(D4933)+ABS(D4932)))+C4932*(1-ABS(D4932)/(ABS(D4933)+ABS(D4932)))),"")))</f>
        <v>#NAME?</v>
      </c>
    </row>
    <row r="4934" spans="2:5" x14ac:dyDescent="0.25">
      <c r="B4934" t="e">
        <f t="shared" ca="1" si="155"/>
        <v>#NAME?</v>
      </c>
      <c r="C4934">
        <v>4891</v>
      </c>
      <c r="D4934" t="e">
        <f t="shared" ca="1" si="154"/>
        <v>#NAME?</v>
      </c>
      <c r="E4934" s="115" t="e">
        <f t="array" aca="1" ref="E4934" ca="1">IF(OR(C4933=0,AND(B4935=0,C4935=0)),"",IFERROR(INDEX($F$27:$F$36,MATCH(C4934,($F$27:$F$36)*($D$27:$D$36&lt;&gt;0),0)),IF(OR(AND(D4934=0,B4934=0,B4935&lt;&gt;0),AND(D4934*D4933&lt;0,B4934&lt;&gt;0)),IF(D4934=0,C4934,C4934*(1-ABS(D4934)/(ABS(D4934)+ABS(D4933)))+C4933*(1-ABS(D4933)/(ABS(D4934)+ABS(D4933)))),"")))</f>
        <v>#NAME?</v>
      </c>
    </row>
    <row r="4935" spans="2:5" x14ac:dyDescent="0.25">
      <c r="B4935" t="e">
        <f t="shared" ca="1" si="155"/>
        <v>#NAME?</v>
      </c>
      <c r="C4935">
        <v>4892</v>
      </c>
      <c r="D4935" t="e">
        <f t="shared" ca="1" si="154"/>
        <v>#NAME?</v>
      </c>
      <c r="E4935" s="115" t="e">
        <f t="array" aca="1" ref="E4935" ca="1">IF(OR(C4934=0,AND(B4936=0,C4936=0)),"",IFERROR(INDEX($F$27:$F$36,MATCH(C4935,($F$27:$F$36)*($D$27:$D$36&lt;&gt;0),0)),IF(OR(AND(D4935=0,B4935=0,B4936&lt;&gt;0),AND(D4935*D4934&lt;0,B4935&lt;&gt;0)),IF(D4935=0,C4935,C4935*(1-ABS(D4935)/(ABS(D4935)+ABS(D4934)))+C4934*(1-ABS(D4934)/(ABS(D4935)+ABS(D4934)))),"")))</f>
        <v>#NAME?</v>
      </c>
    </row>
    <row r="4936" spans="2:5" x14ac:dyDescent="0.25">
      <c r="B4936" t="e">
        <f t="shared" ca="1" si="155"/>
        <v>#NAME?</v>
      </c>
      <c r="C4936">
        <v>4893</v>
      </c>
      <c r="D4936" t="e">
        <f t="shared" ca="1" si="154"/>
        <v>#NAME?</v>
      </c>
      <c r="E4936" s="115" t="e">
        <f t="array" aca="1" ref="E4936" ca="1">IF(OR(C4935=0,AND(B4937=0,C4937=0)),"",IFERROR(INDEX($F$27:$F$36,MATCH(C4936,($F$27:$F$36)*($D$27:$D$36&lt;&gt;0),0)),IF(OR(AND(D4936=0,B4936=0,B4937&lt;&gt;0),AND(D4936*D4935&lt;0,B4936&lt;&gt;0)),IF(D4936=0,C4936,C4936*(1-ABS(D4936)/(ABS(D4936)+ABS(D4935)))+C4935*(1-ABS(D4935)/(ABS(D4936)+ABS(D4935)))),"")))</f>
        <v>#NAME?</v>
      </c>
    </row>
    <row r="4937" spans="2:5" x14ac:dyDescent="0.25">
      <c r="B4937" t="e">
        <f t="shared" ca="1" si="155"/>
        <v>#NAME?</v>
      </c>
      <c r="C4937">
        <v>4894</v>
      </c>
      <c r="D4937" t="e">
        <f t="shared" ca="1" si="154"/>
        <v>#NAME?</v>
      </c>
      <c r="E4937" s="115" t="e">
        <f t="array" aca="1" ref="E4937" ca="1">IF(OR(C4936=0,AND(B4938=0,C4938=0)),"",IFERROR(INDEX($F$27:$F$36,MATCH(C4937,($F$27:$F$36)*($D$27:$D$36&lt;&gt;0),0)),IF(OR(AND(D4937=0,B4937=0,B4938&lt;&gt;0),AND(D4937*D4936&lt;0,B4937&lt;&gt;0)),IF(D4937=0,C4937,C4937*(1-ABS(D4937)/(ABS(D4937)+ABS(D4936)))+C4936*(1-ABS(D4936)/(ABS(D4937)+ABS(D4936)))),"")))</f>
        <v>#NAME?</v>
      </c>
    </row>
    <row r="4938" spans="2:5" x14ac:dyDescent="0.25">
      <c r="B4938" t="e">
        <f t="shared" ca="1" si="155"/>
        <v>#NAME?</v>
      </c>
      <c r="C4938">
        <v>4895</v>
      </c>
      <c r="D4938" t="e">
        <f t="shared" ca="1" si="154"/>
        <v>#NAME?</v>
      </c>
      <c r="E4938" s="115" t="e">
        <f t="array" aca="1" ref="E4938" ca="1">IF(OR(C4937=0,AND(B4939=0,C4939=0)),"",IFERROR(INDEX($F$27:$F$36,MATCH(C4938,($F$27:$F$36)*($D$27:$D$36&lt;&gt;0),0)),IF(OR(AND(D4938=0,B4938=0,B4939&lt;&gt;0),AND(D4938*D4937&lt;0,B4938&lt;&gt;0)),IF(D4938=0,C4938,C4938*(1-ABS(D4938)/(ABS(D4938)+ABS(D4937)))+C4937*(1-ABS(D4937)/(ABS(D4938)+ABS(D4937)))),"")))</f>
        <v>#NAME?</v>
      </c>
    </row>
    <row r="4939" spans="2:5" x14ac:dyDescent="0.25">
      <c r="B4939" t="e">
        <f t="shared" ca="1" si="155"/>
        <v>#NAME?</v>
      </c>
      <c r="C4939">
        <v>4896</v>
      </c>
      <c r="D4939" t="e">
        <f t="shared" ca="1" si="154"/>
        <v>#NAME?</v>
      </c>
      <c r="E4939" s="115" t="e">
        <f t="array" aca="1" ref="E4939" ca="1">IF(OR(C4938=0,AND(B4940=0,C4940=0)),"",IFERROR(INDEX($F$27:$F$36,MATCH(C4939,($F$27:$F$36)*($D$27:$D$36&lt;&gt;0),0)),IF(OR(AND(D4939=0,B4939=0,B4940&lt;&gt;0),AND(D4939*D4938&lt;0,B4939&lt;&gt;0)),IF(D4939=0,C4939,C4939*(1-ABS(D4939)/(ABS(D4939)+ABS(D4938)))+C4938*(1-ABS(D4938)/(ABS(D4939)+ABS(D4938)))),"")))</f>
        <v>#NAME?</v>
      </c>
    </row>
    <row r="4940" spans="2:5" x14ac:dyDescent="0.25">
      <c r="B4940" t="e">
        <f t="shared" ca="1" si="155"/>
        <v>#NAME?</v>
      </c>
      <c r="C4940">
        <v>4897</v>
      </c>
      <c r="D4940" t="e">
        <f t="shared" ca="1" si="154"/>
        <v>#NAME?</v>
      </c>
      <c r="E4940" s="115" t="e">
        <f t="array" aca="1" ref="E4940" ca="1">IF(OR(C4939=0,AND(B4941=0,C4941=0)),"",IFERROR(INDEX($F$27:$F$36,MATCH(C4940,($F$27:$F$36)*($D$27:$D$36&lt;&gt;0),0)),IF(OR(AND(D4940=0,B4940=0,B4941&lt;&gt;0),AND(D4940*D4939&lt;0,B4940&lt;&gt;0)),IF(D4940=0,C4940,C4940*(1-ABS(D4940)/(ABS(D4940)+ABS(D4939)))+C4939*(1-ABS(D4939)/(ABS(D4940)+ABS(D4939)))),"")))</f>
        <v>#NAME?</v>
      </c>
    </row>
    <row r="4941" spans="2:5" x14ac:dyDescent="0.25">
      <c r="B4941" t="e">
        <f t="shared" ca="1" si="155"/>
        <v>#NAME?</v>
      </c>
      <c r="C4941">
        <v>4898</v>
      </c>
      <c r="D4941" t="e">
        <f t="shared" ca="1" si="154"/>
        <v>#NAME?</v>
      </c>
      <c r="E4941" s="115" t="e">
        <f t="array" aca="1" ref="E4941" ca="1">IF(OR(C4940=0,AND(B4942=0,C4942=0)),"",IFERROR(INDEX($F$27:$F$36,MATCH(C4941,($F$27:$F$36)*($D$27:$D$36&lt;&gt;0),0)),IF(OR(AND(D4941=0,B4941=0,B4942&lt;&gt;0),AND(D4941*D4940&lt;0,B4941&lt;&gt;0)),IF(D4941=0,C4941,C4941*(1-ABS(D4941)/(ABS(D4941)+ABS(D4940)))+C4940*(1-ABS(D4940)/(ABS(D4941)+ABS(D4940)))),"")))</f>
        <v>#NAME?</v>
      </c>
    </row>
    <row r="4942" spans="2:5" x14ac:dyDescent="0.25">
      <c r="B4942" t="e">
        <f t="shared" ca="1" si="155"/>
        <v>#NAME?</v>
      </c>
      <c r="C4942">
        <v>4899</v>
      </c>
      <c r="D4942" t="e">
        <f t="shared" ca="1" si="154"/>
        <v>#NAME?</v>
      </c>
      <c r="E4942" s="115" t="e">
        <f t="array" aca="1" ref="E4942" ca="1">IF(OR(C4941=0,AND(B4943=0,C4943=0)),"",IFERROR(INDEX($F$27:$F$36,MATCH(C4942,($F$27:$F$36)*($D$27:$D$36&lt;&gt;0),0)),IF(OR(AND(D4942=0,B4942=0,B4943&lt;&gt;0),AND(D4942*D4941&lt;0,B4942&lt;&gt;0)),IF(D4942=0,C4942,C4942*(1-ABS(D4942)/(ABS(D4942)+ABS(D4941)))+C4941*(1-ABS(D4941)/(ABS(D4942)+ABS(D4941)))),"")))</f>
        <v>#NAME?</v>
      </c>
    </row>
    <row r="4943" spans="2:5" x14ac:dyDescent="0.25">
      <c r="B4943" t="e">
        <f t="shared" ca="1" si="155"/>
        <v>#NAME?</v>
      </c>
      <c r="C4943">
        <v>4900</v>
      </c>
      <c r="D4943" t="e">
        <f t="shared" ca="1" si="154"/>
        <v>#NAME?</v>
      </c>
      <c r="E4943" s="115" t="e">
        <f t="array" aca="1" ref="E4943" ca="1">IF(OR(C4942=0,AND(B4944=0,C4944=0)),"",IFERROR(INDEX($F$27:$F$36,MATCH(C4943,($F$27:$F$36)*($D$27:$D$36&lt;&gt;0),0)),IF(OR(AND(D4943=0,B4943=0,B4944&lt;&gt;0),AND(D4943*D4942&lt;0,B4943&lt;&gt;0)),IF(D4943=0,C4943,C4943*(1-ABS(D4943)/(ABS(D4943)+ABS(D4942)))+C4942*(1-ABS(D4942)/(ABS(D4943)+ABS(D4942)))),"")))</f>
        <v>#NAME?</v>
      </c>
    </row>
    <row r="4944" spans="2:5" x14ac:dyDescent="0.25">
      <c r="B4944" t="e">
        <f t="shared" ca="1" si="155"/>
        <v>#NAME?</v>
      </c>
      <c r="C4944">
        <v>4901</v>
      </c>
      <c r="D4944" t="e">
        <f t="shared" ca="1" si="154"/>
        <v>#NAME?</v>
      </c>
      <c r="E4944" s="115" t="e">
        <f t="array" aca="1" ref="E4944" ca="1">IF(OR(C4943=0,AND(B4945=0,C4945=0)),"",IFERROR(INDEX($F$27:$F$36,MATCH(C4944,($F$27:$F$36)*($D$27:$D$36&lt;&gt;0),0)),IF(OR(AND(D4944=0,B4944=0,B4945&lt;&gt;0),AND(D4944*D4943&lt;0,B4944&lt;&gt;0)),IF(D4944=0,C4944,C4944*(1-ABS(D4944)/(ABS(D4944)+ABS(D4943)))+C4943*(1-ABS(D4943)/(ABS(D4944)+ABS(D4943)))),"")))</f>
        <v>#NAME?</v>
      </c>
    </row>
    <row r="4945" spans="2:5" x14ac:dyDescent="0.25">
      <c r="B4945" t="e">
        <f t="shared" ca="1" si="155"/>
        <v>#NAME?</v>
      </c>
      <c r="C4945">
        <v>4902</v>
      </c>
      <c r="D4945" t="e">
        <f t="shared" ca="1" si="154"/>
        <v>#NAME?</v>
      </c>
      <c r="E4945" s="115" t="e">
        <f t="array" aca="1" ref="E4945" ca="1">IF(OR(C4944=0,AND(B4946=0,C4946=0)),"",IFERROR(INDEX($F$27:$F$36,MATCH(C4945,($F$27:$F$36)*($D$27:$D$36&lt;&gt;0),0)),IF(OR(AND(D4945=0,B4945=0,B4946&lt;&gt;0),AND(D4945*D4944&lt;0,B4945&lt;&gt;0)),IF(D4945=0,C4945,C4945*(1-ABS(D4945)/(ABS(D4945)+ABS(D4944)))+C4944*(1-ABS(D4944)/(ABS(D4945)+ABS(D4944)))),"")))</f>
        <v>#NAME?</v>
      </c>
    </row>
    <row r="4946" spans="2:5" x14ac:dyDescent="0.25">
      <c r="B4946" t="e">
        <f t="shared" ca="1" si="155"/>
        <v>#NAME?</v>
      </c>
      <c r="C4946">
        <v>4903</v>
      </c>
      <c r="D4946" t="e">
        <f t="shared" ca="1" si="154"/>
        <v>#NAME?</v>
      </c>
      <c r="E4946" s="115" t="e">
        <f t="array" aca="1" ref="E4946" ca="1">IF(OR(C4945=0,AND(B4947=0,C4947=0)),"",IFERROR(INDEX($F$27:$F$36,MATCH(C4946,($F$27:$F$36)*($D$27:$D$36&lt;&gt;0),0)),IF(OR(AND(D4946=0,B4946=0,B4947&lt;&gt;0),AND(D4946*D4945&lt;0,B4946&lt;&gt;0)),IF(D4946=0,C4946,C4946*(1-ABS(D4946)/(ABS(D4946)+ABS(D4945)))+C4945*(1-ABS(D4945)/(ABS(D4946)+ABS(D4945)))),"")))</f>
        <v>#NAME?</v>
      </c>
    </row>
    <row r="4947" spans="2:5" x14ac:dyDescent="0.25">
      <c r="B4947" t="e">
        <f t="shared" ca="1" si="155"/>
        <v>#NAME?</v>
      </c>
      <c r="C4947">
        <v>4904</v>
      </c>
      <c r="D4947" t="e">
        <f t="shared" ca="1" si="154"/>
        <v>#NAME?</v>
      </c>
      <c r="E4947" s="115" t="e">
        <f t="array" aca="1" ref="E4947" ca="1">IF(OR(C4946=0,AND(B4948=0,C4948=0)),"",IFERROR(INDEX($F$27:$F$36,MATCH(C4947,($F$27:$F$36)*($D$27:$D$36&lt;&gt;0),0)),IF(OR(AND(D4947=0,B4947=0,B4948&lt;&gt;0),AND(D4947*D4946&lt;0,B4947&lt;&gt;0)),IF(D4947=0,C4947,C4947*(1-ABS(D4947)/(ABS(D4947)+ABS(D4946)))+C4946*(1-ABS(D4946)/(ABS(D4947)+ABS(D4946)))),"")))</f>
        <v>#NAME?</v>
      </c>
    </row>
    <row r="4948" spans="2:5" x14ac:dyDescent="0.25">
      <c r="B4948" t="e">
        <f t="shared" ca="1" si="155"/>
        <v>#NAME?</v>
      </c>
      <c r="C4948">
        <v>4905</v>
      </c>
      <c r="D4948" t="e">
        <f t="shared" ca="1" si="154"/>
        <v>#NAME?</v>
      </c>
      <c r="E4948" s="115" t="e">
        <f t="array" aca="1" ref="E4948" ca="1">IF(OR(C4947=0,AND(B4949=0,C4949=0)),"",IFERROR(INDEX($F$27:$F$36,MATCH(C4948,($F$27:$F$36)*($D$27:$D$36&lt;&gt;0),0)),IF(OR(AND(D4948=0,B4948=0,B4949&lt;&gt;0),AND(D4948*D4947&lt;0,B4948&lt;&gt;0)),IF(D4948=0,C4948,C4948*(1-ABS(D4948)/(ABS(D4948)+ABS(D4947)))+C4947*(1-ABS(D4947)/(ABS(D4948)+ABS(D4947)))),"")))</f>
        <v>#NAME?</v>
      </c>
    </row>
    <row r="4949" spans="2:5" x14ac:dyDescent="0.25">
      <c r="B4949" t="e">
        <f t="shared" ca="1" si="155"/>
        <v>#NAME?</v>
      </c>
      <c r="C4949">
        <v>4906</v>
      </c>
      <c r="D4949" t="e">
        <f t="shared" ca="1" si="154"/>
        <v>#NAME?</v>
      </c>
      <c r="E4949" s="115" t="e">
        <f t="array" aca="1" ref="E4949" ca="1">IF(OR(C4948=0,AND(B4950=0,C4950=0)),"",IFERROR(INDEX($F$27:$F$36,MATCH(C4949,($F$27:$F$36)*($D$27:$D$36&lt;&gt;0),0)),IF(OR(AND(D4949=0,B4949=0,B4950&lt;&gt;0),AND(D4949*D4948&lt;0,B4949&lt;&gt;0)),IF(D4949=0,C4949,C4949*(1-ABS(D4949)/(ABS(D4949)+ABS(D4948)))+C4948*(1-ABS(D4948)/(ABS(D4949)+ABS(D4948)))),"")))</f>
        <v>#NAME?</v>
      </c>
    </row>
    <row r="4950" spans="2:5" x14ac:dyDescent="0.25">
      <c r="B4950" t="e">
        <f t="shared" ca="1" si="155"/>
        <v>#NAME?</v>
      </c>
      <c r="C4950">
        <v>4907</v>
      </c>
      <c r="D4950" t="e">
        <f t="shared" ca="1" si="154"/>
        <v>#NAME?</v>
      </c>
      <c r="E4950" s="115" t="e">
        <f t="array" aca="1" ref="E4950" ca="1">IF(OR(C4949=0,AND(B4951=0,C4951=0)),"",IFERROR(INDEX($F$27:$F$36,MATCH(C4950,($F$27:$F$36)*($D$27:$D$36&lt;&gt;0),0)),IF(OR(AND(D4950=0,B4950=0,B4951&lt;&gt;0),AND(D4950*D4949&lt;0,B4950&lt;&gt;0)),IF(D4950=0,C4950,C4950*(1-ABS(D4950)/(ABS(D4950)+ABS(D4949)))+C4949*(1-ABS(D4949)/(ABS(D4950)+ABS(D4949)))),"")))</f>
        <v>#NAME?</v>
      </c>
    </row>
    <row r="4951" spans="2:5" x14ac:dyDescent="0.25">
      <c r="B4951" t="e">
        <f t="shared" ca="1" si="155"/>
        <v>#NAME?</v>
      </c>
      <c r="C4951">
        <v>4908</v>
      </c>
      <c r="D4951" t="e">
        <f t="shared" ca="1" si="154"/>
        <v>#NAME?</v>
      </c>
      <c r="E4951" s="115" t="e">
        <f t="array" aca="1" ref="E4951" ca="1">IF(OR(C4950=0,AND(B4952=0,C4952=0)),"",IFERROR(INDEX($F$27:$F$36,MATCH(C4951,($F$27:$F$36)*($D$27:$D$36&lt;&gt;0),0)),IF(OR(AND(D4951=0,B4951=0,B4952&lt;&gt;0),AND(D4951*D4950&lt;0,B4951&lt;&gt;0)),IF(D4951=0,C4951,C4951*(1-ABS(D4951)/(ABS(D4951)+ABS(D4950)))+C4950*(1-ABS(D4950)/(ABS(D4951)+ABS(D4950)))),"")))</f>
        <v>#NAME?</v>
      </c>
    </row>
    <row r="4952" spans="2:5" x14ac:dyDescent="0.25">
      <c r="B4952" t="e">
        <f t="shared" ca="1" si="155"/>
        <v>#NAME?</v>
      </c>
      <c r="C4952">
        <v>4909</v>
      </c>
      <c r="D4952" t="e">
        <f t="shared" ca="1" si="154"/>
        <v>#NAME?</v>
      </c>
      <c r="E4952" s="115" t="e">
        <f t="array" aca="1" ref="E4952" ca="1">IF(OR(C4951=0,AND(B4953=0,C4953=0)),"",IFERROR(INDEX($F$27:$F$36,MATCH(C4952,($F$27:$F$36)*($D$27:$D$36&lt;&gt;0),0)),IF(OR(AND(D4952=0,B4952=0,B4953&lt;&gt;0),AND(D4952*D4951&lt;0,B4952&lt;&gt;0)),IF(D4952=0,C4952,C4952*(1-ABS(D4952)/(ABS(D4952)+ABS(D4951)))+C4951*(1-ABS(D4951)/(ABS(D4952)+ABS(D4951)))),"")))</f>
        <v>#NAME?</v>
      </c>
    </row>
    <row r="4953" spans="2:5" x14ac:dyDescent="0.25">
      <c r="B4953" t="e">
        <f t="shared" ca="1" si="155"/>
        <v>#NAME?</v>
      </c>
      <c r="C4953">
        <v>4910</v>
      </c>
      <c r="D4953" t="e">
        <f t="shared" ca="1" si="154"/>
        <v>#NAME?</v>
      </c>
      <c r="E4953" s="115" t="e">
        <f t="array" aca="1" ref="E4953" ca="1">IF(OR(C4952=0,AND(B4954=0,C4954=0)),"",IFERROR(INDEX($F$27:$F$36,MATCH(C4953,($F$27:$F$36)*($D$27:$D$36&lt;&gt;0),0)),IF(OR(AND(D4953=0,B4953=0,B4954&lt;&gt;0),AND(D4953*D4952&lt;0,B4953&lt;&gt;0)),IF(D4953=0,C4953,C4953*(1-ABS(D4953)/(ABS(D4953)+ABS(D4952)))+C4952*(1-ABS(D4952)/(ABS(D4953)+ABS(D4952)))),"")))</f>
        <v>#NAME?</v>
      </c>
    </row>
    <row r="4954" spans="2:5" x14ac:dyDescent="0.25">
      <c r="B4954" t="e">
        <f t="shared" ca="1" si="155"/>
        <v>#NAME?</v>
      </c>
      <c r="C4954">
        <v>4911</v>
      </c>
      <c r="D4954" t="e">
        <f t="shared" ca="1" si="154"/>
        <v>#NAME?</v>
      </c>
      <c r="E4954" s="115" t="e">
        <f t="array" aca="1" ref="E4954" ca="1">IF(OR(C4953=0,AND(B4955=0,C4955=0)),"",IFERROR(INDEX($F$27:$F$36,MATCH(C4954,($F$27:$F$36)*($D$27:$D$36&lt;&gt;0),0)),IF(OR(AND(D4954=0,B4954=0,B4955&lt;&gt;0),AND(D4954*D4953&lt;0,B4954&lt;&gt;0)),IF(D4954=0,C4954,C4954*(1-ABS(D4954)/(ABS(D4954)+ABS(D4953)))+C4953*(1-ABS(D4953)/(ABS(D4954)+ABS(D4953)))),"")))</f>
        <v>#NAME?</v>
      </c>
    </row>
    <row r="4955" spans="2:5" x14ac:dyDescent="0.25">
      <c r="B4955" t="e">
        <f t="shared" ca="1" si="155"/>
        <v>#NAME?</v>
      </c>
      <c r="C4955">
        <v>4912</v>
      </c>
      <c r="D4955" t="e">
        <f t="shared" ca="1" si="154"/>
        <v>#NAME?</v>
      </c>
      <c r="E4955" s="115" t="e">
        <f t="array" aca="1" ref="E4955" ca="1">IF(OR(C4954=0,AND(B4956=0,C4956=0)),"",IFERROR(INDEX($F$27:$F$36,MATCH(C4955,($F$27:$F$36)*($D$27:$D$36&lt;&gt;0),0)),IF(OR(AND(D4955=0,B4955=0,B4956&lt;&gt;0),AND(D4955*D4954&lt;0,B4955&lt;&gt;0)),IF(D4955=0,C4955,C4955*(1-ABS(D4955)/(ABS(D4955)+ABS(D4954)))+C4954*(1-ABS(D4954)/(ABS(D4955)+ABS(D4954)))),"")))</f>
        <v>#NAME?</v>
      </c>
    </row>
    <row r="4956" spans="2:5" x14ac:dyDescent="0.25">
      <c r="B4956" t="e">
        <f t="shared" ca="1" si="155"/>
        <v>#NAME?</v>
      </c>
      <c r="C4956">
        <v>4913</v>
      </c>
      <c r="D4956" t="e">
        <f t="shared" ca="1" si="154"/>
        <v>#NAME?</v>
      </c>
      <c r="E4956" s="115" t="e">
        <f t="array" aca="1" ref="E4956" ca="1">IF(OR(C4955=0,AND(B4957=0,C4957=0)),"",IFERROR(INDEX($F$27:$F$36,MATCH(C4956,($F$27:$F$36)*($D$27:$D$36&lt;&gt;0),0)),IF(OR(AND(D4956=0,B4956=0,B4957&lt;&gt;0),AND(D4956*D4955&lt;0,B4956&lt;&gt;0)),IF(D4956=0,C4956,C4956*(1-ABS(D4956)/(ABS(D4956)+ABS(D4955)))+C4955*(1-ABS(D4955)/(ABS(D4956)+ABS(D4955)))),"")))</f>
        <v>#NAME?</v>
      </c>
    </row>
    <row r="4957" spans="2:5" x14ac:dyDescent="0.25">
      <c r="B4957" t="e">
        <f t="shared" ca="1" si="155"/>
        <v>#NAME?</v>
      </c>
      <c r="C4957">
        <v>4914</v>
      </c>
      <c r="D4957" t="e">
        <f t="shared" ca="1" si="154"/>
        <v>#NAME?</v>
      </c>
      <c r="E4957" s="115" t="e">
        <f t="array" aca="1" ref="E4957" ca="1">IF(OR(C4956=0,AND(B4958=0,C4958=0)),"",IFERROR(INDEX($F$27:$F$36,MATCH(C4957,($F$27:$F$36)*($D$27:$D$36&lt;&gt;0),0)),IF(OR(AND(D4957=0,B4957=0,B4958&lt;&gt;0),AND(D4957*D4956&lt;0,B4957&lt;&gt;0)),IF(D4957=0,C4957,C4957*(1-ABS(D4957)/(ABS(D4957)+ABS(D4956)))+C4956*(1-ABS(D4956)/(ABS(D4957)+ABS(D4956)))),"")))</f>
        <v>#NAME?</v>
      </c>
    </row>
    <row r="4958" spans="2:5" x14ac:dyDescent="0.25">
      <c r="B4958" t="e">
        <f t="shared" ca="1" si="155"/>
        <v>#NAME?</v>
      </c>
      <c r="C4958">
        <v>4915</v>
      </c>
      <c r="D4958" t="e">
        <f t="shared" ca="1" si="154"/>
        <v>#NAME?</v>
      </c>
      <c r="E4958" s="115" t="e">
        <f t="array" aca="1" ref="E4958" ca="1">IF(OR(C4957=0,AND(B4959=0,C4959=0)),"",IFERROR(INDEX($F$27:$F$36,MATCH(C4958,($F$27:$F$36)*($D$27:$D$36&lt;&gt;0),0)),IF(OR(AND(D4958=0,B4958=0,B4959&lt;&gt;0),AND(D4958*D4957&lt;0,B4958&lt;&gt;0)),IF(D4958=0,C4958,C4958*(1-ABS(D4958)/(ABS(D4958)+ABS(D4957)))+C4957*(1-ABS(D4957)/(ABS(D4958)+ABS(D4957)))),"")))</f>
        <v>#NAME?</v>
      </c>
    </row>
    <row r="4959" spans="2:5" x14ac:dyDescent="0.25">
      <c r="B4959" t="e">
        <f t="shared" ca="1" si="155"/>
        <v>#NAME?</v>
      </c>
      <c r="C4959">
        <v>4916</v>
      </c>
      <c r="D4959" t="e">
        <f t="shared" ca="1" si="154"/>
        <v>#NAME?</v>
      </c>
      <c r="E4959" s="115" t="e">
        <f t="array" aca="1" ref="E4959" ca="1">IF(OR(C4958=0,AND(B4960=0,C4960=0)),"",IFERROR(INDEX($F$27:$F$36,MATCH(C4959,($F$27:$F$36)*($D$27:$D$36&lt;&gt;0),0)),IF(OR(AND(D4959=0,B4959=0,B4960&lt;&gt;0),AND(D4959*D4958&lt;0,B4959&lt;&gt;0)),IF(D4959=0,C4959,C4959*(1-ABS(D4959)/(ABS(D4959)+ABS(D4958)))+C4958*(1-ABS(D4958)/(ABS(D4959)+ABS(D4958)))),"")))</f>
        <v>#NAME?</v>
      </c>
    </row>
    <row r="4960" spans="2:5" x14ac:dyDescent="0.25">
      <c r="B4960" t="e">
        <f t="shared" ca="1" si="155"/>
        <v>#NAME?</v>
      </c>
      <c r="C4960">
        <v>4917</v>
      </c>
      <c r="D4960" t="e">
        <f t="shared" ca="1" si="154"/>
        <v>#NAME?</v>
      </c>
      <c r="E4960" s="115" t="e">
        <f t="array" aca="1" ref="E4960" ca="1">IF(OR(C4959=0,AND(B4961=0,C4961=0)),"",IFERROR(INDEX($F$27:$F$36,MATCH(C4960,($F$27:$F$36)*($D$27:$D$36&lt;&gt;0),0)),IF(OR(AND(D4960=0,B4960=0,B4961&lt;&gt;0),AND(D4960*D4959&lt;0,B4960&lt;&gt;0)),IF(D4960=0,C4960,C4960*(1-ABS(D4960)/(ABS(D4960)+ABS(D4959)))+C4959*(1-ABS(D4959)/(ABS(D4960)+ABS(D4959)))),"")))</f>
        <v>#NAME?</v>
      </c>
    </row>
    <row r="4961" spans="2:5" x14ac:dyDescent="0.25">
      <c r="B4961" t="e">
        <f t="shared" ca="1" si="155"/>
        <v>#NAME?</v>
      </c>
      <c r="C4961">
        <v>4918</v>
      </c>
      <c r="D4961" t="e">
        <f t="shared" ca="1" si="154"/>
        <v>#NAME?</v>
      </c>
      <c r="E4961" s="115" t="e">
        <f t="array" aca="1" ref="E4961" ca="1">IF(OR(C4960=0,AND(B4962=0,C4962=0)),"",IFERROR(INDEX($F$27:$F$36,MATCH(C4961,($F$27:$F$36)*($D$27:$D$36&lt;&gt;0),0)),IF(OR(AND(D4961=0,B4961=0,B4962&lt;&gt;0),AND(D4961*D4960&lt;0,B4961&lt;&gt;0)),IF(D4961=0,C4961,C4961*(1-ABS(D4961)/(ABS(D4961)+ABS(D4960)))+C4960*(1-ABS(D4960)/(ABS(D4961)+ABS(D4960)))),"")))</f>
        <v>#NAME?</v>
      </c>
    </row>
    <row r="4962" spans="2:5" x14ac:dyDescent="0.25">
      <c r="B4962" t="e">
        <f t="shared" ca="1" si="155"/>
        <v>#NAME?</v>
      </c>
      <c r="C4962">
        <v>4919</v>
      </c>
      <c r="D4962" t="e">
        <f t="shared" ca="1" si="154"/>
        <v>#NAME?</v>
      </c>
      <c r="E4962" s="115" t="e">
        <f t="array" aca="1" ref="E4962" ca="1">IF(OR(C4961=0,AND(B4963=0,C4963=0)),"",IFERROR(INDEX($F$27:$F$36,MATCH(C4962,($F$27:$F$36)*($D$27:$D$36&lt;&gt;0),0)),IF(OR(AND(D4962=0,B4962=0,B4963&lt;&gt;0),AND(D4962*D4961&lt;0,B4962&lt;&gt;0)),IF(D4962=0,C4962,C4962*(1-ABS(D4962)/(ABS(D4962)+ABS(D4961)))+C4961*(1-ABS(D4961)/(ABS(D4962)+ABS(D4961)))),"")))</f>
        <v>#NAME?</v>
      </c>
    </row>
    <row r="4963" spans="2:5" x14ac:dyDescent="0.25">
      <c r="B4963" t="e">
        <f t="shared" ca="1" si="155"/>
        <v>#NAME?</v>
      </c>
      <c r="C4963">
        <v>4920</v>
      </c>
      <c r="D4963" t="e">
        <f t="shared" ca="1" si="154"/>
        <v>#NAME?</v>
      </c>
      <c r="E4963" s="115" t="e">
        <f t="array" aca="1" ref="E4963" ca="1">IF(OR(C4962=0,AND(B4964=0,C4964=0)),"",IFERROR(INDEX($F$27:$F$36,MATCH(C4963,($F$27:$F$36)*($D$27:$D$36&lt;&gt;0),0)),IF(OR(AND(D4963=0,B4963=0,B4964&lt;&gt;0),AND(D4963*D4962&lt;0,B4963&lt;&gt;0)),IF(D4963=0,C4963,C4963*(1-ABS(D4963)/(ABS(D4963)+ABS(D4962)))+C4962*(1-ABS(D4962)/(ABS(D4963)+ABS(D4962)))),"")))</f>
        <v>#NAME?</v>
      </c>
    </row>
    <row r="4964" spans="2:5" x14ac:dyDescent="0.25">
      <c r="B4964" t="e">
        <f t="shared" ca="1" si="155"/>
        <v>#NAME?</v>
      </c>
      <c r="C4964">
        <v>4921</v>
      </c>
      <c r="D4964" t="e">
        <f t="shared" ca="1" si="154"/>
        <v>#NAME?</v>
      </c>
      <c r="E4964" s="115" t="e">
        <f t="array" aca="1" ref="E4964" ca="1">IF(OR(C4963=0,AND(B4965=0,C4965=0)),"",IFERROR(INDEX($F$27:$F$36,MATCH(C4964,($F$27:$F$36)*($D$27:$D$36&lt;&gt;0),0)),IF(OR(AND(D4964=0,B4964=0,B4965&lt;&gt;0),AND(D4964*D4963&lt;0,B4964&lt;&gt;0)),IF(D4964=0,C4964,C4964*(1-ABS(D4964)/(ABS(D4964)+ABS(D4963)))+C4963*(1-ABS(D4963)/(ABS(D4964)+ABS(D4963)))),"")))</f>
        <v>#NAME?</v>
      </c>
    </row>
    <row r="4965" spans="2:5" x14ac:dyDescent="0.25">
      <c r="B4965" t="e">
        <f t="shared" ca="1" si="155"/>
        <v>#NAME?</v>
      </c>
      <c r="C4965">
        <v>4922</v>
      </c>
      <c r="D4965" t="e">
        <f t="shared" ca="1" si="154"/>
        <v>#NAME?</v>
      </c>
      <c r="E4965" s="115" t="e">
        <f t="array" aca="1" ref="E4965" ca="1">IF(OR(C4964=0,AND(B4966=0,C4966=0)),"",IFERROR(INDEX($F$27:$F$36,MATCH(C4965,($F$27:$F$36)*($D$27:$D$36&lt;&gt;0),0)),IF(OR(AND(D4965=0,B4965=0,B4966&lt;&gt;0),AND(D4965*D4964&lt;0,B4965&lt;&gt;0)),IF(D4965=0,C4965,C4965*(1-ABS(D4965)/(ABS(D4965)+ABS(D4964)))+C4964*(1-ABS(D4964)/(ABS(D4965)+ABS(D4964)))),"")))</f>
        <v>#NAME?</v>
      </c>
    </row>
    <row r="4966" spans="2:5" x14ac:dyDescent="0.25">
      <c r="B4966" t="e">
        <f t="shared" ca="1" si="155"/>
        <v>#NAME?</v>
      </c>
      <c r="C4966">
        <v>4923</v>
      </c>
      <c r="D4966" t="e">
        <f t="shared" ca="1" si="154"/>
        <v>#NAME?</v>
      </c>
      <c r="E4966" s="115" t="e">
        <f t="array" aca="1" ref="E4966" ca="1">IF(OR(C4965=0,AND(B4967=0,C4967=0)),"",IFERROR(INDEX($F$27:$F$36,MATCH(C4966,($F$27:$F$36)*($D$27:$D$36&lt;&gt;0),0)),IF(OR(AND(D4966=0,B4966=0,B4967&lt;&gt;0),AND(D4966*D4965&lt;0,B4966&lt;&gt;0)),IF(D4966=0,C4966,C4966*(1-ABS(D4966)/(ABS(D4966)+ABS(D4965)))+C4965*(1-ABS(D4965)/(ABS(D4966)+ABS(D4965)))),"")))</f>
        <v>#NAME?</v>
      </c>
    </row>
    <row r="4967" spans="2:5" x14ac:dyDescent="0.25">
      <c r="B4967" t="e">
        <f t="shared" ca="1" si="155"/>
        <v>#NAME?</v>
      </c>
      <c r="C4967">
        <v>4924</v>
      </c>
      <c r="D4967" t="e">
        <f t="shared" ca="1" si="154"/>
        <v>#NAME?</v>
      </c>
      <c r="E4967" s="115" t="e">
        <f t="array" aca="1" ref="E4967" ca="1">IF(OR(C4966=0,AND(B4968=0,C4968=0)),"",IFERROR(INDEX($F$27:$F$36,MATCH(C4967,($F$27:$F$36)*($D$27:$D$36&lt;&gt;0),0)),IF(OR(AND(D4967=0,B4967=0,B4968&lt;&gt;0),AND(D4967*D4966&lt;0,B4967&lt;&gt;0)),IF(D4967=0,C4967,C4967*(1-ABS(D4967)/(ABS(D4967)+ABS(D4966)))+C4966*(1-ABS(D4966)/(ABS(D4967)+ABS(D4966)))),"")))</f>
        <v>#NAME?</v>
      </c>
    </row>
    <row r="4968" spans="2:5" x14ac:dyDescent="0.25">
      <c r="B4968" t="e">
        <f t="shared" ca="1" si="155"/>
        <v>#NAME?</v>
      </c>
      <c r="C4968">
        <v>4925</v>
      </c>
      <c r="D4968" t="e">
        <f t="shared" ca="1" si="154"/>
        <v>#NAME?</v>
      </c>
      <c r="E4968" s="115" t="e">
        <f t="array" aca="1" ref="E4968" ca="1">IF(OR(C4967=0,AND(B4969=0,C4969=0)),"",IFERROR(INDEX($F$27:$F$36,MATCH(C4968,($F$27:$F$36)*($D$27:$D$36&lt;&gt;0),0)),IF(OR(AND(D4968=0,B4968=0,B4969&lt;&gt;0),AND(D4968*D4967&lt;0,B4968&lt;&gt;0)),IF(D4968=0,C4968,C4968*(1-ABS(D4968)/(ABS(D4968)+ABS(D4967)))+C4967*(1-ABS(D4967)/(ABS(D4968)+ABS(D4967)))),"")))</f>
        <v>#NAME?</v>
      </c>
    </row>
    <row r="4969" spans="2:5" x14ac:dyDescent="0.25">
      <c r="B4969" t="e">
        <f t="shared" ca="1" si="155"/>
        <v>#NAME?</v>
      </c>
      <c r="C4969">
        <v>4926</v>
      </c>
      <c r="D4969" t="e">
        <f t="shared" ca="1" si="154"/>
        <v>#NAME?</v>
      </c>
      <c r="E4969" s="115" t="e">
        <f t="array" aca="1" ref="E4969" ca="1">IF(OR(C4968=0,AND(B4970=0,C4970=0)),"",IFERROR(INDEX($F$27:$F$36,MATCH(C4969,($F$27:$F$36)*($D$27:$D$36&lt;&gt;0),0)),IF(OR(AND(D4969=0,B4969=0,B4970&lt;&gt;0),AND(D4969*D4968&lt;0,B4969&lt;&gt;0)),IF(D4969=0,C4969,C4969*(1-ABS(D4969)/(ABS(D4969)+ABS(D4968)))+C4968*(1-ABS(D4968)/(ABS(D4969)+ABS(D4968)))),"")))</f>
        <v>#NAME?</v>
      </c>
    </row>
    <row r="4970" spans="2:5" x14ac:dyDescent="0.25">
      <c r="B4970" t="e">
        <f t="shared" ca="1" si="155"/>
        <v>#NAME?</v>
      </c>
      <c r="C4970">
        <v>4927</v>
      </c>
      <c r="D4970" t="e">
        <f t="shared" ca="1" si="154"/>
        <v>#NAME?</v>
      </c>
      <c r="E4970" s="115" t="e">
        <f t="array" aca="1" ref="E4970" ca="1">IF(OR(C4969=0,AND(B4971=0,C4971=0)),"",IFERROR(INDEX($F$27:$F$36,MATCH(C4970,($F$27:$F$36)*($D$27:$D$36&lt;&gt;0),0)),IF(OR(AND(D4970=0,B4970=0,B4971&lt;&gt;0),AND(D4970*D4969&lt;0,B4970&lt;&gt;0)),IF(D4970=0,C4970,C4970*(1-ABS(D4970)/(ABS(D4970)+ABS(D4969)))+C4969*(1-ABS(D4969)/(ABS(D4970)+ABS(D4969)))),"")))</f>
        <v>#NAME?</v>
      </c>
    </row>
    <row r="4971" spans="2:5" x14ac:dyDescent="0.25">
      <c r="B4971" t="e">
        <f t="shared" ca="1" si="155"/>
        <v>#NAME?</v>
      </c>
      <c r="C4971">
        <v>4928</v>
      </c>
      <c r="D4971" t="e">
        <f t="shared" ref="D4971:D5034" ca="1" si="156">SUMPRODUCT(--($J$27:$J$37&gt;0),--($C4971-$F$27:$F$37&gt;0),($D$27:$D$37),($C4971-$F$27:$F$37))+SUMPRODUCT(--($J$27:$J$37&lt;0),--($F$27:$F$37-$C4971&gt;0),($D$27:$D$37),($F$27:$F$37-$C4971))-SUMPRODUCT($D$27:$D$37,$E$27:$E$37)</f>
        <v>#NAME?</v>
      </c>
      <c r="E4971" s="115" t="e">
        <f t="array" aca="1" ref="E4971" ca="1">IF(OR(C4970=0,AND(B4972=0,C4972=0)),"",IFERROR(INDEX($F$27:$F$36,MATCH(C4971,($F$27:$F$36)*($D$27:$D$36&lt;&gt;0),0)),IF(OR(AND(D4971=0,B4971=0,B4972&lt;&gt;0),AND(D4971*D4970&lt;0,B4971&lt;&gt;0)),IF(D4971=0,C4971,C4971*(1-ABS(D4971)/(ABS(D4971)+ABS(D4970)))+C4970*(1-ABS(D4970)/(ABS(D4971)+ABS(D4970)))),"")))</f>
        <v>#NAME?</v>
      </c>
    </row>
    <row r="4972" spans="2:5" x14ac:dyDescent="0.25">
      <c r="B4972" t="e">
        <f t="shared" ref="B4972:B5035" ca="1" si="157">ROUND((D4972-D4971)/(C4972-C4971),12)</f>
        <v>#NAME?</v>
      </c>
      <c r="C4972">
        <v>4929</v>
      </c>
      <c r="D4972" t="e">
        <f t="shared" ca="1" si="156"/>
        <v>#NAME?</v>
      </c>
      <c r="E4972" s="115" t="e">
        <f t="array" aca="1" ref="E4972" ca="1">IF(OR(C4971=0,AND(B4973=0,C4973=0)),"",IFERROR(INDEX($F$27:$F$36,MATCH(C4972,($F$27:$F$36)*($D$27:$D$36&lt;&gt;0),0)),IF(OR(AND(D4972=0,B4972=0,B4973&lt;&gt;0),AND(D4972*D4971&lt;0,B4972&lt;&gt;0)),IF(D4972=0,C4972,C4972*(1-ABS(D4972)/(ABS(D4972)+ABS(D4971)))+C4971*(1-ABS(D4971)/(ABS(D4972)+ABS(D4971)))),"")))</f>
        <v>#NAME?</v>
      </c>
    </row>
    <row r="4973" spans="2:5" x14ac:dyDescent="0.25">
      <c r="B4973" t="e">
        <f t="shared" ca="1" si="157"/>
        <v>#NAME?</v>
      </c>
      <c r="C4973">
        <v>4930</v>
      </c>
      <c r="D4973" t="e">
        <f t="shared" ca="1" si="156"/>
        <v>#NAME?</v>
      </c>
      <c r="E4973" s="115" t="e">
        <f t="array" aca="1" ref="E4973" ca="1">IF(OR(C4972=0,AND(B4974=0,C4974=0)),"",IFERROR(INDEX($F$27:$F$36,MATCH(C4973,($F$27:$F$36)*($D$27:$D$36&lt;&gt;0),0)),IF(OR(AND(D4973=0,B4973=0,B4974&lt;&gt;0),AND(D4973*D4972&lt;0,B4973&lt;&gt;0)),IF(D4973=0,C4973,C4973*(1-ABS(D4973)/(ABS(D4973)+ABS(D4972)))+C4972*(1-ABS(D4972)/(ABS(D4973)+ABS(D4972)))),"")))</f>
        <v>#NAME?</v>
      </c>
    </row>
    <row r="4974" spans="2:5" x14ac:dyDescent="0.25">
      <c r="B4974" t="e">
        <f t="shared" ca="1" si="157"/>
        <v>#NAME?</v>
      </c>
      <c r="C4974">
        <v>4931</v>
      </c>
      <c r="D4974" t="e">
        <f t="shared" ca="1" si="156"/>
        <v>#NAME?</v>
      </c>
      <c r="E4974" s="115" t="e">
        <f t="array" aca="1" ref="E4974" ca="1">IF(OR(C4973=0,AND(B4975=0,C4975=0)),"",IFERROR(INDEX($F$27:$F$36,MATCH(C4974,($F$27:$F$36)*($D$27:$D$36&lt;&gt;0),0)),IF(OR(AND(D4974=0,B4974=0,B4975&lt;&gt;0),AND(D4974*D4973&lt;0,B4974&lt;&gt;0)),IF(D4974=0,C4974,C4974*(1-ABS(D4974)/(ABS(D4974)+ABS(D4973)))+C4973*(1-ABS(D4973)/(ABS(D4974)+ABS(D4973)))),"")))</f>
        <v>#NAME?</v>
      </c>
    </row>
    <row r="4975" spans="2:5" x14ac:dyDescent="0.25">
      <c r="B4975" t="e">
        <f t="shared" ca="1" si="157"/>
        <v>#NAME?</v>
      </c>
      <c r="C4975">
        <v>4932</v>
      </c>
      <c r="D4975" t="e">
        <f t="shared" ca="1" si="156"/>
        <v>#NAME?</v>
      </c>
      <c r="E4975" s="115" t="e">
        <f t="array" aca="1" ref="E4975" ca="1">IF(OR(C4974=0,AND(B4976=0,C4976=0)),"",IFERROR(INDEX($F$27:$F$36,MATCH(C4975,($F$27:$F$36)*($D$27:$D$36&lt;&gt;0),0)),IF(OR(AND(D4975=0,B4975=0,B4976&lt;&gt;0),AND(D4975*D4974&lt;0,B4975&lt;&gt;0)),IF(D4975=0,C4975,C4975*(1-ABS(D4975)/(ABS(D4975)+ABS(D4974)))+C4974*(1-ABS(D4974)/(ABS(D4975)+ABS(D4974)))),"")))</f>
        <v>#NAME?</v>
      </c>
    </row>
    <row r="4976" spans="2:5" x14ac:dyDescent="0.25">
      <c r="B4976" t="e">
        <f t="shared" ca="1" si="157"/>
        <v>#NAME?</v>
      </c>
      <c r="C4976">
        <v>4933</v>
      </c>
      <c r="D4976" t="e">
        <f t="shared" ca="1" si="156"/>
        <v>#NAME?</v>
      </c>
      <c r="E4976" s="115" t="e">
        <f t="array" aca="1" ref="E4976" ca="1">IF(OR(C4975=0,AND(B4977=0,C4977=0)),"",IFERROR(INDEX($F$27:$F$36,MATCH(C4976,($F$27:$F$36)*($D$27:$D$36&lt;&gt;0),0)),IF(OR(AND(D4976=0,B4976=0,B4977&lt;&gt;0),AND(D4976*D4975&lt;0,B4976&lt;&gt;0)),IF(D4976=0,C4976,C4976*(1-ABS(D4976)/(ABS(D4976)+ABS(D4975)))+C4975*(1-ABS(D4975)/(ABS(D4976)+ABS(D4975)))),"")))</f>
        <v>#NAME?</v>
      </c>
    </row>
    <row r="4977" spans="2:5" x14ac:dyDescent="0.25">
      <c r="B4977" t="e">
        <f t="shared" ca="1" si="157"/>
        <v>#NAME?</v>
      </c>
      <c r="C4977">
        <v>4934</v>
      </c>
      <c r="D4977" t="e">
        <f t="shared" ca="1" si="156"/>
        <v>#NAME?</v>
      </c>
      <c r="E4977" s="115" t="e">
        <f t="array" aca="1" ref="E4977" ca="1">IF(OR(C4976=0,AND(B4978=0,C4978=0)),"",IFERROR(INDEX($F$27:$F$36,MATCH(C4977,($F$27:$F$36)*($D$27:$D$36&lt;&gt;0),0)),IF(OR(AND(D4977=0,B4977=0,B4978&lt;&gt;0),AND(D4977*D4976&lt;0,B4977&lt;&gt;0)),IF(D4977=0,C4977,C4977*(1-ABS(D4977)/(ABS(D4977)+ABS(D4976)))+C4976*(1-ABS(D4976)/(ABS(D4977)+ABS(D4976)))),"")))</f>
        <v>#NAME?</v>
      </c>
    </row>
    <row r="4978" spans="2:5" x14ac:dyDescent="0.25">
      <c r="B4978" t="e">
        <f t="shared" ca="1" si="157"/>
        <v>#NAME?</v>
      </c>
      <c r="C4978">
        <v>4935</v>
      </c>
      <c r="D4978" t="e">
        <f t="shared" ca="1" si="156"/>
        <v>#NAME?</v>
      </c>
      <c r="E4978" s="115" t="e">
        <f t="array" aca="1" ref="E4978" ca="1">IF(OR(C4977=0,AND(B4979=0,C4979=0)),"",IFERROR(INDEX($F$27:$F$36,MATCH(C4978,($F$27:$F$36)*($D$27:$D$36&lt;&gt;0),0)),IF(OR(AND(D4978=0,B4978=0,B4979&lt;&gt;0),AND(D4978*D4977&lt;0,B4978&lt;&gt;0)),IF(D4978=0,C4978,C4978*(1-ABS(D4978)/(ABS(D4978)+ABS(D4977)))+C4977*(1-ABS(D4977)/(ABS(D4978)+ABS(D4977)))),"")))</f>
        <v>#NAME?</v>
      </c>
    </row>
    <row r="4979" spans="2:5" x14ac:dyDescent="0.25">
      <c r="B4979" t="e">
        <f t="shared" ca="1" si="157"/>
        <v>#NAME?</v>
      </c>
      <c r="C4979">
        <v>4936</v>
      </c>
      <c r="D4979" t="e">
        <f t="shared" ca="1" si="156"/>
        <v>#NAME?</v>
      </c>
      <c r="E4979" s="115" t="e">
        <f t="array" aca="1" ref="E4979" ca="1">IF(OR(C4978=0,AND(B4980=0,C4980=0)),"",IFERROR(INDEX($F$27:$F$36,MATCH(C4979,($F$27:$F$36)*($D$27:$D$36&lt;&gt;0),0)),IF(OR(AND(D4979=0,B4979=0,B4980&lt;&gt;0),AND(D4979*D4978&lt;0,B4979&lt;&gt;0)),IF(D4979=0,C4979,C4979*(1-ABS(D4979)/(ABS(D4979)+ABS(D4978)))+C4978*(1-ABS(D4978)/(ABS(D4979)+ABS(D4978)))),"")))</f>
        <v>#NAME?</v>
      </c>
    </row>
    <row r="4980" spans="2:5" x14ac:dyDescent="0.25">
      <c r="B4980" t="e">
        <f t="shared" ca="1" si="157"/>
        <v>#NAME?</v>
      </c>
      <c r="C4980">
        <v>4937</v>
      </c>
      <c r="D4980" t="e">
        <f t="shared" ca="1" si="156"/>
        <v>#NAME?</v>
      </c>
      <c r="E4980" s="115" t="e">
        <f t="array" aca="1" ref="E4980" ca="1">IF(OR(C4979=0,AND(B4981=0,C4981=0)),"",IFERROR(INDEX($F$27:$F$36,MATCH(C4980,($F$27:$F$36)*($D$27:$D$36&lt;&gt;0),0)),IF(OR(AND(D4980=0,B4980=0,B4981&lt;&gt;0),AND(D4980*D4979&lt;0,B4980&lt;&gt;0)),IF(D4980=0,C4980,C4980*(1-ABS(D4980)/(ABS(D4980)+ABS(D4979)))+C4979*(1-ABS(D4979)/(ABS(D4980)+ABS(D4979)))),"")))</f>
        <v>#NAME?</v>
      </c>
    </row>
    <row r="4981" spans="2:5" x14ac:dyDescent="0.25">
      <c r="B4981" t="e">
        <f t="shared" ca="1" si="157"/>
        <v>#NAME?</v>
      </c>
      <c r="C4981">
        <v>4938</v>
      </c>
      <c r="D4981" t="e">
        <f t="shared" ca="1" si="156"/>
        <v>#NAME?</v>
      </c>
      <c r="E4981" s="115" t="e">
        <f t="array" aca="1" ref="E4981" ca="1">IF(OR(C4980=0,AND(B4982=0,C4982=0)),"",IFERROR(INDEX($F$27:$F$36,MATCH(C4981,($F$27:$F$36)*($D$27:$D$36&lt;&gt;0),0)),IF(OR(AND(D4981=0,B4981=0,B4982&lt;&gt;0),AND(D4981*D4980&lt;0,B4981&lt;&gt;0)),IF(D4981=0,C4981,C4981*(1-ABS(D4981)/(ABS(D4981)+ABS(D4980)))+C4980*(1-ABS(D4980)/(ABS(D4981)+ABS(D4980)))),"")))</f>
        <v>#NAME?</v>
      </c>
    </row>
    <row r="4982" spans="2:5" x14ac:dyDescent="0.25">
      <c r="B4982" t="e">
        <f t="shared" ca="1" si="157"/>
        <v>#NAME?</v>
      </c>
      <c r="C4982">
        <v>4939</v>
      </c>
      <c r="D4982" t="e">
        <f t="shared" ca="1" si="156"/>
        <v>#NAME?</v>
      </c>
      <c r="E4982" s="115" t="e">
        <f t="array" aca="1" ref="E4982" ca="1">IF(OR(C4981=0,AND(B4983=0,C4983=0)),"",IFERROR(INDEX($F$27:$F$36,MATCH(C4982,($F$27:$F$36)*($D$27:$D$36&lt;&gt;0),0)),IF(OR(AND(D4982=0,B4982=0,B4983&lt;&gt;0),AND(D4982*D4981&lt;0,B4982&lt;&gt;0)),IF(D4982=0,C4982,C4982*(1-ABS(D4982)/(ABS(D4982)+ABS(D4981)))+C4981*(1-ABS(D4981)/(ABS(D4982)+ABS(D4981)))),"")))</f>
        <v>#NAME?</v>
      </c>
    </row>
    <row r="4983" spans="2:5" x14ac:dyDescent="0.25">
      <c r="B4983" t="e">
        <f t="shared" ca="1" si="157"/>
        <v>#NAME?</v>
      </c>
      <c r="C4983">
        <v>4940</v>
      </c>
      <c r="D4983" t="e">
        <f t="shared" ca="1" si="156"/>
        <v>#NAME?</v>
      </c>
      <c r="E4983" s="115" t="e">
        <f t="array" aca="1" ref="E4983" ca="1">IF(OR(C4982=0,AND(B4984=0,C4984=0)),"",IFERROR(INDEX($F$27:$F$36,MATCH(C4983,($F$27:$F$36)*($D$27:$D$36&lt;&gt;0),0)),IF(OR(AND(D4983=0,B4983=0,B4984&lt;&gt;0),AND(D4983*D4982&lt;0,B4983&lt;&gt;0)),IF(D4983=0,C4983,C4983*(1-ABS(D4983)/(ABS(D4983)+ABS(D4982)))+C4982*(1-ABS(D4982)/(ABS(D4983)+ABS(D4982)))),"")))</f>
        <v>#NAME?</v>
      </c>
    </row>
    <row r="4984" spans="2:5" x14ac:dyDescent="0.25">
      <c r="B4984" t="e">
        <f t="shared" ca="1" si="157"/>
        <v>#NAME?</v>
      </c>
      <c r="C4984">
        <v>4941</v>
      </c>
      <c r="D4984" t="e">
        <f t="shared" ca="1" si="156"/>
        <v>#NAME?</v>
      </c>
      <c r="E4984" s="115" t="e">
        <f t="array" aca="1" ref="E4984" ca="1">IF(OR(C4983=0,AND(B4985=0,C4985=0)),"",IFERROR(INDEX($F$27:$F$36,MATCH(C4984,($F$27:$F$36)*($D$27:$D$36&lt;&gt;0),0)),IF(OR(AND(D4984=0,B4984=0,B4985&lt;&gt;0),AND(D4984*D4983&lt;0,B4984&lt;&gt;0)),IF(D4984=0,C4984,C4984*(1-ABS(D4984)/(ABS(D4984)+ABS(D4983)))+C4983*(1-ABS(D4983)/(ABS(D4984)+ABS(D4983)))),"")))</f>
        <v>#NAME?</v>
      </c>
    </row>
    <row r="4985" spans="2:5" x14ac:dyDescent="0.25">
      <c r="B4985" t="e">
        <f t="shared" ca="1" si="157"/>
        <v>#NAME?</v>
      </c>
      <c r="C4985">
        <v>4942</v>
      </c>
      <c r="D4985" t="e">
        <f t="shared" ca="1" si="156"/>
        <v>#NAME?</v>
      </c>
      <c r="E4985" s="115" t="e">
        <f t="array" aca="1" ref="E4985" ca="1">IF(OR(C4984=0,AND(B4986=0,C4986=0)),"",IFERROR(INDEX($F$27:$F$36,MATCH(C4985,($F$27:$F$36)*($D$27:$D$36&lt;&gt;0),0)),IF(OR(AND(D4985=0,B4985=0,B4986&lt;&gt;0),AND(D4985*D4984&lt;0,B4985&lt;&gt;0)),IF(D4985=0,C4985,C4985*(1-ABS(D4985)/(ABS(D4985)+ABS(D4984)))+C4984*(1-ABS(D4984)/(ABS(D4985)+ABS(D4984)))),"")))</f>
        <v>#NAME?</v>
      </c>
    </row>
    <row r="4986" spans="2:5" x14ac:dyDescent="0.25">
      <c r="B4986" t="e">
        <f t="shared" ca="1" si="157"/>
        <v>#NAME?</v>
      </c>
      <c r="C4986">
        <v>4943</v>
      </c>
      <c r="D4986" t="e">
        <f t="shared" ca="1" si="156"/>
        <v>#NAME?</v>
      </c>
      <c r="E4986" s="115" t="e">
        <f t="array" aca="1" ref="E4986" ca="1">IF(OR(C4985=0,AND(B4987=0,C4987=0)),"",IFERROR(INDEX($F$27:$F$36,MATCH(C4986,($F$27:$F$36)*($D$27:$D$36&lt;&gt;0),0)),IF(OR(AND(D4986=0,B4986=0,B4987&lt;&gt;0),AND(D4986*D4985&lt;0,B4986&lt;&gt;0)),IF(D4986=0,C4986,C4986*(1-ABS(D4986)/(ABS(D4986)+ABS(D4985)))+C4985*(1-ABS(D4985)/(ABS(D4986)+ABS(D4985)))),"")))</f>
        <v>#NAME?</v>
      </c>
    </row>
    <row r="4987" spans="2:5" x14ac:dyDescent="0.25">
      <c r="B4987" t="e">
        <f t="shared" ca="1" si="157"/>
        <v>#NAME?</v>
      </c>
      <c r="C4987">
        <v>4944</v>
      </c>
      <c r="D4987" t="e">
        <f t="shared" ca="1" si="156"/>
        <v>#NAME?</v>
      </c>
      <c r="E4987" s="115" t="e">
        <f t="array" aca="1" ref="E4987" ca="1">IF(OR(C4986=0,AND(B4988=0,C4988=0)),"",IFERROR(INDEX($F$27:$F$36,MATCH(C4987,($F$27:$F$36)*($D$27:$D$36&lt;&gt;0),0)),IF(OR(AND(D4987=0,B4987=0,B4988&lt;&gt;0),AND(D4987*D4986&lt;0,B4987&lt;&gt;0)),IF(D4987=0,C4987,C4987*(1-ABS(D4987)/(ABS(D4987)+ABS(D4986)))+C4986*(1-ABS(D4986)/(ABS(D4987)+ABS(D4986)))),"")))</f>
        <v>#NAME?</v>
      </c>
    </row>
    <row r="4988" spans="2:5" x14ac:dyDescent="0.25">
      <c r="B4988" t="e">
        <f t="shared" ca="1" si="157"/>
        <v>#NAME?</v>
      </c>
      <c r="C4988">
        <v>4945</v>
      </c>
      <c r="D4988" t="e">
        <f t="shared" ca="1" si="156"/>
        <v>#NAME?</v>
      </c>
      <c r="E4988" s="115" t="e">
        <f t="array" aca="1" ref="E4988" ca="1">IF(OR(C4987=0,AND(B4989=0,C4989=0)),"",IFERROR(INDEX($F$27:$F$36,MATCH(C4988,($F$27:$F$36)*($D$27:$D$36&lt;&gt;0),0)),IF(OR(AND(D4988=0,B4988=0,B4989&lt;&gt;0),AND(D4988*D4987&lt;0,B4988&lt;&gt;0)),IF(D4988=0,C4988,C4988*(1-ABS(D4988)/(ABS(D4988)+ABS(D4987)))+C4987*(1-ABS(D4987)/(ABS(D4988)+ABS(D4987)))),"")))</f>
        <v>#NAME?</v>
      </c>
    </row>
    <row r="4989" spans="2:5" x14ac:dyDescent="0.25">
      <c r="B4989" t="e">
        <f t="shared" ca="1" si="157"/>
        <v>#NAME?</v>
      </c>
      <c r="C4989">
        <v>4946</v>
      </c>
      <c r="D4989" t="e">
        <f t="shared" ca="1" si="156"/>
        <v>#NAME?</v>
      </c>
      <c r="E4989" s="115" t="e">
        <f t="array" aca="1" ref="E4989" ca="1">IF(OR(C4988=0,AND(B4990=0,C4990=0)),"",IFERROR(INDEX($F$27:$F$36,MATCH(C4989,($F$27:$F$36)*($D$27:$D$36&lt;&gt;0),0)),IF(OR(AND(D4989=0,B4989=0,B4990&lt;&gt;0),AND(D4989*D4988&lt;0,B4989&lt;&gt;0)),IF(D4989=0,C4989,C4989*(1-ABS(D4989)/(ABS(D4989)+ABS(D4988)))+C4988*(1-ABS(D4988)/(ABS(D4989)+ABS(D4988)))),"")))</f>
        <v>#NAME?</v>
      </c>
    </row>
    <row r="4990" spans="2:5" x14ac:dyDescent="0.25">
      <c r="B4990" t="e">
        <f t="shared" ca="1" si="157"/>
        <v>#NAME?</v>
      </c>
      <c r="C4990">
        <v>4947</v>
      </c>
      <c r="D4990" t="e">
        <f t="shared" ca="1" si="156"/>
        <v>#NAME?</v>
      </c>
      <c r="E4990" s="115" t="e">
        <f t="array" aca="1" ref="E4990" ca="1">IF(OR(C4989=0,AND(B4991=0,C4991=0)),"",IFERROR(INDEX($F$27:$F$36,MATCH(C4990,($F$27:$F$36)*($D$27:$D$36&lt;&gt;0),0)),IF(OR(AND(D4990=0,B4990=0,B4991&lt;&gt;0),AND(D4990*D4989&lt;0,B4990&lt;&gt;0)),IF(D4990=0,C4990,C4990*(1-ABS(D4990)/(ABS(D4990)+ABS(D4989)))+C4989*(1-ABS(D4989)/(ABS(D4990)+ABS(D4989)))),"")))</f>
        <v>#NAME?</v>
      </c>
    </row>
    <row r="4991" spans="2:5" x14ac:dyDescent="0.25">
      <c r="B4991" t="e">
        <f t="shared" ca="1" si="157"/>
        <v>#NAME?</v>
      </c>
      <c r="C4991">
        <v>4948</v>
      </c>
      <c r="D4991" t="e">
        <f t="shared" ca="1" si="156"/>
        <v>#NAME?</v>
      </c>
      <c r="E4991" s="115" t="e">
        <f t="array" aca="1" ref="E4991" ca="1">IF(OR(C4990=0,AND(B4992=0,C4992=0)),"",IFERROR(INDEX($F$27:$F$36,MATCH(C4991,($F$27:$F$36)*($D$27:$D$36&lt;&gt;0),0)),IF(OR(AND(D4991=0,B4991=0,B4992&lt;&gt;0),AND(D4991*D4990&lt;0,B4991&lt;&gt;0)),IF(D4991=0,C4991,C4991*(1-ABS(D4991)/(ABS(D4991)+ABS(D4990)))+C4990*(1-ABS(D4990)/(ABS(D4991)+ABS(D4990)))),"")))</f>
        <v>#NAME?</v>
      </c>
    </row>
    <row r="4992" spans="2:5" x14ac:dyDescent="0.25">
      <c r="B4992" t="e">
        <f t="shared" ca="1" si="157"/>
        <v>#NAME?</v>
      </c>
      <c r="C4992">
        <v>4949</v>
      </c>
      <c r="D4992" t="e">
        <f t="shared" ca="1" si="156"/>
        <v>#NAME?</v>
      </c>
      <c r="E4992" s="115" t="e">
        <f t="array" aca="1" ref="E4992" ca="1">IF(OR(C4991=0,AND(B4993=0,C4993=0)),"",IFERROR(INDEX($F$27:$F$36,MATCH(C4992,($F$27:$F$36)*($D$27:$D$36&lt;&gt;0),0)),IF(OR(AND(D4992=0,B4992=0,B4993&lt;&gt;0),AND(D4992*D4991&lt;0,B4992&lt;&gt;0)),IF(D4992=0,C4992,C4992*(1-ABS(D4992)/(ABS(D4992)+ABS(D4991)))+C4991*(1-ABS(D4991)/(ABS(D4992)+ABS(D4991)))),"")))</f>
        <v>#NAME?</v>
      </c>
    </row>
    <row r="4993" spans="2:5" x14ac:dyDescent="0.25">
      <c r="B4993" t="e">
        <f t="shared" ca="1" si="157"/>
        <v>#NAME?</v>
      </c>
      <c r="C4993">
        <v>4950</v>
      </c>
      <c r="D4993" t="e">
        <f t="shared" ca="1" si="156"/>
        <v>#NAME?</v>
      </c>
      <c r="E4993" s="115" t="e">
        <f t="array" aca="1" ref="E4993" ca="1">IF(OR(C4992=0,AND(B4994=0,C4994=0)),"",IFERROR(INDEX($F$27:$F$36,MATCH(C4993,($F$27:$F$36)*($D$27:$D$36&lt;&gt;0),0)),IF(OR(AND(D4993=0,B4993=0,B4994&lt;&gt;0),AND(D4993*D4992&lt;0,B4993&lt;&gt;0)),IF(D4993=0,C4993,C4993*(1-ABS(D4993)/(ABS(D4993)+ABS(D4992)))+C4992*(1-ABS(D4992)/(ABS(D4993)+ABS(D4992)))),"")))</f>
        <v>#NAME?</v>
      </c>
    </row>
    <row r="4994" spans="2:5" x14ac:dyDescent="0.25">
      <c r="B4994" t="e">
        <f t="shared" ca="1" si="157"/>
        <v>#NAME?</v>
      </c>
      <c r="C4994">
        <v>4951</v>
      </c>
      <c r="D4994" t="e">
        <f t="shared" ca="1" si="156"/>
        <v>#NAME?</v>
      </c>
      <c r="E4994" s="115" t="e">
        <f t="array" aca="1" ref="E4994" ca="1">IF(OR(C4993=0,AND(B4995=0,C4995=0)),"",IFERROR(INDEX($F$27:$F$36,MATCH(C4994,($F$27:$F$36)*($D$27:$D$36&lt;&gt;0),0)),IF(OR(AND(D4994=0,B4994=0,B4995&lt;&gt;0),AND(D4994*D4993&lt;0,B4994&lt;&gt;0)),IF(D4994=0,C4994,C4994*(1-ABS(D4994)/(ABS(D4994)+ABS(D4993)))+C4993*(1-ABS(D4993)/(ABS(D4994)+ABS(D4993)))),"")))</f>
        <v>#NAME?</v>
      </c>
    </row>
    <row r="4995" spans="2:5" x14ac:dyDescent="0.25">
      <c r="B4995" t="e">
        <f t="shared" ca="1" si="157"/>
        <v>#NAME?</v>
      </c>
      <c r="C4995">
        <v>4952</v>
      </c>
      <c r="D4995" t="e">
        <f t="shared" ca="1" si="156"/>
        <v>#NAME?</v>
      </c>
      <c r="E4995" s="115" t="e">
        <f t="array" aca="1" ref="E4995" ca="1">IF(OR(C4994=0,AND(B4996=0,C4996=0)),"",IFERROR(INDEX($F$27:$F$36,MATCH(C4995,($F$27:$F$36)*($D$27:$D$36&lt;&gt;0),0)),IF(OR(AND(D4995=0,B4995=0,B4996&lt;&gt;0),AND(D4995*D4994&lt;0,B4995&lt;&gt;0)),IF(D4995=0,C4995,C4995*(1-ABS(D4995)/(ABS(D4995)+ABS(D4994)))+C4994*(1-ABS(D4994)/(ABS(D4995)+ABS(D4994)))),"")))</f>
        <v>#NAME?</v>
      </c>
    </row>
    <row r="4996" spans="2:5" x14ac:dyDescent="0.25">
      <c r="B4996" t="e">
        <f t="shared" ca="1" si="157"/>
        <v>#NAME?</v>
      </c>
      <c r="C4996">
        <v>4953</v>
      </c>
      <c r="D4996" t="e">
        <f t="shared" ca="1" si="156"/>
        <v>#NAME?</v>
      </c>
      <c r="E4996" s="115" t="e">
        <f t="array" aca="1" ref="E4996" ca="1">IF(OR(C4995=0,AND(B4997=0,C4997=0)),"",IFERROR(INDEX($F$27:$F$36,MATCH(C4996,($F$27:$F$36)*($D$27:$D$36&lt;&gt;0),0)),IF(OR(AND(D4996=0,B4996=0,B4997&lt;&gt;0),AND(D4996*D4995&lt;0,B4996&lt;&gt;0)),IF(D4996=0,C4996,C4996*(1-ABS(D4996)/(ABS(D4996)+ABS(D4995)))+C4995*(1-ABS(D4995)/(ABS(D4996)+ABS(D4995)))),"")))</f>
        <v>#NAME?</v>
      </c>
    </row>
    <row r="4997" spans="2:5" x14ac:dyDescent="0.25">
      <c r="B4997" t="e">
        <f t="shared" ca="1" si="157"/>
        <v>#NAME?</v>
      </c>
      <c r="C4997">
        <v>4954</v>
      </c>
      <c r="D4997" t="e">
        <f t="shared" ca="1" si="156"/>
        <v>#NAME?</v>
      </c>
      <c r="E4997" s="115" t="e">
        <f t="array" aca="1" ref="E4997" ca="1">IF(OR(C4996=0,AND(B4998=0,C4998=0)),"",IFERROR(INDEX($F$27:$F$36,MATCH(C4997,($F$27:$F$36)*($D$27:$D$36&lt;&gt;0),0)),IF(OR(AND(D4997=0,B4997=0,B4998&lt;&gt;0),AND(D4997*D4996&lt;0,B4997&lt;&gt;0)),IF(D4997=0,C4997,C4997*(1-ABS(D4997)/(ABS(D4997)+ABS(D4996)))+C4996*(1-ABS(D4996)/(ABS(D4997)+ABS(D4996)))),"")))</f>
        <v>#NAME?</v>
      </c>
    </row>
    <row r="4998" spans="2:5" x14ac:dyDescent="0.25">
      <c r="B4998" t="e">
        <f t="shared" ca="1" si="157"/>
        <v>#NAME?</v>
      </c>
      <c r="C4998">
        <v>4955</v>
      </c>
      <c r="D4998" t="e">
        <f t="shared" ca="1" si="156"/>
        <v>#NAME?</v>
      </c>
      <c r="E4998" s="115" t="e">
        <f t="array" aca="1" ref="E4998" ca="1">IF(OR(C4997=0,AND(B4999=0,C4999=0)),"",IFERROR(INDEX($F$27:$F$36,MATCH(C4998,($F$27:$F$36)*($D$27:$D$36&lt;&gt;0),0)),IF(OR(AND(D4998=0,B4998=0,B4999&lt;&gt;0),AND(D4998*D4997&lt;0,B4998&lt;&gt;0)),IF(D4998=0,C4998,C4998*(1-ABS(D4998)/(ABS(D4998)+ABS(D4997)))+C4997*(1-ABS(D4997)/(ABS(D4998)+ABS(D4997)))),"")))</f>
        <v>#NAME?</v>
      </c>
    </row>
    <row r="4999" spans="2:5" x14ac:dyDescent="0.25">
      <c r="B4999" t="e">
        <f t="shared" ca="1" si="157"/>
        <v>#NAME?</v>
      </c>
      <c r="C4999">
        <v>4956</v>
      </c>
      <c r="D4999" t="e">
        <f t="shared" ca="1" si="156"/>
        <v>#NAME?</v>
      </c>
      <c r="E4999" s="115" t="e">
        <f t="array" aca="1" ref="E4999" ca="1">IF(OR(C4998=0,AND(B5000=0,C5000=0)),"",IFERROR(INDEX($F$27:$F$36,MATCH(C4999,($F$27:$F$36)*($D$27:$D$36&lt;&gt;0),0)),IF(OR(AND(D4999=0,B4999=0,B5000&lt;&gt;0),AND(D4999*D4998&lt;0,B4999&lt;&gt;0)),IF(D4999=0,C4999,C4999*(1-ABS(D4999)/(ABS(D4999)+ABS(D4998)))+C4998*(1-ABS(D4998)/(ABS(D4999)+ABS(D4998)))),"")))</f>
        <v>#NAME?</v>
      </c>
    </row>
    <row r="5000" spans="2:5" x14ac:dyDescent="0.25">
      <c r="B5000" t="e">
        <f t="shared" ca="1" si="157"/>
        <v>#NAME?</v>
      </c>
      <c r="C5000">
        <v>4957</v>
      </c>
      <c r="D5000" t="e">
        <f t="shared" ca="1" si="156"/>
        <v>#NAME?</v>
      </c>
      <c r="E5000" s="115" t="e">
        <f t="array" aca="1" ref="E5000" ca="1">IF(OR(C4999=0,AND(B5001=0,C5001=0)),"",IFERROR(INDEX($F$27:$F$36,MATCH(C5000,($F$27:$F$36)*($D$27:$D$36&lt;&gt;0),0)),IF(OR(AND(D5000=0,B5000=0,B5001&lt;&gt;0),AND(D5000*D4999&lt;0,B5000&lt;&gt;0)),IF(D5000=0,C5000,C5000*(1-ABS(D5000)/(ABS(D5000)+ABS(D4999)))+C4999*(1-ABS(D4999)/(ABS(D5000)+ABS(D4999)))),"")))</f>
        <v>#NAME?</v>
      </c>
    </row>
    <row r="5001" spans="2:5" x14ac:dyDescent="0.25">
      <c r="B5001" t="e">
        <f t="shared" ca="1" si="157"/>
        <v>#NAME?</v>
      </c>
      <c r="C5001">
        <v>4958</v>
      </c>
      <c r="D5001" t="e">
        <f t="shared" ca="1" si="156"/>
        <v>#NAME?</v>
      </c>
      <c r="E5001" s="115" t="e">
        <f t="array" aca="1" ref="E5001" ca="1">IF(OR(C5000=0,AND(B5002=0,C5002=0)),"",IFERROR(INDEX($F$27:$F$36,MATCH(C5001,($F$27:$F$36)*($D$27:$D$36&lt;&gt;0),0)),IF(OR(AND(D5001=0,B5001=0,B5002&lt;&gt;0),AND(D5001*D5000&lt;0,B5001&lt;&gt;0)),IF(D5001=0,C5001,C5001*(1-ABS(D5001)/(ABS(D5001)+ABS(D5000)))+C5000*(1-ABS(D5000)/(ABS(D5001)+ABS(D5000)))),"")))</f>
        <v>#NAME?</v>
      </c>
    </row>
    <row r="5002" spans="2:5" x14ac:dyDescent="0.25">
      <c r="B5002" t="e">
        <f t="shared" ca="1" si="157"/>
        <v>#NAME?</v>
      </c>
      <c r="C5002">
        <v>4959</v>
      </c>
      <c r="D5002" t="e">
        <f t="shared" ca="1" si="156"/>
        <v>#NAME?</v>
      </c>
      <c r="E5002" s="115" t="e">
        <f t="array" aca="1" ref="E5002" ca="1">IF(OR(C5001=0,AND(B5003=0,C5003=0)),"",IFERROR(INDEX($F$27:$F$36,MATCH(C5002,($F$27:$F$36)*($D$27:$D$36&lt;&gt;0),0)),IF(OR(AND(D5002=0,B5002=0,B5003&lt;&gt;0),AND(D5002*D5001&lt;0,B5002&lt;&gt;0)),IF(D5002=0,C5002,C5002*(1-ABS(D5002)/(ABS(D5002)+ABS(D5001)))+C5001*(1-ABS(D5001)/(ABS(D5002)+ABS(D5001)))),"")))</f>
        <v>#NAME?</v>
      </c>
    </row>
    <row r="5003" spans="2:5" x14ac:dyDescent="0.25">
      <c r="B5003" t="e">
        <f t="shared" ca="1" si="157"/>
        <v>#NAME?</v>
      </c>
      <c r="C5003">
        <v>4960</v>
      </c>
      <c r="D5003" t="e">
        <f t="shared" ca="1" si="156"/>
        <v>#NAME?</v>
      </c>
      <c r="E5003" s="115" t="e">
        <f t="array" aca="1" ref="E5003" ca="1">IF(OR(C5002=0,AND(B5004=0,C5004=0)),"",IFERROR(INDEX($F$27:$F$36,MATCH(C5003,($F$27:$F$36)*($D$27:$D$36&lt;&gt;0),0)),IF(OR(AND(D5003=0,B5003=0,B5004&lt;&gt;0),AND(D5003*D5002&lt;0,B5003&lt;&gt;0)),IF(D5003=0,C5003,C5003*(1-ABS(D5003)/(ABS(D5003)+ABS(D5002)))+C5002*(1-ABS(D5002)/(ABS(D5003)+ABS(D5002)))),"")))</f>
        <v>#NAME?</v>
      </c>
    </row>
    <row r="5004" spans="2:5" x14ac:dyDescent="0.25">
      <c r="B5004" t="e">
        <f t="shared" ca="1" si="157"/>
        <v>#NAME?</v>
      </c>
      <c r="C5004">
        <v>4961</v>
      </c>
      <c r="D5004" t="e">
        <f t="shared" ca="1" si="156"/>
        <v>#NAME?</v>
      </c>
      <c r="E5004" s="115" t="e">
        <f t="array" aca="1" ref="E5004" ca="1">IF(OR(C5003=0,AND(B5005=0,C5005=0)),"",IFERROR(INDEX($F$27:$F$36,MATCH(C5004,($F$27:$F$36)*($D$27:$D$36&lt;&gt;0),0)),IF(OR(AND(D5004=0,B5004=0,B5005&lt;&gt;0),AND(D5004*D5003&lt;0,B5004&lt;&gt;0)),IF(D5004=0,C5004,C5004*(1-ABS(D5004)/(ABS(D5004)+ABS(D5003)))+C5003*(1-ABS(D5003)/(ABS(D5004)+ABS(D5003)))),"")))</f>
        <v>#NAME?</v>
      </c>
    </row>
    <row r="5005" spans="2:5" x14ac:dyDescent="0.25">
      <c r="B5005" t="e">
        <f t="shared" ca="1" si="157"/>
        <v>#NAME?</v>
      </c>
      <c r="C5005">
        <v>4962</v>
      </c>
      <c r="D5005" t="e">
        <f t="shared" ca="1" si="156"/>
        <v>#NAME?</v>
      </c>
      <c r="E5005" s="115" t="e">
        <f t="array" aca="1" ref="E5005" ca="1">IF(OR(C5004=0,AND(B5006=0,C5006=0)),"",IFERROR(INDEX($F$27:$F$36,MATCH(C5005,($F$27:$F$36)*($D$27:$D$36&lt;&gt;0),0)),IF(OR(AND(D5005=0,B5005=0,B5006&lt;&gt;0),AND(D5005*D5004&lt;0,B5005&lt;&gt;0)),IF(D5005=0,C5005,C5005*(1-ABS(D5005)/(ABS(D5005)+ABS(D5004)))+C5004*(1-ABS(D5004)/(ABS(D5005)+ABS(D5004)))),"")))</f>
        <v>#NAME?</v>
      </c>
    </row>
    <row r="5006" spans="2:5" x14ac:dyDescent="0.25">
      <c r="B5006" t="e">
        <f t="shared" ca="1" si="157"/>
        <v>#NAME?</v>
      </c>
      <c r="C5006">
        <v>4963</v>
      </c>
      <c r="D5006" t="e">
        <f t="shared" ca="1" si="156"/>
        <v>#NAME?</v>
      </c>
      <c r="E5006" s="115" t="e">
        <f t="array" aca="1" ref="E5006" ca="1">IF(OR(C5005=0,AND(B5007=0,C5007=0)),"",IFERROR(INDEX($F$27:$F$36,MATCH(C5006,($F$27:$F$36)*($D$27:$D$36&lt;&gt;0),0)),IF(OR(AND(D5006=0,B5006=0,B5007&lt;&gt;0),AND(D5006*D5005&lt;0,B5006&lt;&gt;0)),IF(D5006=0,C5006,C5006*(1-ABS(D5006)/(ABS(D5006)+ABS(D5005)))+C5005*(1-ABS(D5005)/(ABS(D5006)+ABS(D5005)))),"")))</f>
        <v>#NAME?</v>
      </c>
    </row>
    <row r="5007" spans="2:5" x14ac:dyDescent="0.25">
      <c r="B5007" t="e">
        <f t="shared" ca="1" si="157"/>
        <v>#NAME?</v>
      </c>
      <c r="C5007">
        <v>4964</v>
      </c>
      <c r="D5007" t="e">
        <f t="shared" ca="1" si="156"/>
        <v>#NAME?</v>
      </c>
      <c r="E5007" s="115" t="e">
        <f t="array" aca="1" ref="E5007" ca="1">IF(OR(C5006=0,AND(B5008=0,C5008=0)),"",IFERROR(INDEX($F$27:$F$36,MATCH(C5007,($F$27:$F$36)*($D$27:$D$36&lt;&gt;0),0)),IF(OR(AND(D5007=0,B5007=0,B5008&lt;&gt;0),AND(D5007*D5006&lt;0,B5007&lt;&gt;0)),IF(D5007=0,C5007,C5007*(1-ABS(D5007)/(ABS(D5007)+ABS(D5006)))+C5006*(1-ABS(D5006)/(ABS(D5007)+ABS(D5006)))),"")))</f>
        <v>#NAME?</v>
      </c>
    </row>
    <row r="5008" spans="2:5" x14ac:dyDescent="0.25">
      <c r="B5008" t="e">
        <f t="shared" ca="1" si="157"/>
        <v>#NAME?</v>
      </c>
      <c r="C5008">
        <v>4965</v>
      </c>
      <c r="D5008" t="e">
        <f t="shared" ca="1" si="156"/>
        <v>#NAME?</v>
      </c>
      <c r="E5008" s="115" t="e">
        <f t="array" aca="1" ref="E5008" ca="1">IF(OR(C5007=0,AND(B5009=0,C5009=0)),"",IFERROR(INDEX($F$27:$F$36,MATCH(C5008,($F$27:$F$36)*($D$27:$D$36&lt;&gt;0),0)),IF(OR(AND(D5008=0,B5008=0,B5009&lt;&gt;0),AND(D5008*D5007&lt;0,B5008&lt;&gt;0)),IF(D5008=0,C5008,C5008*(1-ABS(D5008)/(ABS(D5008)+ABS(D5007)))+C5007*(1-ABS(D5007)/(ABS(D5008)+ABS(D5007)))),"")))</f>
        <v>#NAME?</v>
      </c>
    </row>
    <row r="5009" spans="2:5" x14ac:dyDescent="0.25">
      <c r="B5009" t="e">
        <f t="shared" ca="1" si="157"/>
        <v>#NAME?</v>
      </c>
      <c r="C5009">
        <v>4966</v>
      </c>
      <c r="D5009" t="e">
        <f t="shared" ca="1" si="156"/>
        <v>#NAME?</v>
      </c>
      <c r="E5009" s="115" t="e">
        <f t="array" aca="1" ref="E5009" ca="1">IF(OR(C5008=0,AND(B5010=0,C5010=0)),"",IFERROR(INDEX($F$27:$F$36,MATCH(C5009,($F$27:$F$36)*($D$27:$D$36&lt;&gt;0),0)),IF(OR(AND(D5009=0,B5009=0,B5010&lt;&gt;0),AND(D5009*D5008&lt;0,B5009&lt;&gt;0)),IF(D5009=0,C5009,C5009*(1-ABS(D5009)/(ABS(D5009)+ABS(D5008)))+C5008*(1-ABS(D5008)/(ABS(D5009)+ABS(D5008)))),"")))</f>
        <v>#NAME?</v>
      </c>
    </row>
    <row r="5010" spans="2:5" x14ac:dyDescent="0.25">
      <c r="B5010" t="e">
        <f t="shared" ca="1" si="157"/>
        <v>#NAME?</v>
      </c>
      <c r="C5010">
        <v>4967</v>
      </c>
      <c r="D5010" t="e">
        <f t="shared" ca="1" si="156"/>
        <v>#NAME?</v>
      </c>
      <c r="E5010" s="115" t="e">
        <f t="array" aca="1" ref="E5010" ca="1">IF(OR(C5009=0,AND(B5011=0,C5011=0)),"",IFERROR(INDEX($F$27:$F$36,MATCH(C5010,($F$27:$F$36)*($D$27:$D$36&lt;&gt;0),0)),IF(OR(AND(D5010=0,B5010=0,B5011&lt;&gt;0),AND(D5010*D5009&lt;0,B5010&lt;&gt;0)),IF(D5010=0,C5010,C5010*(1-ABS(D5010)/(ABS(D5010)+ABS(D5009)))+C5009*(1-ABS(D5009)/(ABS(D5010)+ABS(D5009)))),"")))</f>
        <v>#NAME?</v>
      </c>
    </row>
    <row r="5011" spans="2:5" x14ac:dyDescent="0.25">
      <c r="B5011" t="e">
        <f t="shared" ca="1" si="157"/>
        <v>#NAME?</v>
      </c>
      <c r="C5011">
        <v>4968</v>
      </c>
      <c r="D5011" t="e">
        <f t="shared" ca="1" si="156"/>
        <v>#NAME?</v>
      </c>
      <c r="E5011" s="115" t="e">
        <f t="array" aca="1" ref="E5011" ca="1">IF(OR(C5010=0,AND(B5012=0,C5012=0)),"",IFERROR(INDEX($F$27:$F$36,MATCH(C5011,($F$27:$F$36)*($D$27:$D$36&lt;&gt;0),0)),IF(OR(AND(D5011=0,B5011=0,B5012&lt;&gt;0),AND(D5011*D5010&lt;0,B5011&lt;&gt;0)),IF(D5011=0,C5011,C5011*(1-ABS(D5011)/(ABS(D5011)+ABS(D5010)))+C5010*(1-ABS(D5010)/(ABS(D5011)+ABS(D5010)))),"")))</f>
        <v>#NAME?</v>
      </c>
    </row>
    <row r="5012" spans="2:5" x14ac:dyDescent="0.25">
      <c r="B5012" t="e">
        <f t="shared" ca="1" si="157"/>
        <v>#NAME?</v>
      </c>
      <c r="C5012">
        <v>4969</v>
      </c>
      <c r="D5012" t="e">
        <f t="shared" ca="1" si="156"/>
        <v>#NAME?</v>
      </c>
      <c r="E5012" s="115" t="e">
        <f t="array" aca="1" ref="E5012" ca="1">IF(OR(C5011=0,AND(B5013=0,C5013=0)),"",IFERROR(INDEX($F$27:$F$36,MATCH(C5012,($F$27:$F$36)*($D$27:$D$36&lt;&gt;0),0)),IF(OR(AND(D5012=0,B5012=0,B5013&lt;&gt;0),AND(D5012*D5011&lt;0,B5012&lt;&gt;0)),IF(D5012=0,C5012,C5012*(1-ABS(D5012)/(ABS(D5012)+ABS(D5011)))+C5011*(1-ABS(D5011)/(ABS(D5012)+ABS(D5011)))),"")))</f>
        <v>#NAME?</v>
      </c>
    </row>
    <row r="5013" spans="2:5" x14ac:dyDescent="0.25">
      <c r="B5013" t="e">
        <f t="shared" ca="1" si="157"/>
        <v>#NAME?</v>
      </c>
      <c r="C5013">
        <v>4970</v>
      </c>
      <c r="D5013" t="e">
        <f t="shared" ca="1" si="156"/>
        <v>#NAME?</v>
      </c>
      <c r="E5013" s="115" t="e">
        <f t="array" aca="1" ref="E5013" ca="1">IF(OR(C5012=0,AND(B5014=0,C5014=0)),"",IFERROR(INDEX($F$27:$F$36,MATCH(C5013,($F$27:$F$36)*($D$27:$D$36&lt;&gt;0),0)),IF(OR(AND(D5013=0,B5013=0,B5014&lt;&gt;0),AND(D5013*D5012&lt;0,B5013&lt;&gt;0)),IF(D5013=0,C5013,C5013*(1-ABS(D5013)/(ABS(D5013)+ABS(D5012)))+C5012*(1-ABS(D5012)/(ABS(D5013)+ABS(D5012)))),"")))</f>
        <v>#NAME?</v>
      </c>
    </row>
    <row r="5014" spans="2:5" x14ac:dyDescent="0.25">
      <c r="B5014" t="e">
        <f t="shared" ca="1" si="157"/>
        <v>#NAME?</v>
      </c>
      <c r="C5014">
        <v>4971</v>
      </c>
      <c r="D5014" t="e">
        <f t="shared" ca="1" si="156"/>
        <v>#NAME?</v>
      </c>
      <c r="E5014" s="115" t="e">
        <f t="array" aca="1" ref="E5014" ca="1">IF(OR(C5013=0,AND(B5015=0,C5015=0)),"",IFERROR(INDEX($F$27:$F$36,MATCH(C5014,($F$27:$F$36)*($D$27:$D$36&lt;&gt;0),0)),IF(OR(AND(D5014=0,B5014=0,B5015&lt;&gt;0),AND(D5014*D5013&lt;0,B5014&lt;&gt;0)),IF(D5014=0,C5014,C5014*(1-ABS(D5014)/(ABS(D5014)+ABS(D5013)))+C5013*(1-ABS(D5013)/(ABS(D5014)+ABS(D5013)))),"")))</f>
        <v>#NAME?</v>
      </c>
    </row>
    <row r="5015" spans="2:5" x14ac:dyDescent="0.25">
      <c r="B5015" t="e">
        <f t="shared" ca="1" si="157"/>
        <v>#NAME?</v>
      </c>
      <c r="C5015">
        <v>4972</v>
      </c>
      <c r="D5015" t="e">
        <f t="shared" ca="1" si="156"/>
        <v>#NAME?</v>
      </c>
      <c r="E5015" s="115" t="e">
        <f t="array" aca="1" ref="E5015" ca="1">IF(OR(C5014=0,AND(B5016=0,C5016=0)),"",IFERROR(INDEX($F$27:$F$36,MATCH(C5015,($F$27:$F$36)*($D$27:$D$36&lt;&gt;0),0)),IF(OR(AND(D5015=0,B5015=0,B5016&lt;&gt;0),AND(D5015*D5014&lt;0,B5015&lt;&gt;0)),IF(D5015=0,C5015,C5015*(1-ABS(D5015)/(ABS(D5015)+ABS(D5014)))+C5014*(1-ABS(D5014)/(ABS(D5015)+ABS(D5014)))),"")))</f>
        <v>#NAME?</v>
      </c>
    </row>
    <row r="5016" spans="2:5" x14ac:dyDescent="0.25">
      <c r="B5016" t="e">
        <f t="shared" ca="1" si="157"/>
        <v>#NAME?</v>
      </c>
      <c r="C5016">
        <v>4973</v>
      </c>
      <c r="D5016" t="e">
        <f t="shared" ca="1" si="156"/>
        <v>#NAME?</v>
      </c>
      <c r="E5016" s="115" t="e">
        <f t="array" aca="1" ref="E5016" ca="1">IF(OR(C5015=0,AND(B5017=0,C5017=0)),"",IFERROR(INDEX($F$27:$F$36,MATCH(C5016,($F$27:$F$36)*($D$27:$D$36&lt;&gt;0),0)),IF(OR(AND(D5016=0,B5016=0,B5017&lt;&gt;0),AND(D5016*D5015&lt;0,B5016&lt;&gt;0)),IF(D5016=0,C5016,C5016*(1-ABS(D5016)/(ABS(D5016)+ABS(D5015)))+C5015*(1-ABS(D5015)/(ABS(D5016)+ABS(D5015)))),"")))</f>
        <v>#NAME?</v>
      </c>
    </row>
    <row r="5017" spans="2:5" x14ac:dyDescent="0.25">
      <c r="B5017" t="e">
        <f t="shared" ca="1" si="157"/>
        <v>#NAME?</v>
      </c>
      <c r="C5017">
        <v>4974</v>
      </c>
      <c r="D5017" t="e">
        <f t="shared" ca="1" si="156"/>
        <v>#NAME?</v>
      </c>
      <c r="E5017" s="115" t="e">
        <f t="array" aca="1" ref="E5017" ca="1">IF(OR(C5016=0,AND(B5018=0,C5018=0)),"",IFERROR(INDEX($F$27:$F$36,MATCH(C5017,($F$27:$F$36)*($D$27:$D$36&lt;&gt;0),0)),IF(OR(AND(D5017=0,B5017=0,B5018&lt;&gt;0),AND(D5017*D5016&lt;0,B5017&lt;&gt;0)),IF(D5017=0,C5017,C5017*(1-ABS(D5017)/(ABS(D5017)+ABS(D5016)))+C5016*(1-ABS(D5016)/(ABS(D5017)+ABS(D5016)))),"")))</f>
        <v>#NAME?</v>
      </c>
    </row>
    <row r="5018" spans="2:5" x14ac:dyDescent="0.25">
      <c r="B5018" t="e">
        <f t="shared" ca="1" si="157"/>
        <v>#NAME?</v>
      </c>
      <c r="C5018">
        <v>4975</v>
      </c>
      <c r="D5018" t="e">
        <f t="shared" ca="1" si="156"/>
        <v>#NAME?</v>
      </c>
      <c r="E5018" s="115" t="e">
        <f t="array" aca="1" ref="E5018" ca="1">IF(OR(C5017=0,AND(B5019=0,C5019=0)),"",IFERROR(INDEX($F$27:$F$36,MATCH(C5018,($F$27:$F$36)*($D$27:$D$36&lt;&gt;0),0)),IF(OR(AND(D5018=0,B5018=0,B5019&lt;&gt;0),AND(D5018*D5017&lt;0,B5018&lt;&gt;0)),IF(D5018=0,C5018,C5018*(1-ABS(D5018)/(ABS(D5018)+ABS(D5017)))+C5017*(1-ABS(D5017)/(ABS(D5018)+ABS(D5017)))),"")))</f>
        <v>#NAME?</v>
      </c>
    </row>
    <row r="5019" spans="2:5" x14ac:dyDescent="0.25">
      <c r="B5019" t="e">
        <f t="shared" ca="1" si="157"/>
        <v>#NAME?</v>
      </c>
      <c r="C5019">
        <v>4976</v>
      </c>
      <c r="D5019" t="e">
        <f t="shared" ca="1" si="156"/>
        <v>#NAME?</v>
      </c>
      <c r="E5019" s="115" t="e">
        <f t="array" aca="1" ref="E5019" ca="1">IF(OR(C5018=0,AND(B5020=0,C5020=0)),"",IFERROR(INDEX($F$27:$F$36,MATCH(C5019,($F$27:$F$36)*($D$27:$D$36&lt;&gt;0),0)),IF(OR(AND(D5019=0,B5019=0,B5020&lt;&gt;0),AND(D5019*D5018&lt;0,B5019&lt;&gt;0)),IF(D5019=0,C5019,C5019*(1-ABS(D5019)/(ABS(D5019)+ABS(D5018)))+C5018*(1-ABS(D5018)/(ABS(D5019)+ABS(D5018)))),"")))</f>
        <v>#NAME?</v>
      </c>
    </row>
    <row r="5020" spans="2:5" x14ac:dyDescent="0.25">
      <c r="B5020" t="e">
        <f t="shared" ca="1" si="157"/>
        <v>#NAME?</v>
      </c>
      <c r="C5020">
        <v>4977</v>
      </c>
      <c r="D5020" t="e">
        <f t="shared" ca="1" si="156"/>
        <v>#NAME?</v>
      </c>
      <c r="E5020" s="115" t="e">
        <f t="array" aca="1" ref="E5020" ca="1">IF(OR(C5019=0,AND(B5021=0,C5021=0)),"",IFERROR(INDEX($F$27:$F$36,MATCH(C5020,($F$27:$F$36)*($D$27:$D$36&lt;&gt;0),0)),IF(OR(AND(D5020=0,B5020=0,B5021&lt;&gt;0),AND(D5020*D5019&lt;0,B5020&lt;&gt;0)),IF(D5020=0,C5020,C5020*(1-ABS(D5020)/(ABS(D5020)+ABS(D5019)))+C5019*(1-ABS(D5019)/(ABS(D5020)+ABS(D5019)))),"")))</f>
        <v>#NAME?</v>
      </c>
    </row>
    <row r="5021" spans="2:5" x14ac:dyDescent="0.25">
      <c r="B5021" t="e">
        <f t="shared" ca="1" si="157"/>
        <v>#NAME?</v>
      </c>
      <c r="C5021">
        <v>4978</v>
      </c>
      <c r="D5021" t="e">
        <f t="shared" ca="1" si="156"/>
        <v>#NAME?</v>
      </c>
      <c r="E5021" s="115" t="e">
        <f t="array" aca="1" ref="E5021" ca="1">IF(OR(C5020=0,AND(B5022=0,C5022=0)),"",IFERROR(INDEX($F$27:$F$36,MATCH(C5021,($F$27:$F$36)*($D$27:$D$36&lt;&gt;0),0)),IF(OR(AND(D5021=0,B5021=0,B5022&lt;&gt;0),AND(D5021*D5020&lt;0,B5021&lt;&gt;0)),IF(D5021=0,C5021,C5021*(1-ABS(D5021)/(ABS(D5021)+ABS(D5020)))+C5020*(1-ABS(D5020)/(ABS(D5021)+ABS(D5020)))),"")))</f>
        <v>#NAME?</v>
      </c>
    </row>
    <row r="5022" spans="2:5" x14ac:dyDescent="0.25">
      <c r="B5022" t="e">
        <f t="shared" ca="1" si="157"/>
        <v>#NAME?</v>
      </c>
      <c r="C5022">
        <v>4979</v>
      </c>
      <c r="D5022" t="e">
        <f t="shared" ca="1" si="156"/>
        <v>#NAME?</v>
      </c>
      <c r="E5022" s="115" t="e">
        <f t="array" aca="1" ref="E5022" ca="1">IF(OR(C5021=0,AND(B5023=0,C5023=0)),"",IFERROR(INDEX($F$27:$F$36,MATCH(C5022,($F$27:$F$36)*($D$27:$D$36&lt;&gt;0),0)),IF(OR(AND(D5022=0,B5022=0,B5023&lt;&gt;0),AND(D5022*D5021&lt;0,B5022&lt;&gt;0)),IF(D5022=0,C5022,C5022*(1-ABS(D5022)/(ABS(D5022)+ABS(D5021)))+C5021*(1-ABS(D5021)/(ABS(D5022)+ABS(D5021)))),"")))</f>
        <v>#NAME?</v>
      </c>
    </row>
    <row r="5023" spans="2:5" x14ac:dyDescent="0.25">
      <c r="B5023" t="e">
        <f t="shared" ca="1" si="157"/>
        <v>#NAME?</v>
      </c>
      <c r="C5023">
        <v>4980</v>
      </c>
      <c r="D5023" t="e">
        <f t="shared" ca="1" si="156"/>
        <v>#NAME?</v>
      </c>
      <c r="E5023" s="115" t="e">
        <f t="array" aca="1" ref="E5023" ca="1">IF(OR(C5022=0,AND(B5024=0,C5024=0)),"",IFERROR(INDEX($F$27:$F$36,MATCH(C5023,($F$27:$F$36)*($D$27:$D$36&lt;&gt;0),0)),IF(OR(AND(D5023=0,B5023=0,B5024&lt;&gt;0),AND(D5023*D5022&lt;0,B5023&lt;&gt;0)),IF(D5023=0,C5023,C5023*(1-ABS(D5023)/(ABS(D5023)+ABS(D5022)))+C5022*(1-ABS(D5022)/(ABS(D5023)+ABS(D5022)))),"")))</f>
        <v>#NAME?</v>
      </c>
    </row>
    <row r="5024" spans="2:5" x14ac:dyDescent="0.25">
      <c r="B5024" t="e">
        <f t="shared" ca="1" si="157"/>
        <v>#NAME?</v>
      </c>
      <c r="C5024">
        <v>4981</v>
      </c>
      <c r="D5024" t="e">
        <f t="shared" ca="1" si="156"/>
        <v>#NAME?</v>
      </c>
      <c r="E5024" s="115" t="e">
        <f t="array" aca="1" ref="E5024" ca="1">IF(OR(C5023=0,AND(B5025=0,C5025=0)),"",IFERROR(INDEX($F$27:$F$36,MATCH(C5024,($F$27:$F$36)*($D$27:$D$36&lt;&gt;0),0)),IF(OR(AND(D5024=0,B5024=0,B5025&lt;&gt;0),AND(D5024*D5023&lt;0,B5024&lt;&gt;0)),IF(D5024=0,C5024,C5024*(1-ABS(D5024)/(ABS(D5024)+ABS(D5023)))+C5023*(1-ABS(D5023)/(ABS(D5024)+ABS(D5023)))),"")))</f>
        <v>#NAME?</v>
      </c>
    </row>
    <row r="5025" spans="2:5" x14ac:dyDescent="0.25">
      <c r="B5025" t="e">
        <f t="shared" ca="1" si="157"/>
        <v>#NAME?</v>
      </c>
      <c r="C5025">
        <v>4982</v>
      </c>
      <c r="D5025" t="e">
        <f t="shared" ca="1" si="156"/>
        <v>#NAME?</v>
      </c>
      <c r="E5025" s="115" t="e">
        <f t="array" aca="1" ref="E5025" ca="1">IF(OR(C5024=0,AND(B5026=0,C5026=0)),"",IFERROR(INDEX($F$27:$F$36,MATCH(C5025,($F$27:$F$36)*($D$27:$D$36&lt;&gt;0),0)),IF(OR(AND(D5025=0,B5025=0,B5026&lt;&gt;0),AND(D5025*D5024&lt;0,B5025&lt;&gt;0)),IF(D5025=0,C5025,C5025*(1-ABS(D5025)/(ABS(D5025)+ABS(D5024)))+C5024*(1-ABS(D5024)/(ABS(D5025)+ABS(D5024)))),"")))</f>
        <v>#NAME?</v>
      </c>
    </row>
    <row r="5026" spans="2:5" x14ac:dyDescent="0.25">
      <c r="B5026" t="e">
        <f t="shared" ca="1" si="157"/>
        <v>#NAME?</v>
      </c>
      <c r="C5026">
        <v>4983</v>
      </c>
      <c r="D5026" t="e">
        <f t="shared" ca="1" si="156"/>
        <v>#NAME?</v>
      </c>
      <c r="E5026" s="115" t="e">
        <f t="array" aca="1" ref="E5026" ca="1">IF(OR(C5025=0,AND(B5027=0,C5027=0)),"",IFERROR(INDEX($F$27:$F$36,MATCH(C5026,($F$27:$F$36)*($D$27:$D$36&lt;&gt;0),0)),IF(OR(AND(D5026=0,B5026=0,B5027&lt;&gt;0),AND(D5026*D5025&lt;0,B5026&lt;&gt;0)),IF(D5026=0,C5026,C5026*(1-ABS(D5026)/(ABS(D5026)+ABS(D5025)))+C5025*(1-ABS(D5025)/(ABS(D5026)+ABS(D5025)))),"")))</f>
        <v>#NAME?</v>
      </c>
    </row>
    <row r="5027" spans="2:5" x14ac:dyDescent="0.25">
      <c r="B5027" t="e">
        <f t="shared" ca="1" si="157"/>
        <v>#NAME?</v>
      </c>
      <c r="C5027">
        <v>4984</v>
      </c>
      <c r="D5027" t="e">
        <f t="shared" ca="1" si="156"/>
        <v>#NAME?</v>
      </c>
      <c r="E5027" s="115" t="e">
        <f t="array" aca="1" ref="E5027" ca="1">IF(OR(C5026=0,AND(B5028=0,C5028=0)),"",IFERROR(INDEX($F$27:$F$36,MATCH(C5027,($F$27:$F$36)*($D$27:$D$36&lt;&gt;0),0)),IF(OR(AND(D5027=0,B5027=0,B5028&lt;&gt;0),AND(D5027*D5026&lt;0,B5027&lt;&gt;0)),IF(D5027=0,C5027,C5027*(1-ABS(D5027)/(ABS(D5027)+ABS(D5026)))+C5026*(1-ABS(D5026)/(ABS(D5027)+ABS(D5026)))),"")))</f>
        <v>#NAME?</v>
      </c>
    </row>
    <row r="5028" spans="2:5" x14ac:dyDescent="0.25">
      <c r="B5028" t="e">
        <f t="shared" ca="1" si="157"/>
        <v>#NAME?</v>
      </c>
      <c r="C5028">
        <v>4985</v>
      </c>
      <c r="D5028" t="e">
        <f t="shared" ca="1" si="156"/>
        <v>#NAME?</v>
      </c>
      <c r="E5028" s="115" t="e">
        <f t="array" aca="1" ref="E5028" ca="1">IF(OR(C5027=0,AND(B5029=0,C5029=0)),"",IFERROR(INDEX($F$27:$F$36,MATCH(C5028,($F$27:$F$36)*($D$27:$D$36&lt;&gt;0),0)),IF(OR(AND(D5028=0,B5028=0,B5029&lt;&gt;0),AND(D5028*D5027&lt;0,B5028&lt;&gt;0)),IF(D5028=0,C5028,C5028*(1-ABS(D5028)/(ABS(D5028)+ABS(D5027)))+C5027*(1-ABS(D5027)/(ABS(D5028)+ABS(D5027)))),"")))</f>
        <v>#NAME?</v>
      </c>
    </row>
    <row r="5029" spans="2:5" x14ac:dyDescent="0.25">
      <c r="B5029" t="e">
        <f t="shared" ca="1" si="157"/>
        <v>#NAME?</v>
      </c>
      <c r="C5029">
        <v>4986</v>
      </c>
      <c r="D5029" t="e">
        <f t="shared" ca="1" si="156"/>
        <v>#NAME?</v>
      </c>
      <c r="E5029" s="115" t="e">
        <f t="array" aca="1" ref="E5029" ca="1">IF(OR(C5028=0,AND(B5030=0,C5030=0)),"",IFERROR(INDEX($F$27:$F$36,MATCH(C5029,($F$27:$F$36)*($D$27:$D$36&lt;&gt;0),0)),IF(OR(AND(D5029=0,B5029=0,B5030&lt;&gt;0),AND(D5029*D5028&lt;0,B5029&lt;&gt;0)),IF(D5029=0,C5029,C5029*(1-ABS(D5029)/(ABS(D5029)+ABS(D5028)))+C5028*(1-ABS(D5028)/(ABS(D5029)+ABS(D5028)))),"")))</f>
        <v>#NAME?</v>
      </c>
    </row>
    <row r="5030" spans="2:5" x14ac:dyDescent="0.25">
      <c r="B5030" t="e">
        <f t="shared" ca="1" si="157"/>
        <v>#NAME?</v>
      </c>
      <c r="C5030">
        <v>4987</v>
      </c>
      <c r="D5030" t="e">
        <f t="shared" ca="1" si="156"/>
        <v>#NAME?</v>
      </c>
      <c r="E5030" s="115" t="e">
        <f t="array" aca="1" ref="E5030" ca="1">IF(OR(C5029=0,AND(B5031=0,C5031=0)),"",IFERROR(INDEX($F$27:$F$36,MATCH(C5030,($F$27:$F$36)*($D$27:$D$36&lt;&gt;0),0)),IF(OR(AND(D5030=0,B5030=0,B5031&lt;&gt;0),AND(D5030*D5029&lt;0,B5030&lt;&gt;0)),IF(D5030=0,C5030,C5030*(1-ABS(D5030)/(ABS(D5030)+ABS(D5029)))+C5029*(1-ABS(D5029)/(ABS(D5030)+ABS(D5029)))),"")))</f>
        <v>#NAME?</v>
      </c>
    </row>
    <row r="5031" spans="2:5" x14ac:dyDescent="0.25">
      <c r="B5031" t="e">
        <f t="shared" ca="1" si="157"/>
        <v>#NAME?</v>
      </c>
      <c r="C5031">
        <v>4988</v>
      </c>
      <c r="D5031" t="e">
        <f t="shared" ca="1" si="156"/>
        <v>#NAME?</v>
      </c>
      <c r="E5031" s="115" t="e">
        <f t="array" aca="1" ref="E5031" ca="1">IF(OR(C5030=0,AND(B5032=0,C5032=0)),"",IFERROR(INDEX($F$27:$F$36,MATCH(C5031,($F$27:$F$36)*($D$27:$D$36&lt;&gt;0),0)),IF(OR(AND(D5031=0,B5031=0,B5032&lt;&gt;0),AND(D5031*D5030&lt;0,B5031&lt;&gt;0)),IF(D5031=0,C5031,C5031*(1-ABS(D5031)/(ABS(D5031)+ABS(D5030)))+C5030*(1-ABS(D5030)/(ABS(D5031)+ABS(D5030)))),"")))</f>
        <v>#NAME?</v>
      </c>
    </row>
    <row r="5032" spans="2:5" x14ac:dyDescent="0.25">
      <c r="B5032" t="e">
        <f t="shared" ca="1" si="157"/>
        <v>#NAME?</v>
      </c>
      <c r="C5032">
        <v>4989</v>
      </c>
      <c r="D5032" t="e">
        <f t="shared" ca="1" si="156"/>
        <v>#NAME?</v>
      </c>
      <c r="E5032" s="115" t="e">
        <f t="array" aca="1" ref="E5032" ca="1">IF(OR(C5031=0,AND(B5033=0,C5033=0)),"",IFERROR(INDEX($F$27:$F$36,MATCH(C5032,($F$27:$F$36)*($D$27:$D$36&lt;&gt;0),0)),IF(OR(AND(D5032=0,B5032=0,B5033&lt;&gt;0),AND(D5032*D5031&lt;0,B5032&lt;&gt;0)),IF(D5032=0,C5032,C5032*(1-ABS(D5032)/(ABS(D5032)+ABS(D5031)))+C5031*(1-ABS(D5031)/(ABS(D5032)+ABS(D5031)))),"")))</f>
        <v>#NAME?</v>
      </c>
    </row>
    <row r="5033" spans="2:5" x14ac:dyDescent="0.25">
      <c r="B5033" t="e">
        <f t="shared" ca="1" si="157"/>
        <v>#NAME?</v>
      </c>
      <c r="C5033">
        <v>4990</v>
      </c>
      <c r="D5033" t="e">
        <f t="shared" ca="1" si="156"/>
        <v>#NAME?</v>
      </c>
      <c r="E5033" s="115" t="e">
        <f t="array" aca="1" ref="E5033" ca="1">IF(OR(C5032=0,AND(B5034=0,C5034=0)),"",IFERROR(INDEX($F$27:$F$36,MATCH(C5033,($F$27:$F$36)*($D$27:$D$36&lt;&gt;0),0)),IF(OR(AND(D5033=0,B5033=0,B5034&lt;&gt;0),AND(D5033*D5032&lt;0,B5033&lt;&gt;0)),IF(D5033=0,C5033,C5033*(1-ABS(D5033)/(ABS(D5033)+ABS(D5032)))+C5032*(1-ABS(D5032)/(ABS(D5033)+ABS(D5032)))),"")))</f>
        <v>#NAME?</v>
      </c>
    </row>
    <row r="5034" spans="2:5" x14ac:dyDescent="0.25">
      <c r="B5034" t="e">
        <f t="shared" ca="1" si="157"/>
        <v>#NAME?</v>
      </c>
      <c r="C5034">
        <v>4991</v>
      </c>
      <c r="D5034" t="e">
        <f t="shared" ca="1" si="156"/>
        <v>#NAME?</v>
      </c>
      <c r="E5034" s="115" t="e">
        <f t="array" aca="1" ref="E5034" ca="1">IF(OR(C5033=0,AND(B5035=0,C5035=0)),"",IFERROR(INDEX($F$27:$F$36,MATCH(C5034,($F$27:$F$36)*($D$27:$D$36&lt;&gt;0),0)),IF(OR(AND(D5034=0,B5034=0,B5035&lt;&gt;0),AND(D5034*D5033&lt;0,B5034&lt;&gt;0)),IF(D5034=0,C5034,C5034*(1-ABS(D5034)/(ABS(D5034)+ABS(D5033)))+C5033*(1-ABS(D5033)/(ABS(D5034)+ABS(D5033)))),"")))</f>
        <v>#NAME?</v>
      </c>
    </row>
    <row r="5035" spans="2:5" x14ac:dyDescent="0.25">
      <c r="B5035" t="e">
        <f t="shared" ca="1" si="157"/>
        <v>#NAME?</v>
      </c>
      <c r="C5035">
        <v>4992</v>
      </c>
      <c r="D5035" t="e">
        <f t="shared" ref="D5035:D5043" ca="1" si="158">SUMPRODUCT(--($J$27:$J$37&gt;0),--($C5035-$F$27:$F$37&gt;0),($D$27:$D$37),($C5035-$F$27:$F$37))+SUMPRODUCT(--($J$27:$J$37&lt;0),--($F$27:$F$37-$C5035&gt;0),($D$27:$D$37),($F$27:$F$37-$C5035))-SUMPRODUCT($D$27:$D$37,$E$27:$E$37)</f>
        <v>#NAME?</v>
      </c>
      <c r="E5035" s="115" t="e">
        <f t="array" aca="1" ref="E5035" ca="1">IF(OR(C5034=0,AND(B5036=0,C5036=0)),"",IFERROR(INDEX($F$27:$F$36,MATCH(C5035,($F$27:$F$36)*($D$27:$D$36&lt;&gt;0),0)),IF(OR(AND(D5035=0,B5035=0,B5036&lt;&gt;0),AND(D5035*D5034&lt;0,B5035&lt;&gt;0)),IF(D5035=0,C5035,C5035*(1-ABS(D5035)/(ABS(D5035)+ABS(D5034)))+C5034*(1-ABS(D5034)/(ABS(D5035)+ABS(D5034)))),"")))</f>
        <v>#NAME?</v>
      </c>
    </row>
    <row r="5036" spans="2:5" x14ac:dyDescent="0.25">
      <c r="B5036" t="e">
        <f t="shared" ref="B5036:B5043" ca="1" si="159">ROUND((D5036-D5035)/(C5036-C5035),12)</f>
        <v>#NAME?</v>
      </c>
      <c r="C5036">
        <v>4993</v>
      </c>
      <c r="D5036" t="e">
        <f t="shared" ca="1" si="158"/>
        <v>#NAME?</v>
      </c>
      <c r="E5036" s="115" t="e">
        <f t="array" aca="1" ref="E5036" ca="1">IF(OR(C5035=0,AND(B5037=0,C5037=0)),"",IFERROR(INDEX($F$27:$F$36,MATCH(C5036,($F$27:$F$36)*($D$27:$D$36&lt;&gt;0),0)),IF(OR(AND(D5036=0,B5036=0,B5037&lt;&gt;0),AND(D5036*D5035&lt;0,B5036&lt;&gt;0)),IF(D5036=0,C5036,C5036*(1-ABS(D5036)/(ABS(D5036)+ABS(D5035)))+C5035*(1-ABS(D5035)/(ABS(D5036)+ABS(D5035)))),"")))</f>
        <v>#NAME?</v>
      </c>
    </row>
    <row r="5037" spans="2:5" x14ac:dyDescent="0.25">
      <c r="B5037" t="e">
        <f t="shared" ca="1" si="159"/>
        <v>#NAME?</v>
      </c>
      <c r="C5037">
        <v>4994</v>
      </c>
      <c r="D5037" t="e">
        <f t="shared" ca="1" si="158"/>
        <v>#NAME?</v>
      </c>
      <c r="E5037" s="115" t="e">
        <f t="array" aca="1" ref="E5037" ca="1">IF(OR(C5036=0,AND(B5038=0,C5038=0)),"",IFERROR(INDEX($F$27:$F$36,MATCH(C5037,($F$27:$F$36)*($D$27:$D$36&lt;&gt;0),0)),IF(OR(AND(D5037=0,B5037=0,B5038&lt;&gt;0),AND(D5037*D5036&lt;0,B5037&lt;&gt;0)),IF(D5037=0,C5037,C5037*(1-ABS(D5037)/(ABS(D5037)+ABS(D5036)))+C5036*(1-ABS(D5036)/(ABS(D5037)+ABS(D5036)))),"")))</f>
        <v>#NAME?</v>
      </c>
    </row>
    <row r="5038" spans="2:5" x14ac:dyDescent="0.25">
      <c r="B5038" t="e">
        <f t="shared" ca="1" si="159"/>
        <v>#NAME?</v>
      </c>
      <c r="C5038">
        <v>4995</v>
      </c>
      <c r="D5038" t="e">
        <f t="shared" ca="1" si="158"/>
        <v>#NAME?</v>
      </c>
      <c r="E5038" s="115" t="e">
        <f t="array" aca="1" ref="E5038" ca="1">IF(OR(C5037=0,AND(B5039=0,C5039=0)),"",IFERROR(INDEX($F$27:$F$36,MATCH(C5038,($F$27:$F$36)*($D$27:$D$36&lt;&gt;0),0)),IF(OR(AND(D5038=0,B5038=0,B5039&lt;&gt;0),AND(D5038*D5037&lt;0,B5038&lt;&gt;0)),IF(D5038=0,C5038,C5038*(1-ABS(D5038)/(ABS(D5038)+ABS(D5037)))+C5037*(1-ABS(D5037)/(ABS(D5038)+ABS(D5037)))),"")))</f>
        <v>#NAME?</v>
      </c>
    </row>
    <row r="5039" spans="2:5" x14ac:dyDescent="0.25">
      <c r="B5039" t="e">
        <f t="shared" ca="1" si="159"/>
        <v>#NAME?</v>
      </c>
      <c r="C5039">
        <v>4996</v>
      </c>
      <c r="D5039" t="e">
        <f t="shared" ca="1" si="158"/>
        <v>#NAME?</v>
      </c>
      <c r="E5039" s="115" t="e">
        <f t="array" aca="1" ref="E5039" ca="1">IF(OR(C5038=0,AND(B5040=0,C5040=0)),"",IFERROR(INDEX($F$27:$F$36,MATCH(C5039,($F$27:$F$36)*($D$27:$D$36&lt;&gt;0),0)),IF(OR(AND(D5039=0,B5039=0,B5040&lt;&gt;0),AND(D5039*D5038&lt;0,B5039&lt;&gt;0)),IF(D5039=0,C5039,C5039*(1-ABS(D5039)/(ABS(D5039)+ABS(D5038)))+C5038*(1-ABS(D5038)/(ABS(D5039)+ABS(D5038)))),"")))</f>
        <v>#NAME?</v>
      </c>
    </row>
    <row r="5040" spans="2:5" x14ac:dyDescent="0.25">
      <c r="B5040" t="e">
        <f t="shared" ca="1" si="159"/>
        <v>#NAME?</v>
      </c>
      <c r="C5040">
        <v>4997</v>
      </c>
      <c r="D5040" t="e">
        <f t="shared" ca="1" si="158"/>
        <v>#NAME?</v>
      </c>
      <c r="E5040" s="115" t="e">
        <f t="array" aca="1" ref="E5040" ca="1">IF(OR(C5039=0,AND(B5041=0,C5041=0)),"",IFERROR(INDEX($F$27:$F$36,MATCH(C5040,($F$27:$F$36)*($D$27:$D$36&lt;&gt;0),0)),IF(OR(AND(D5040=0,B5040=0,B5041&lt;&gt;0),AND(D5040*D5039&lt;0,B5040&lt;&gt;0)),IF(D5040=0,C5040,C5040*(1-ABS(D5040)/(ABS(D5040)+ABS(D5039)))+C5039*(1-ABS(D5039)/(ABS(D5040)+ABS(D5039)))),"")))</f>
        <v>#NAME?</v>
      </c>
    </row>
    <row r="5041" spans="2:5" x14ac:dyDescent="0.25">
      <c r="B5041" t="e">
        <f t="shared" ca="1" si="159"/>
        <v>#NAME?</v>
      </c>
      <c r="C5041">
        <v>4998</v>
      </c>
      <c r="D5041" t="e">
        <f t="shared" ca="1" si="158"/>
        <v>#NAME?</v>
      </c>
      <c r="E5041" s="115" t="e">
        <f t="array" aca="1" ref="E5041" ca="1">IF(OR(C5040=0,AND(B5042=0,C5042=0)),"",IFERROR(INDEX($F$27:$F$36,MATCH(C5041,($F$27:$F$36)*($D$27:$D$36&lt;&gt;0),0)),IF(OR(AND(D5041=0,B5041=0,B5042&lt;&gt;0),AND(D5041*D5040&lt;0,B5041&lt;&gt;0)),IF(D5041=0,C5041,C5041*(1-ABS(D5041)/(ABS(D5041)+ABS(D5040)))+C5040*(1-ABS(D5040)/(ABS(D5041)+ABS(D5040)))),"")))</f>
        <v>#NAME?</v>
      </c>
    </row>
    <row r="5042" spans="2:5" x14ac:dyDescent="0.25">
      <c r="B5042" t="e">
        <f t="shared" ca="1" si="159"/>
        <v>#NAME?</v>
      </c>
      <c r="C5042">
        <v>4999</v>
      </c>
      <c r="D5042" t="e">
        <f t="shared" ca="1" si="158"/>
        <v>#NAME?</v>
      </c>
      <c r="E5042" s="115" t="e">
        <f t="array" aca="1" ref="E5042" ca="1">IF(OR(C5041=0,AND(B5043=0,C5043=0)),"",IFERROR(INDEX($F$27:$F$36,MATCH(C5042,($F$27:$F$36)*($D$27:$D$36&lt;&gt;0),0)),IF(OR(AND(D5042=0,B5042=0,B5043&lt;&gt;0),AND(D5042*D5041&lt;0,B5042&lt;&gt;0)),IF(D5042=0,C5042,C5042*(1-ABS(D5042)/(ABS(D5042)+ABS(D5041)))+C5041*(1-ABS(D5041)/(ABS(D5042)+ABS(D5041)))),"")))</f>
        <v>#NAME?</v>
      </c>
    </row>
    <row r="5043" spans="2:5" x14ac:dyDescent="0.25">
      <c r="B5043" t="e">
        <f t="shared" ca="1" si="159"/>
        <v>#NAME?</v>
      </c>
      <c r="C5043">
        <v>5000</v>
      </c>
      <c r="D5043" t="e">
        <f t="shared" ca="1" si="158"/>
        <v>#NAME?</v>
      </c>
      <c r="E5043" s="115" t="str">
        <f t="array" ref="E5043">IF(OR(C5042=0,AND(B5044=0,C5044=0)),"",IFERROR(INDEX($F$27:$F$36,MATCH(C5043,($F$27:$F$36)*($D$27:$D$36&lt;&gt;0),0)),IF(OR(AND(D5043=0,B5043=0,B5044&lt;&gt;0),AND(D5043*D5042&lt;0,B5043&lt;&gt;0)),IF(D5043=0,C5043,C5043*(1-ABS(D5043)/(ABS(D5043)+ABS(D5042)))+C5042*(1-ABS(D5042)/(ABS(D5043)+ABS(D5042)))),"")))</f>
        <v/>
      </c>
    </row>
  </sheetData>
  <conditionalFormatting sqref="G16">
    <cfRule type="cellIs" dxfId="2" priority="1" stopIfTrue="1" operator="greaterThan">
      <formula>#REF!</formula>
    </cfRule>
    <cfRule type="cellIs" dxfId="1" priority="2" stopIfTrue="1" operator="lessThan">
      <formula>#REF!</formula>
    </cfRule>
    <cfRule type="cellIs" dxfId="0" priority="3" stopIfTrue="1" operator="equal">
      <formula>#REF!</formula>
    </cfRule>
  </conditionalFormatting>
  <pageMargins left="0.7" right="0.7" top="0.75" bottom="0.75" header="0.3" footer="0.3"/>
  <pageSetup paperSize="9" scale="1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7"/>
  <sheetViews>
    <sheetView showGridLines="0" workbookViewId="0"/>
  </sheetViews>
  <sheetFormatPr baseColWidth="10" defaultRowHeight="15" x14ac:dyDescent="0.25"/>
  <cols>
    <col min="1" max="1" width="12.28515625" customWidth="1"/>
    <col min="2" max="2" width="14.5703125" customWidth="1"/>
    <col min="4" max="4" width="11.85546875" customWidth="1"/>
    <col min="5" max="5" width="44.28515625" customWidth="1"/>
    <col min="6" max="6" width="15" bestFit="1" customWidth="1"/>
  </cols>
  <sheetData>
    <row r="1" spans="1:6" x14ac:dyDescent="0.25">
      <c r="A1">
        <v>19489</v>
      </c>
    </row>
    <row r="2" spans="1:6" x14ac:dyDescent="0.25">
      <c r="A2" s="161">
        <f ca="1">WORKDAY(TODAY(),-2)</f>
        <v>45194</v>
      </c>
    </row>
    <row r="3" spans="1:6" x14ac:dyDescent="0.25">
      <c r="A3" t="s">
        <v>60</v>
      </c>
      <c r="F3" s="163">
        <f>SUM(F5:F64)</f>
        <v>114344</v>
      </c>
    </row>
    <row r="4" spans="1:6" x14ac:dyDescent="0.25">
      <c r="A4" s="162" t="s">
        <v>61</v>
      </c>
      <c r="B4" s="162" t="s">
        <v>62</v>
      </c>
      <c r="C4" s="162" t="s">
        <v>63</v>
      </c>
      <c r="D4" s="162" t="s">
        <v>64</v>
      </c>
      <c r="E4" s="162" t="s">
        <v>65</v>
      </c>
      <c r="F4" s="162" t="s">
        <v>66</v>
      </c>
    </row>
    <row r="5" spans="1:6" x14ac:dyDescent="0.25">
      <c r="A5">
        <v>19489</v>
      </c>
      <c r="B5" t="s">
        <v>67</v>
      </c>
      <c r="C5" t="s">
        <v>68</v>
      </c>
      <c r="D5">
        <v>20</v>
      </c>
      <c r="E5" t="s">
        <v>69</v>
      </c>
      <c r="F5">
        <v>9850</v>
      </c>
    </row>
    <row r="6" spans="1:6" x14ac:dyDescent="0.25">
      <c r="A6">
        <v>19489</v>
      </c>
      <c r="B6" t="s">
        <v>67</v>
      </c>
      <c r="C6" t="s">
        <v>70</v>
      </c>
      <c r="D6">
        <v>202</v>
      </c>
      <c r="E6" t="s">
        <v>71</v>
      </c>
      <c r="F6">
        <v>12000</v>
      </c>
    </row>
    <row r="7" spans="1:6" x14ac:dyDescent="0.25">
      <c r="A7">
        <v>19489</v>
      </c>
      <c r="B7" t="s">
        <v>67</v>
      </c>
      <c r="C7" t="s">
        <v>72</v>
      </c>
      <c r="D7">
        <v>2050695</v>
      </c>
      <c r="E7" t="s">
        <v>73</v>
      </c>
      <c r="F7">
        <v>7540</v>
      </c>
    </row>
    <row r="8" spans="1:6" x14ac:dyDescent="0.25">
      <c r="A8">
        <v>19489</v>
      </c>
      <c r="B8" t="s">
        <v>67</v>
      </c>
      <c r="C8" t="s">
        <v>72</v>
      </c>
      <c r="D8">
        <v>2050708</v>
      </c>
      <c r="E8" t="s">
        <v>74</v>
      </c>
      <c r="F8">
        <v>4364</v>
      </c>
    </row>
    <row r="9" spans="1:6" x14ac:dyDescent="0.25">
      <c r="A9">
        <v>19489</v>
      </c>
      <c r="B9" t="s">
        <v>67</v>
      </c>
      <c r="C9" t="s">
        <v>72</v>
      </c>
      <c r="D9">
        <v>21886</v>
      </c>
      <c r="E9" t="s">
        <v>75</v>
      </c>
      <c r="F9">
        <v>6511</v>
      </c>
    </row>
    <row r="10" spans="1:6" x14ac:dyDescent="0.25">
      <c r="A10">
        <v>19489</v>
      </c>
      <c r="B10" t="s">
        <v>67</v>
      </c>
      <c r="C10" t="s">
        <v>72</v>
      </c>
      <c r="D10">
        <v>2050713</v>
      </c>
      <c r="E10" t="s">
        <v>76</v>
      </c>
      <c r="F10">
        <v>10853</v>
      </c>
    </row>
    <row r="11" spans="1:6" x14ac:dyDescent="0.25">
      <c r="A11">
        <v>19489</v>
      </c>
      <c r="B11" t="s">
        <v>67</v>
      </c>
      <c r="C11" t="s">
        <v>72</v>
      </c>
      <c r="D11">
        <v>21859</v>
      </c>
      <c r="E11" t="s">
        <v>77</v>
      </c>
      <c r="F11">
        <v>7537</v>
      </c>
    </row>
    <row r="12" spans="1:6" x14ac:dyDescent="0.25">
      <c r="A12">
        <v>19489</v>
      </c>
      <c r="B12" t="s">
        <v>67</v>
      </c>
      <c r="C12" t="s">
        <v>72</v>
      </c>
      <c r="D12">
        <v>2050720</v>
      </c>
      <c r="E12" t="s">
        <v>78</v>
      </c>
      <c r="F12">
        <v>3694</v>
      </c>
    </row>
    <row r="13" spans="1:6" x14ac:dyDescent="0.25">
      <c r="A13">
        <v>19489</v>
      </c>
      <c r="B13" t="s">
        <v>67</v>
      </c>
      <c r="C13" t="s">
        <v>72</v>
      </c>
      <c r="D13">
        <v>21946</v>
      </c>
      <c r="E13" t="s">
        <v>79</v>
      </c>
      <c r="F13">
        <v>8740</v>
      </c>
    </row>
    <row r="14" spans="1:6" x14ac:dyDescent="0.25">
      <c r="A14">
        <v>19489</v>
      </c>
      <c r="B14" t="s">
        <v>67</v>
      </c>
      <c r="C14" t="s">
        <v>72</v>
      </c>
      <c r="D14">
        <v>2050709</v>
      </c>
      <c r="E14" t="s">
        <v>80</v>
      </c>
      <c r="F14">
        <v>8505</v>
      </c>
    </row>
    <row r="15" spans="1:6" x14ac:dyDescent="0.25">
      <c r="A15">
        <v>19489</v>
      </c>
      <c r="B15" t="s">
        <v>67</v>
      </c>
      <c r="C15" t="s">
        <v>72</v>
      </c>
      <c r="D15">
        <v>21925</v>
      </c>
      <c r="E15" t="s">
        <v>81</v>
      </c>
      <c r="F15">
        <v>15450</v>
      </c>
    </row>
    <row r="16" spans="1:6" x14ac:dyDescent="0.25">
      <c r="A16">
        <v>19489</v>
      </c>
      <c r="B16" t="s">
        <v>67</v>
      </c>
      <c r="C16" t="s">
        <v>72</v>
      </c>
      <c r="D16">
        <v>21926</v>
      </c>
      <c r="E16" t="s">
        <v>82</v>
      </c>
      <c r="F16">
        <v>6300</v>
      </c>
    </row>
    <row r="17" spans="1:6" x14ac:dyDescent="0.25">
      <c r="A17">
        <v>19489</v>
      </c>
      <c r="B17" t="s">
        <v>67</v>
      </c>
      <c r="C17" t="s">
        <v>72</v>
      </c>
      <c r="D17">
        <v>21860</v>
      </c>
      <c r="E17" t="s">
        <v>83</v>
      </c>
      <c r="F17">
        <v>13000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MERCADO (DATOS)</vt:lpstr>
      <vt:lpstr>MERCADO</vt:lpstr>
      <vt:lpstr>EUROSTOXX</vt:lpstr>
      <vt:lpstr>NASDAQ</vt:lpstr>
      <vt:lpstr>S&amp;P</vt:lpstr>
      <vt:lpstr>ESTRATEGIAS</vt:lpstr>
      <vt:lpstr>BUSCA ACCIONES</vt:lpstr>
      <vt:lpstr>'BUSCA ACCIONES'!Query_SuperExcel</vt:lpstr>
    </vt:vector>
  </TitlesOfParts>
  <Company>Banco Espirito Santo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Battaner Dubois</dc:creator>
  <cp:lastModifiedBy>MAGDALENA CUELLO</cp:lastModifiedBy>
  <cp:lastPrinted>2023-03-24T12:21:43Z</cp:lastPrinted>
  <dcterms:created xsi:type="dcterms:W3CDTF">2020-05-15T07:58:10Z</dcterms:created>
  <dcterms:modified xsi:type="dcterms:W3CDTF">2023-09-27T09:56:02Z</dcterms:modified>
</cp:coreProperties>
</file>